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hidePivotFieldList="1"/>
  <mc:AlternateContent xmlns:mc="http://schemas.openxmlformats.org/markup-compatibility/2006">
    <mc:Choice Requires="x15">
      <x15ac:absPath xmlns:x15ac="http://schemas.microsoft.com/office/spreadsheetml/2010/11/ac" url="D:\Stage SI\Machine Learning\Futuroscope\windows\donne_brut\cadence\"/>
    </mc:Choice>
  </mc:AlternateContent>
  <xr:revisionPtr revIDLastSave="0" documentId="13_ncr:1_{31B0EEA0-0197-464B-AD48-9280F513E9BD}" xr6:coauthVersionLast="47" xr6:coauthVersionMax="47" xr10:uidLastSave="{00000000-0000-0000-0000-000000000000}"/>
  <bookViews>
    <workbookView xWindow="-108" yWindow="-108" windowWidth="23256" windowHeight="13176" tabRatio="572" firstSheet="9" activeTab="13" xr2:uid="{00000000-000D-0000-FFFF-FFFF00000000}"/>
  </bookViews>
  <sheets>
    <sheet name="Feuil4" sheetId="1" state="hidden" r:id="rId1"/>
    <sheet name="1,6" sheetId="2" state="hidden" r:id="rId2"/>
    <sheet name="6 - 1,6M visite 181109" sheetId="3" state="hidden" r:id="rId3"/>
    <sheet name="Cognos_Office_Connection_Cache" sheetId="4" state="veryHidden" r:id="rId4"/>
    <sheet name="Janvier" sheetId="8" r:id="rId5"/>
    <sheet name="Fevrier" sheetId="9" r:id="rId6"/>
    <sheet name="Mars" sheetId="10" r:id="rId7"/>
    <sheet name="Avril" sheetId="11" r:id="rId8"/>
    <sheet name="Mai" sheetId="12" r:id="rId9"/>
    <sheet name="Juin" sheetId="13" r:id="rId10"/>
    <sheet name="Juillet" sheetId="14" r:id="rId11"/>
    <sheet name="Aout" sheetId="15" r:id="rId12"/>
    <sheet name="Septembre" sheetId="16" r:id="rId13"/>
    <sheet name="Octobre" sheetId="19" r:id="rId14"/>
    <sheet name="Novembre" sheetId="20" r:id="rId15"/>
    <sheet name="Décembre" sheetId="21" r:id="rId16"/>
    <sheet name="Synthèse " sheetId="17" r:id="rId17"/>
    <sheet name="Feuil1" sheetId="18" r:id="rId18"/>
  </sheets>
  <externalReferences>
    <externalReference r:id="rId19"/>
  </externalReferences>
  <definedNames>
    <definedName name="_xlnm.Database" localSheetId="1">#REF!</definedName>
    <definedName name="_xlnm.Database" localSheetId="2">#REF!</definedName>
    <definedName name="_xlnm.Database">#REF!</definedName>
    <definedName name="CHAMBRE" localSheetId="1">#REF!</definedName>
    <definedName name="CHAMBRE" localSheetId="2">#REF!</definedName>
    <definedName name="CHAMBRE">#REF!</definedName>
    <definedName name="eve">#REF!</definedName>
    <definedName name="ID" localSheetId="1">"60144a54-86a0-47d2-a174-bff17ff1ab1b"</definedName>
    <definedName name="ID" localSheetId="2">"4b87f5f1-95ae-4ea3-9982-41c83bacc0d4"</definedName>
    <definedName name="ID" localSheetId="11">"995d5dcf-c38c-4d72-8146-68eeb01e9d77"</definedName>
    <definedName name="ID" localSheetId="7">"33ac380a-637f-44ec-b090-8e76a0d8b7d2"</definedName>
    <definedName name="ID" localSheetId="3">"20541fec-2ad6-49f3-88f8-036f51f101c6"</definedName>
    <definedName name="ID" localSheetId="15">"2744ba14-1e13-44e3-b85d-610e97cc9436"</definedName>
    <definedName name="ID" localSheetId="17">"34de952b-5782-4085-9ff3-4197e80d0519"</definedName>
    <definedName name="ID" localSheetId="0">"5dfb4f60-dfef-478e-b572-6d84ca11220c"</definedName>
    <definedName name="ID" localSheetId="5">"a48ca980-bd16-4857-83c5-04df395cf5df"</definedName>
    <definedName name="ID" localSheetId="4">"4856a158-f6a0-42fd-8985-97a75c2ff6e9"</definedName>
    <definedName name="ID" localSheetId="10">"84f1fda5-4f42-4da6-97ae-83d72f1ee8b5"</definedName>
    <definedName name="ID" localSheetId="9">"46b5d57d-835c-45cd-a153-8db7dfdee164"</definedName>
    <definedName name="ID" localSheetId="8">"9db657a3-4005-4942-9644-3312b6a9af97"</definedName>
    <definedName name="ID" localSheetId="6">"c7f46df9-ea21-4c82-9ae2-b19cd1e99ee9"</definedName>
    <definedName name="ID" localSheetId="14">"b72319b6-5397-4665-9638-78492301febd"</definedName>
    <definedName name="ID" localSheetId="13">"0f85ba89-06c7-47b3-adfd-ec9143cb315e"</definedName>
    <definedName name="ID" localSheetId="12">"3e3c12a1-b6b1-41fd-8aaa-8c64ead3b672"</definedName>
    <definedName name="ID" localSheetId="16">"14811328-6be0-4bf0-8db5-a5ae35195543"</definedName>
    <definedName name="_xlnm.Print_Titles" localSheetId="2">'6 - 1,6M visite 181109'!$3:$3</definedName>
    <definedName name="_xlnm.Print_Titles" localSheetId="7">Avril!$1:$4</definedName>
    <definedName name="_xlnm.Print_Titles" localSheetId="5">Fevrier!$1:$4</definedName>
    <definedName name="_xlnm.Print_Titles" localSheetId="4">Janvier!$1:$4</definedName>
    <definedName name="_xlnm.Print_Titles" localSheetId="8">Mai!$1:$4</definedName>
    <definedName name="_xlnm.Print_Titles" localSheetId="6">Mars!$1:$4</definedName>
    <definedName name="ok" localSheetId="2">#REF!</definedName>
    <definedName name="ok">#REF!</definedName>
    <definedName name="tata" localSheetId="2">#REF!</definedName>
    <definedName name="tata">#REF!</definedName>
    <definedName name="toto">#REF!</definedName>
    <definedName name="Z_0CC54A28_7FC1_4543_ABB1_95D1AD8E8D9F_.wvu.Cols" localSheetId="2" hidden="1">'6 - 1,6M visite 181109'!$I:$AQ,'6 - 1,6M visite 181109'!$AZ:$BD</definedName>
    <definedName name="Z_0CC54A28_7FC1_4543_ABB1_95D1AD8E8D9F_.wvu.Cols" localSheetId="11" hidden="1">Aout!$AI:$IV</definedName>
    <definedName name="Z_0CC54A28_7FC1_4543_ABB1_95D1AD8E8D9F_.wvu.Cols" localSheetId="7" hidden="1">Avril!#REF!,Avril!$AH:$IT</definedName>
    <definedName name="Z_0CC54A28_7FC1_4543_ABB1_95D1AD8E8D9F_.wvu.Cols" localSheetId="15" hidden="1">Décembre!$AI:$IV</definedName>
    <definedName name="Z_0CC54A28_7FC1_4543_ABB1_95D1AD8E8D9F_.wvu.Cols" localSheetId="5" hidden="1">Fevrier!#REF!,Fevrier!$AG:$IW</definedName>
    <definedName name="Z_0CC54A28_7FC1_4543_ABB1_95D1AD8E8D9F_.wvu.Cols" localSheetId="4" hidden="1">Janvier!$AI:$IV</definedName>
    <definedName name="Z_0CC54A28_7FC1_4543_ABB1_95D1AD8E8D9F_.wvu.Cols" localSheetId="10" hidden="1">Juillet!$AI:$IU</definedName>
    <definedName name="Z_0CC54A28_7FC1_4543_ABB1_95D1AD8E8D9F_.wvu.Cols" localSheetId="9" hidden="1">Juin!$AF:$AF,Juin!$AI:$IV</definedName>
    <definedName name="Z_0CC54A28_7FC1_4543_ABB1_95D1AD8E8D9F_.wvu.Cols" localSheetId="8" hidden="1">Mai!$AI:$IV</definedName>
    <definedName name="Z_0CC54A28_7FC1_4543_ABB1_95D1AD8E8D9F_.wvu.Cols" localSheetId="6" hidden="1">Mars!$AI:$IV</definedName>
    <definedName name="Z_0CC54A28_7FC1_4543_ABB1_95D1AD8E8D9F_.wvu.Cols" localSheetId="14" hidden="1">Novembre!$AF:$AF,Novembre!$AI:$IV</definedName>
    <definedName name="Z_0CC54A28_7FC1_4543_ABB1_95D1AD8E8D9F_.wvu.Cols" localSheetId="13" hidden="1">Octobre!$AI:$IV</definedName>
    <definedName name="Z_0CC54A28_7FC1_4543_ABB1_95D1AD8E8D9F_.wvu.Cols" localSheetId="12" hidden="1">Septembre!$AF:$AF,Septembre!$AI:$IV</definedName>
    <definedName name="Z_0CC54A28_7FC1_4543_ABB1_95D1AD8E8D9F_.wvu.PrintArea" localSheetId="11" hidden="1">Aout!$A$1:$AH$38</definedName>
    <definedName name="Z_0CC54A28_7FC1_4543_ABB1_95D1AD8E8D9F_.wvu.PrintArea" localSheetId="7" hidden="1">Avril!$1:$38</definedName>
    <definedName name="Z_0CC54A28_7FC1_4543_ABB1_95D1AD8E8D9F_.wvu.PrintArea" localSheetId="15" hidden="1">Décembre!$A$1:$AH$38</definedName>
    <definedName name="Z_0CC54A28_7FC1_4543_ABB1_95D1AD8E8D9F_.wvu.PrintArea" localSheetId="5" hidden="1">Fevrier!$A$1:$AF$38</definedName>
    <definedName name="Z_0CC54A28_7FC1_4543_ABB1_95D1AD8E8D9F_.wvu.PrintArea" localSheetId="4" hidden="1">Janvier!$A$1:$AH$38</definedName>
    <definedName name="Z_0CC54A28_7FC1_4543_ABB1_95D1AD8E8D9F_.wvu.PrintArea" localSheetId="10" hidden="1">Juillet!$1:$39</definedName>
    <definedName name="Z_0CC54A28_7FC1_4543_ABB1_95D1AD8E8D9F_.wvu.PrintArea" localSheetId="9" hidden="1">Juin!$A$1:$AH$38</definedName>
    <definedName name="Z_0CC54A28_7FC1_4543_ABB1_95D1AD8E8D9F_.wvu.PrintArea" localSheetId="8" hidden="1">Mai!$A$1:$AH$38</definedName>
    <definedName name="Z_0CC54A28_7FC1_4543_ABB1_95D1AD8E8D9F_.wvu.PrintArea" localSheetId="6" hidden="1">Mars!$A$1:$AH$39</definedName>
    <definedName name="Z_0CC54A28_7FC1_4543_ABB1_95D1AD8E8D9F_.wvu.PrintArea" localSheetId="14" hidden="1">Novembre!$A$1:$AH$38</definedName>
    <definedName name="Z_0CC54A28_7FC1_4543_ABB1_95D1AD8E8D9F_.wvu.PrintArea" localSheetId="13" hidden="1">Octobre!$A$1:$AH$38</definedName>
    <definedName name="Z_0CC54A28_7FC1_4543_ABB1_95D1AD8E8D9F_.wvu.PrintArea" localSheetId="12" hidden="1">Septembre!$A$1:$AH$38</definedName>
    <definedName name="Z_0CC54A28_7FC1_4543_ABB1_95D1AD8E8D9F_.wvu.PrintArea" localSheetId="16" hidden="1">'Synthèse '!$A$1:$N$22</definedName>
    <definedName name="Z_0CC54A28_7FC1_4543_ABB1_95D1AD8E8D9F_.wvu.PrintTitles" localSheetId="2" hidden="1">'6 - 1,6M visite 181109'!$3:$3</definedName>
    <definedName name="Z_0CC54A28_7FC1_4543_ABB1_95D1AD8E8D9F_.wvu.PrintTitles" localSheetId="7" hidden="1">Avril!$1:$4</definedName>
    <definedName name="Z_0CC54A28_7FC1_4543_ABB1_95D1AD8E8D9F_.wvu.PrintTitles" localSheetId="5" hidden="1">Fevrier!$1:$4</definedName>
    <definedName name="Z_0CC54A28_7FC1_4543_ABB1_95D1AD8E8D9F_.wvu.PrintTitles" localSheetId="4" hidden="1">Janvier!$1:$4</definedName>
    <definedName name="Z_0CC54A28_7FC1_4543_ABB1_95D1AD8E8D9F_.wvu.PrintTitles" localSheetId="8" hidden="1">Mai!$1:$4</definedName>
    <definedName name="Z_0CC54A28_7FC1_4543_ABB1_95D1AD8E8D9F_.wvu.PrintTitles" localSheetId="6" hidden="1">Mars!$1:$4</definedName>
    <definedName name="Z_0CC54A28_7FC1_4543_ABB1_95D1AD8E8D9F_.wvu.Rows" localSheetId="2" hidden="1">'6 - 1,6M visite 181109'!$1:$2,'6 - 1,6M visite 181109'!$5:$5</definedName>
    <definedName name="Z_0CC54A28_7FC1_4543_ABB1_95D1AD8E8D9F_.wvu.Rows" localSheetId="11" hidden="1">Aout!$17:$19,Aout!$41:$42</definedName>
    <definedName name="Z_0CC54A28_7FC1_4543_ABB1_95D1AD8E8D9F_.wvu.Rows" localSheetId="7" hidden="1">Avril!$502:$65536,Avril!$17:$19,Avril!$41:$42,Avril!$491:$494</definedName>
    <definedName name="Z_0CC54A28_7FC1_4543_ABB1_95D1AD8E8D9F_.wvu.Rows" localSheetId="15" hidden="1">Décembre!$17:$19</definedName>
    <definedName name="Z_0CC54A28_7FC1_4543_ABB1_95D1AD8E8D9F_.wvu.Rows" localSheetId="5" hidden="1">Fevrier!$502:$65536,Fevrier!$17:$19,Fevrier!$41:$42</definedName>
    <definedName name="Z_0CC54A28_7FC1_4543_ABB1_95D1AD8E8D9F_.wvu.Rows" localSheetId="4" hidden="1">Janvier!$528:$65536,Janvier!$17:$19,Janvier!$41:$42</definedName>
    <definedName name="Z_0CC54A28_7FC1_4543_ABB1_95D1AD8E8D9F_.wvu.Rows" localSheetId="10" hidden="1">Juillet!$17:$19,Juillet!$41:$42</definedName>
    <definedName name="Z_0CC54A28_7FC1_4543_ABB1_95D1AD8E8D9F_.wvu.Rows" localSheetId="9" hidden="1">Juin!$16:$19,Juin!$41:$42</definedName>
    <definedName name="Z_0CC54A28_7FC1_4543_ABB1_95D1AD8E8D9F_.wvu.Rows" localSheetId="8" hidden="1">Mai!$502:$65536,Mai!$17:$19,Mai!$41:$42,Mai!$497:$500</definedName>
    <definedName name="Z_0CC54A28_7FC1_4543_ABB1_95D1AD8E8D9F_.wvu.Rows" localSheetId="6" hidden="1">Mars!$502:$65536,Mars!$17:$19,Mars!$41:$42,Mars!$491:$494</definedName>
    <definedName name="Z_0CC54A28_7FC1_4543_ABB1_95D1AD8E8D9F_.wvu.Rows" localSheetId="14" hidden="1">Novembre!$17:$19</definedName>
    <definedName name="Z_0CC54A28_7FC1_4543_ABB1_95D1AD8E8D9F_.wvu.Rows" localSheetId="13" hidden="1">Octobre!$17:$19</definedName>
    <definedName name="Z_0CC54A28_7FC1_4543_ABB1_95D1AD8E8D9F_.wvu.Rows" localSheetId="12" hidden="1">Septembre!$17:$19,Septembre!$41:$42</definedName>
    <definedName name="Z_265D6D4F_CC86_4F32_A61E_82B4DF4FE015_.wvu.Cols" localSheetId="2" hidden="1">'6 - 1,6M visite 181109'!$I:$AQ,'6 - 1,6M visite 181109'!$AZ:$BD</definedName>
    <definedName name="Z_265D6D4F_CC86_4F32_A61E_82B4DF4FE015_.wvu.Cols" localSheetId="15" hidden="1">Décembre!$AI:$IV</definedName>
    <definedName name="Z_265D6D4F_CC86_4F32_A61E_82B4DF4FE015_.wvu.Cols" localSheetId="14" hidden="1">Novembre!$AF:$AF,Novembre!$AI:$IV</definedName>
    <definedName name="Z_265D6D4F_CC86_4F32_A61E_82B4DF4FE015_.wvu.Cols" localSheetId="13" hidden="1">Octobre!$AI:$IV</definedName>
    <definedName name="Z_265D6D4F_CC86_4F32_A61E_82B4DF4FE015_.wvu.PrintArea" localSheetId="15" hidden="1">Décembre!$A$1:$AH$38</definedName>
    <definedName name="Z_265D6D4F_CC86_4F32_A61E_82B4DF4FE015_.wvu.PrintArea" localSheetId="14" hidden="1">Novembre!$A$1:$AH$38</definedName>
    <definedName name="Z_265D6D4F_CC86_4F32_A61E_82B4DF4FE015_.wvu.PrintArea" localSheetId="13" hidden="1">Octobre!$A$1:$AH$39</definedName>
    <definedName name="Z_265D6D4F_CC86_4F32_A61E_82B4DF4FE015_.wvu.PrintArea" localSheetId="16" hidden="1">'Synthèse '!$A$1:$O$57</definedName>
    <definedName name="Z_265D6D4F_CC86_4F32_A61E_82B4DF4FE015_.wvu.PrintTitles" localSheetId="2" hidden="1">'6 - 1,6M visite 181109'!$3:$3</definedName>
    <definedName name="Z_265D6D4F_CC86_4F32_A61E_82B4DF4FE015_.wvu.Rows" localSheetId="2" hidden="1">'6 - 1,6M visite 181109'!$1:$2,'6 - 1,6M visite 181109'!$5:$5</definedName>
    <definedName name="Z_265D6D4F_CC86_4F32_A61E_82B4DF4FE015_.wvu.Rows" localSheetId="15" hidden="1">Décembre!$17:$19,Décembre!#REF!</definedName>
    <definedName name="Z_265D6D4F_CC86_4F32_A61E_82B4DF4FE015_.wvu.Rows" localSheetId="14" hidden="1">Novembre!$17:$19,Novembre!#REF!</definedName>
    <definedName name="Z_265D6D4F_CC86_4F32_A61E_82B4DF4FE015_.wvu.Rows" localSheetId="13" hidden="1">Octobre!$17:$19,Octobre!#REF!</definedName>
    <definedName name="Z_45244E67_D811_4150_BEA1_A7A1C54045A9_.wvu.Cols" localSheetId="2" hidden="1">'6 - 1,6M visite 181109'!$I:$AQ,'6 - 1,6M visite 181109'!$AZ:$BD</definedName>
    <definedName name="Z_45244E67_D811_4150_BEA1_A7A1C54045A9_.wvu.Cols" localSheetId="11" hidden="1">Aout!$AI:$IV</definedName>
    <definedName name="Z_45244E67_D811_4150_BEA1_A7A1C54045A9_.wvu.Cols" localSheetId="7" hidden="1">Avril!#REF!,Avril!$AH:$IT</definedName>
    <definedName name="Z_45244E67_D811_4150_BEA1_A7A1C54045A9_.wvu.Cols" localSheetId="15" hidden="1">Décembre!$AI:$IV</definedName>
    <definedName name="Z_45244E67_D811_4150_BEA1_A7A1C54045A9_.wvu.Cols" localSheetId="5" hidden="1">Fevrier!#REF!,Fevrier!$AG:$IW</definedName>
    <definedName name="Z_45244E67_D811_4150_BEA1_A7A1C54045A9_.wvu.Cols" localSheetId="4" hidden="1">Janvier!$AI:$IV</definedName>
    <definedName name="Z_45244E67_D811_4150_BEA1_A7A1C54045A9_.wvu.Cols" localSheetId="10" hidden="1">Juillet!$AI:$IU</definedName>
    <definedName name="Z_45244E67_D811_4150_BEA1_A7A1C54045A9_.wvu.Cols" localSheetId="9" hidden="1">Juin!$AF:$AF,Juin!$AI:$IV</definedName>
    <definedName name="Z_45244E67_D811_4150_BEA1_A7A1C54045A9_.wvu.Cols" localSheetId="8" hidden="1">Mai!$AI:$IV</definedName>
    <definedName name="Z_45244E67_D811_4150_BEA1_A7A1C54045A9_.wvu.Cols" localSheetId="6" hidden="1">Mars!$AI:$IV</definedName>
    <definedName name="Z_45244E67_D811_4150_BEA1_A7A1C54045A9_.wvu.Cols" localSheetId="14" hidden="1">Novembre!$AF:$AF,Novembre!$AI:$IV</definedName>
    <definedName name="Z_45244E67_D811_4150_BEA1_A7A1C54045A9_.wvu.Cols" localSheetId="13" hidden="1">Octobre!$AI:$IV</definedName>
    <definedName name="Z_45244E67_D811_4150_BEA1_A7A1C54045A9_.wvu.Cols" localSheetId="12" hidden="1">Septembre!$AF:$AF,Septembre!$AI:$IV</definedName>
    <definedName name="Z_45244E67_D811_4150_BEA1_A7A1C54045A9_.wvu.PrintArea" localSheetId="11" hidden="1">Aout!$A$1:$AH$38</definedName>
    <definedName name="Z_45244E67_D811_4150_BEA1_A7A1C54045A9_.wvu.PrintArea" localSheetId="7" hidden="1">Avril!$1:$38</definedName>
    <definedName name="Z_45244E67_D811_4150_BEA1_A7A1C54045A9_.wvu.PrintArea" localSheetId="15" hidden="1">Décembre!$A$1:$AH$38</definedName>
    <definedName name="Z_45244E67_D811_4150_BEA1_A7A1C54045A9_.wvu.PrintArea" localSheetId="5" hidden="1">Fevrier!$A$1:$AF$38</definedName>
    <definedName name="Z_45244E67_D811_4150_BEA1_A7A1C54045A9_.wvu.PrintArea" localSheetId="4" hidden="1">Janvier!$A$1:$AH$38</definedName>
    <definedName name="Z_45244E67_D811_4150_BEA1_A7A1C54045A9_.wvu.PrintArea" localSheetId="10" hidden="1">Juillet!$1:$39</definedName>
    <definedName name="Z_45244E67_D811_4150_BEA1_A7A1C54045A9_.wvu.PrintArea" localSheetId="9" hidden="1">Juin!$A$1:$AH$38</definedName>
    <definedName name="Z_45244E67_D811_4150_BEA1_A7A1C54045A9_.wvu.PrintArea" localSheetId="8" hidden="1">Mai!$A$1:$AH$38</definedName>
    <definedName name="Z_45244E67_D811_4150_BEA1_A7A1C54045A9_.wvu.PrintArea" localSheetId="6" hidden="1">Mars!$A$1:$AH$39</definedName>
    <definedName name="Z_45244E67_D811_4150_BEA1_A7A1C54045A9_.wvu.PrintArea" localSheetId="14" hidden="1">Novembre!$A$1:$AH$38</definedName>
    <definedName name="Z_45244E67_D811_4150_BEA1_A7A1C54045A9_.wvu.PrintArea" localSheetId="13" hidden="1">Octobre!$A$1:$AH$39</definedName>
    <definedName name="Z_45244E67_D811_4150_BEA1_A7A1C54045A9_.wvu.PrintArea" localSheetId="12" hidden="1">Septembre!$A$1:$AH$38</definedName>
    <definedName name="Z_45244E67_D811_4150_BEA1_A7A1C54045A9_.wvu.PrintArea" localSheetId="16" hidden="1">'Synthèse '!$A$1:$O$57</definedName>
    <definedName name="Z_45244E67_D811_4150_BEA1_A7A1C54045A9_.wvu.PrintTitles" localSheetId="2" hidden="1">'6 - 1,6M visite 181109'!$3:$3</definedName>
    <definedName name="Z_45244E67_D811_4150_BEA1_A7A1C54045A9_.wvu.PrintTitles" localSheetId="7" hidden="1">Avril!$1:$4</definedName>
    <definedName name="Z_45244E67_D811_4150_BEA1_A7A1C54045A9_.wvu.PrintTitles" localSheetId="5" hidden="1">Fevrier!$1:$4</definedName>
    <definedName name="Z_45244E67_D811_4150_BEA1_A7A1C54045A9_.wvu.PrintTitles" localSheetId="4" hidden="1">Janvier!$1:$4</definedName>
    <definedName name="Z_45244E67_D811_4150_BEA1_A7A1C54045A9_.wvu.PrintTitles" localSheetId="8" hidden="1">Mai!$1:$4</definedName>
    <definedName name="Z_45244E67_D811_4150_BEA1_A7A1C54045A9_.wvu.PrintTitles" localSheetId="6" hidden="1">Mars!$1:$4</definedName>
    <definedName name="Z_45244E67_D811_4150_BEA1_A7A1C54045A9_.wvu.Rows" localSheetId="2" hidden="1">'6 - 1,6M visite 181109'!$1:$2,'6 - 1,6M visite 181109'!$5:$5</definedName>
    <definedName name="Z_45244E67_D811_4150_BEA1_A7A1C54045A9_.wvu.Rows" localSheetId="11" hidden="1">Aout!$17:$19,Aout!$41:$42</definedName>
    <definedName name="Z_45244E67_D811_4150_BEA1_A7A1C54045A9_.wvu.Rows" localSheetId="7" hidden="1">Avril!$502:$65536,Avril!$17:$19,Avril!$41:$42,Avril!$491:$494</definedName>
    <definedName name="Z_45244E67_D811_4150_BEA1_A7A1C54045A9_.wvu.Rows" localSheetId="15" hidden="1">Décembre!$17:$19,Décembre!#REF!</definedName>
    <definedName name="Z_45244E67_D811_4150_BEA1_A7A1C54045A9_.wvu.Rows" localSheetId="5" hidden="1">Fevrier!$502:$65536,Fevrier!$17:$19,Fevrier!$41:$42</definedName>
    <definedName name="Z_45244E67_D811_4150_BEA1_A7A1C54045A9_.wvu.Rows" localSheetId="4" hidden="1">Janvier!$528:$65536,Janvier!$17:$19,Janvier!$41:$42</definedName>
    <definedName name="Z_45244E67_D811_4150_BEA1_A7A1C54045A9_.wvu.Rows" localSheetId="10" hidden="1">Juillet!$17:$19,Juillet!$41:$42</definedName>
    <definedName name="Z_45244E67_D811_4150_BEA1_A7A1C54045A9_.wvu.Rows" localSheetId="9" hidden="1">Juin!$16:$19,Juin!$41:$42</definedName>
    <definedName name="Z_45244E67_D811_4150_BEA1_A7A1C54045A9_.wvu.Rows" localSheetId="8" hidden="1">Mai!$502:$65536,Mai!$17:$19,Mai!$41:$42,Mai!$497:$500</definedName>
    <definedName name="Z_45244E67_D811_4150_BEA1_A7A1C54045A9_.wvu.Rows" localSheetId="6" hidden="1">Mars!$502:$65536,Mars!$17:$19,Mars!$41:$42,Mars!$491:$494</definedName>
    <definedName name="Z_45244E67_D811_4150_BEA1_A7A1C54045A9_.wvu.Rows" localSheetId="14" hidden="1">Novembre!$17:$19,Novembre!#REF!</definedName>
    <definedName name="Z_45244E67_D811_4150_BEA1_A7A1C54045A9_.wvu.Rows" localSheetId="13" hidden="1">Octobre!$17:$19,Octobre!#REF!</definedName>
    <definedName name="Z_45244E67_D811_4150_BEA1_A7A1C54045A9_.wvu.Rows" localSheetId="12" hidden="1">Septembre!$17:$19,Septembre!$41:$42</definedName>
    <definedName name="Z_8289FB4F_06F1_4AB6_859E_CE679DDE8633_.wvu.Cols" localSheetId="2" hidden="1">'6 - 1,6M visite 181109'!$I:$AQ,'6 - 1,6M visite 181109'!$AZ:$BD</definedName>
    <definedName name="Z_8289FB4F_06F1_4AB6_859E_CE679DDE8633_.wvu.Cols" localSheetId="15" hidden="1">Décembre!$AI:$IV</definedName>
    <definedName name="Z_8289FB4F_06F1_4AB6_859E_CE679DDE8633_.wvu.Cols" localSheetId="14" hidden="1">Novembre!$AF:$AF,Novembre!$AI:$IV</definedName>
    <definedName name="Z_8289FB4F_06F1_4AB6_859E_CE679DDE8633_.wvu.Cols" localSheetId="13" hidden="1">Octobre!$AI:$IV</definedName>
    <definedName name="Z_8289FB4F_06F1_4AB6_859E_CE679DDE8633_.wvu.PrintArea" localSheetId="15" hidden="1">Décembre!$A$1:$AH$38</definedName>
    <definedName name="Z_8289FB4F_06F1_4AB6_859E_CE679DDE8633_.wvu.PrintArea" localSheetId="14" hidden="1">Novembre!$A$1:$AH$38</definedName>
    <definedName name="Z_8289FB4F_06F1_4AB6_859E_CE679DDE8633_.wvu.PrintArea" localSheetId="13" hidden="1">Octobre!$A$1:$AH$39</definedName>
    <definedName name="Z_8289FB4F_06F1_4AB6_859E_CE679DDE8633_.wvu.PrintArea" localSheetId="16" hidden="1">'Synthèse '!$A$1:$O$57</definedName>
    <definedName name="Z_8289FB4F_06F1_4AB6_859E_CE679DDE8633_.wvu.PrintTitles" localSheetId="2" hidden="1">'6 - 1,6M visite 181109'!$3:$3</definedName>
    <definedName name="Z_8289FB4F_06F1_4AB6_859E_CE679DDE8633_.wvu.Rows" localSheetId="2" hidden="1">'6 - 1,6M visite 181109'!$1:$2,'6 - 1,6M visite 181109'!$5:$5</definedName>
    <definedName name="Z_8289FB4F_06F1_4AB6_859E_CE679DDE8633_.wvu.Rows" localSheetId="15" hidden="1">Décembre!$17:$19,Décembre!#REF!</definedName>
    <definedName name="Z_8289FB4F_06F1_4AB6_859E_CE679DDE8633_.wvu.Rows" localSheetId="14" hidden="1">Novembre!$17:$19,Novembre!#REF!</definedName>
    <definedName name="Z_8289FB4F_06F1_4AB6_859E_CE679DDE8633_.wvu.Rows" localSheetId="13" hidden="1">Octobre!$17:$19,Octobre!#REF!</definedName>
    <definedName name="Z_B01F54CA_E090_4080_803C_0DB26461E19A_.wvu.Cols" localSheetId="2" hidden="1">'6 - 1,6M visite 181109'!$I:$AQ,'6 - 1,6M visite 181109'!$AZ:$BD</definedName>
    <definedName name="Z_B01F54CA_E090_4080_803C_0DB26461E19A_.wvu.Cols" localSheetId="15" hidden="1">Décembre!$AI:$IV</definedName>
    <definedName name="Z_B01F54CA_E090_4080_803C_0DB26461E19A_.wvu.Cols" localSheetId="14" hidden="1">Novembre!$AF:$AF,Novembre!$AI:$IV</definedName>
    <definedName name="Z_B01F54CA_E090_4080_803C_0DB26461E19A_.wvu.Cols" localSheetId="13" hidden="1">Octobre!$AI:$IV</definedName>
    <definedName name="Z_B01F54CA_E090_4080_803C_0DB26461E19A_.wvu.PrintArea" localSheetId="15" hidden="1">Décembre!$A$1:$AH$38</definedName>
    <definedName name="Z_B01F54CA_E090_4080_803C_0DB26461E19A_.wvu.PrintArea" localSheetId="14" hidden="1">Novembre!$A$1:$AH$38</definedName>
    <definedName name="Z_B01F54CA_E090_4080_803C_0DB26461E19A_.wvu.PrintArea" localSheetId="13" hidden="1">Octobre!$A$1:$AH$39</definedName>
    <definedName name="Z_B01F54CA_E090_4080_803C_0DB26461E19A_.wvu.PrintArea" localSheetId="16" hidden="1">'Synthèse '!$A$1:$O$57</definedName>
    <definedName name="Z_B01F54CA_E090_4080_803C_0DB26461E19A_.wvu.PrintTitles" localSheetId="2" hidden="1">'6 - 1,6M visite 181109'!$3:$3</definedName>
    <definedName name="Z_B01F54CA_E090_4080_803C_0DB26461E19A_.wvu.Rows" localSheetId="2" hidden="1">'6 - 1,6M visite 181109'!$1:$2,'6 - 1,6M visite 181109'!$5:$5</definedName>
    <definedName name="Z_B01F54CA_E090_4080_803C_0DB26461E19A_.wvu.Rows" localSheetId="15" hidden="1">Décembre!$17:$19,Décembre!#REF!</definedName>
    <definedName name="Z_B01F54CA_E090_4080_803C_0DB26461E19A_.wvu.Rows" localSheetId="14" hidden="1">Novembre!$17:$19,Novembre!#REF!</definedName>
    <definedName name="Z_B01F54CA_E090_4080_803C_0DB26461E19A_.wvu.Rows" localSheetId="13" hidden="1">Octobre!$17:$19,Octobre!#REF!</definedName>
    <definedName name="Z_D8F48EB3_00E5_442F_8070_706BAA7F0CFD_.wvu.Cols" localSheetId="2" hidden="1">'6 - 1,6M visite 181109'!$I:$AQ,'6 - 1,6M visite 181109'!$AZ:$BD</definedName>
    <definedName name="Z_D8F48EB3_00E5_442F_8070_706BAA7F0CFD_.wvu.Cols" localSheetId="15" hidden="1">Décembre!$AI:$IV</definedName>
    <definedName name="Z_D8F48EB3_00E5_442F_8070_706BAA7F0CFD_.wvu.Cols" localSheetId="14" hidden="1">Novembre!$AF:$AF,Novembre!$AI:$IV</definedName>
    <definedName name="Z_D8F48EB3_00E5_442F_8070_706BAA7F0CFD_.wvu.Cols" localSheetId="13" hidden="1">Octobre!$AI:$IV</definedName>
    <definedName name="Z_D8F48EB3_00E5_442F_8070_706BAA7F0CFD_.wvu.PrintArea" localSheetId="15" hidden="1">Décembre!$A$1:$AH$38</definedName>
    <definedName name="Z_D8F48EB3_00E5_442F_8070_706BAA7F0CFD_.wvu.PrintArea" localSheetId="14" hidden="1">Novembre!$A$1:$AH$38</definedName>
    <definedName name="Z_D8F48EB3_00E5_442F_8070_706BAA7F0CFD_.wvu.PrintArea" localSheetId="13" hidden="1">Octobre!$A$1:$AH$39</definedName>
    <definedName name="Z_D8F48EB3_00E5_442F_8070_706BAA7F0CFD_.wvu.PrintArea" localSheetId="16" hidden="1">'Synthèse '!$A$1:$O$57</definedName>
    <definedName name="Z_D8F48EB3_00E5_442F_8070_706BAA7F0CFD_.wvu.PrintTitles" localSheetId="2" hidden="1">'6 - 1,6M visite 181109'!$3:$3</definedName>
    <definedName name="Z_D8F48EB3_00E5_442F_8070_706BAA7F0CFD_.wvu.Rows" localSheetId="2" hidden="1">'6 - 1,6M visite 181109'!$1:$2,'6 - 1,6M visite 181109'!$5:$5</definedName>
    <definedName name="Z_D8F48EB3_00E5_442F_8070_706BAA7F0CFD_.wvu.Rows" localSheetId="15" hidden="1">Décembre!$17:$19,Décembre!#REF!</definedName>
    <definedName name="Z_D8F48EB3_00E5_442F_8070_706BAA7F0CFD_.wvu.Rows" localSheetId="14" hidden="1">Novembre!$17:$19,Novembre!#REF!</definedName>
    <definedName name="Z_D8F48EB3_00E5_442F_8070_706BAA7F0CFD_.wvu.Rows" localSheetId="13" hidden="1">Octobre!$17:$19,Octobre!#REF!</definedName>
    <definedName name="Z_EFB3F4FE_0752_44EA_BF07_B7FDC3D55D7F_.wvu.Cols" localSheetId="11" hidden="1">Aout!$AI:$IV</definedName>
    <definedName name="Z_EFB3F4FE_0752_44EA_BF07_B7FDC3D55D7F_.wvu.Cols" localSheetId="7" hidden="1">Avril!#REF!,Avril!$AH:$IT</definedName>
    <definedName name="Z_EFB3F4FE_0752_44EA_BF07_B7FDC3D55D7F_.wvu.Cols" localSheetId="15" hidden="1">Décembre!$AI:$IV</definedName>
    <definedName name="Z_EFB3F4FE_0752_44EA_BF07_B7FDC3D55D7F_.wvu.Cols" localSheetId="5" hidden="1">Fevrier!$AE:$AE,Fevrier!$AG:$IW</definedName>
    <definedName name="Z_EFB3F4FE_0752_44EA_BF07_B7FDC3D55D7F_.wvu.Cols" localSheetId="4" hidden="1">Janvier!$AI:$IV</definedName>
    <definedName name="Z_EFB3F4FE_0752_44EA_BF07_B7FDC3D55D7F_.wvu.Cols" localSheetId="10" hidden="1">Juillet!$AI:$IU</definedName>
    <definedName name="Z_EFB3F4FE_0752_44EA_BF07_B7FDC3D55D7F_.wvu.Cols" localSheetId="9" hidden="1">Juin!$AF:$AF,Juin!$AI:$IV</definedName>
    <definedName name="Z_EFB3F4FE_0752_44EA_BF07_B7FDC3D55D7F_.wvu.Cols" localSheetId="8" hidden="1">Mai!$AI:$IV</definedName>
    <definedName name="Z_EFB3F4FE_0752_44EA_BF07_B7FDC3D55D7F_.wvu.Cols" localSheetId="6" hidden="1">Mars!$AI:$IV</definedName>
    <definedName name="Z_EFB3F4FE_0752_44EA_BF07_B7FDC3D55D7F_.wvu.Cols" localSheetId="14" hidden="1">Novembre!$AF:$AF,Novembre!$AI:$IV</definedName>
    <definedName name="Z_EFB3F4FE_0752_44EA_BF07_B7FDC3D55D7F_.wvu.Cols" localSheetId="13" hidden="1">Octobre!$AI:$IV</definedName>
    <definedName name="Z_EFB3F4FE_0752_44EA_BF07_B7FDC3D55D7F_.wvu.Cols" localSheetId="12" hidden="1">Septembre!$AF:$AF,Septembre!$AI:$IV</definedName>
    <definedName name="Z_EFB3F4FE_0752_44EA_BF07_B7FDC3D55D7F_.wvu.PrintArea" localSheetId="11" hidden="1">Aout!$A$1:$AH$38</definedName>
    <definedName name="Z_EFB3F4FE_0752_44EA_BF07_B7FDC3D55D7F_.wvu.PrintArea" localSheetId="7" hidden="1">Avril!$A$1:$AG$38</definedName>
    <definedName name="Z_EFB3F4FE_0752_44EA_BF07_B7FDC3D55D7F_.wvu.PrintArea" localSheetId="15" hidden="1">Décembre!$A$1:$AH$38</definedName>
    <definedName name="Z_EFB3F4FE_0752_44EA_BF07_B7FDC3D55D7F_.wvu.PrintArea" localSheetId="5" hidden="1">Fevrier!$A$1:$AF$39</definedName>
    <definedName name="Z_EFB3F4FE_0752_44EA_BF07_B7FDC3D55D7F_.wvu.PrintArea" localSheetId="4" hidden="1">Janvier!$A$1:$AH$39</definedName>
    <definedName name="Z_EFB3F4FE_0752_44EA_BF07_B7FDC3D55D7F_.wvu.PrintArea" localSheetId="10" hidden="1">Juillet!$A$1:$AH$38</definedName>
    <definedName name="Z_EFB3F4FE_0752_44EA_BF07_B7FDC3D55D7F_.wvu.PrintArea" localSheetId="9" hidden="1">Juin!$A$1:$AH$38</definedName>
    <definedName name="Z_EFB3F4FE_0752_44EA_BF07_B7FDC3D55D7F_.wvu.PrintArea" localSheetId="8" hidden="1">Mai!$A$1:$AH$38</definedName>
    <definedName name="Z_EFB3F4FE_0752_44EA_BF07_B7FDC3D55D7F_.wvu.PrintArea" localSheetId="6" hidden="1">Mars!$A$1:$AH$38</definedName>
    <definedName name="Z_EFB3F4FE_0752_44EA_BF07_B7FDC3D55D7F_.wvu.PrintArea" localSheetId="14" hidden="1">Novembre!$A$1:$AH$38</definedName>
    <definedName name="Z_EFB3F4FE_0752_44EA_BF07_B7FDC3D55D7F_.wvu.PrintArea" localSheetId="13" hidden="1">Octobre!$A$1:$AH$38</definedName>
    <definedName name="Z_EFB3F4FE_0752_44EA_BF07_B7FDC3D55D7F_.wvu.PrintArea" localSheetId="12" hidden="1">Septembre!$A$1:$AH$38</definedName>
    <definedName name="Z_EFB3F4FE_0752_44EA_BF07_B7FDC3D55D7F_.wvu.PrintArea" localSheetId="16" hidden="1">'Synthèse '!$A$1:$N$22</definedName>
    <definedName name="Z_EFB3F4FE_0752_44EA_BF07_B7FDC3D55D7F_.wvu.PrintTitles" localSheetId="7" hidden="1">Avril!$1:$4</definedName>
    <definedName name="Z_EFB3F4FE_0752_44EA_BF07_B7FDC3D55D7F_.wvu.PrintTitles" localSheetId="5" hidden="1">Fevrier!$1:$4</definedName>
    <definedName name="Z_EFB3F4FE_0752_44EA_BF07_B7FDC3D55D7F_.wvu.PrintTitles" localSheetId="4" hidden="1">Janvier!$1:$4</definedName>
    <definedName name="Z_EFB3F4FE_0752_44EA_BF07_B7FDC3D55D7F_.wvu.PrintTitles" localSheetId="8" hidden="1">Mai!$1:$4</definedName>
    <definedName name="Z_EFB3F4FE_0752_44EA_BF07_B7FDC3D55D7F_.wvu.PrintTitles" localSheetId="6" hidden="1">Mars!$1:$4</definedName>
    <definedName name="Z_EFB3F4FE_0752_44EA_BF07_B7FDC3D55D7F_.wvu.Rows" localSheetId="11" hidden="1">Aout!$17:$19</definedName>
    <definedName name="Z_EFB3F4FE_0752_44EA_BF07_B7FDC3D55D7F_.wvu.Rows" localSheetId="7" hidden="1">Avril!$491:$65536,Avril!$17:$19</definedName>
    <definedName name="Z_EFB3F4FE_0752_44EA_BF07_B7FDC3D55D7F_.wvu.Rows" localSheetId="15" hidden="1">Décembre!$17:$19</definedName>
    <definedName name="Z_EFB3F4FE_0752_44EA_BF07_B7FDC3D55D7F_.wvu.Rows" localSheetId="5" hidden="1">Fevrier!$495:$65536,Fevrier!$17:$19</definedName>
    <definedName name="Z_EFB3F4FE_0752_44EA_BF07_B7FDC3D55D7F_.wvu.Rows" localSheetId="4" hidden="1">Janvier!$518:$65536,Janvier!$17:$19</definedName>
    <definedName name="Z_EFB3F4FE_0752_44EA_BF07_B7FDC3D55D7F_.wvu.Rows" localSheetId="10" hidden="1">Juillet!$17:$19</definedName>
    <definedName name="Z_EFB3F4FE_0752_44EA_BF07_B7FDC3D55D7F_.wvu.Rows" localSheetId="9" hidden="1">Juin!$17:$19</definedName>
    <definedName name="Z_EFB3F4FE_0752_44EA_BF07_B7FDC3D55D7F_.wvu.Rows" localSheetId="8" hidden="1">Mai!$497:$65536,Mai!$17:$19</definedName>
    <definedName name="Z_EFB3F4FE_0752_44EA_BF07_B7FDC3D55D7F_.wvu.Rows" localSheetId="6" hidden="1">Mars!$491:$65536,Mars!$17:$19</definedName>
    <definedName name="Z_EFB3F4FE_0752_44EA_BF07_B7FDC3D55D7F_.wvu.Rows" localSheetId="14" hidden="1">Novembre!$17:$19</definedName>
    <definedName name="Z_EFB3F4FE_0752_44EA_BF07_B7FDC3D55D7F_.wvu.Rows" localSheetId="13" hidden="1">Octobre!$17:$19</definedName>
    <definedName name="Z_EFB3F4FE_0752_44EA_BF07_B7FDC3D55D7F_.wvu.Rows" localSheetId="12" hidden="1">Septembre!$17:$19</definedName>
    <definedName name="_xlnm.Print_Area" localSheetId="2">'6 - 1,6M visite 181109'!#REF!</definedName>
    <definedName name="_xlnm.Print_Area" localSheetId="11">Aout!$A$1:$AH$44</definedName>
    <definedName name="_xlnm.Print_Area" localSheetId="7">Avril!$1:$38</definedName>
    <definedName name="_xlnm.Print_Area" localSheetId="15">Décembre!$A$1:$AH$38</definedName>
    <definedName name="_xlnm.Print_Area" localSheetId="5">Fevrier!$A$1:$AF$38</definedName>
    <definedName name="_xlnm.Print_Area" localSheetId="4">Janvier!$A$1:$AH$38</definedName>
    <definedName name="_xlnm.Print_Area" localSheetId="10">Juillet!$1:$39</definedName>
    <definedName name="_xlnm.Print_Area" localSheetId="9">Juin!$A$1:$AH$38</definedName>
    <definedName name="_xlnm.Print_Area" localSheetId="8">Mai!$A$1:$AH$38</definedName>
    <definedName name="_xlnm.Print_Area" localSheetId="6">Mars!$A$1:$AH$39</definedName>
    <definedName name="_xlnm.Print_Area" localSheetId="14">Novembre!$A$1:$AH$20</definedName>
    <definedName name="_xlnm.Print_Area" localSheetId="13">Octobre!$A$1:$AH$20</definedName>
    <definedName name="_xlnm.Print_Area" localSheetId="12">Septembre!$A$1:$AH$44</definedName>
    <definedName name="_xlnm.Print_Area" localSheetId="16">'Synthèse '!$A$1:$N$22</definedName>
  </definedNames>
  <calcPr calcId="191029"/>
  <customWorkbookViews>
    <customWorkbookView name="sopchr - Affichage personnalisé" guid="{0CC54A28-7FC1-4543-ABB1-95D1AD8E8D9F}" mergeInterval="0" personalView="1" maximized="1" windowWidth="1020" windowHeight="532" tabRatio="872" activeSheetId="17"/>
    <customWorkbookView name="rejcol - Affichage personnalisé" guid="{D8F48EB3-00E5-442F-8070-706BAA7F0CFD}" mergeInterval="0" personalView="1" maximized="1" windowWidth="1276" windowHeight="766" tabRatio="872" activeSheetId="13"/>
    <customWorkbookView name="sylros - Affichage personnalisé" guid="{B01F54CA-E090-4080-803C-0DB26461E19A}" mergeInterval="0" personalView="1" maximized="1" windowWidth="1020" windowHeight="543" tabRatio="872" activeSheetId="10"/>
    <customWorkbookView name="pasqui - Affichage personnalisé" guid="{EFB3F4FE-0752-44EA-BF07-B7FDC3D55D7F}" mergeInterval="0" personalView="1" maximized="1" windowWidth="1012" windowHeight="572" tabRatio="872" activeSheetId="4"/>
    <customWorkbookView name="marbru - Affichage personnalisé" guid="{265D6D4F-CC86-4F32-A61E-82B4DF4FE015}" mergeInterval="0" personalView="1" maximized="1" windowWidth="1020" windowHeight="543" tabRatio="872" activeSheetId="10"/>
    <customWorkbookView name="chenil - Affichage personnalisé" guid="{8289FB4F-06F1-4AB6-859E-CE679DDE8633}" mergeInterval="0" personalView="1" maximized="1" windowWidth="1276" windowHeight="842" tabRatio="872" activeSheetId="10" showStatusbar="0" showComments="commIndAndComment"/>
    <customWorkbookView name="clemon - Affichage personnalisé" guid="{45244E67-D811-4150-BEA1-A7A1C54045A9}" mergeInterval="0" personalView="1" maximized="1" windowWidth="1276" windowHeight="774" tabRatio="872" activeSheetId="1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1" l="1"/>
  <c r="C3" i="21" s="1"/>
  <c r="D3" i="21" s="1"/>
  <c r="E3" i="21" s="1"/>
  <c r="F3" i="21" s="1"/>
  <c r="G3" i="21" s="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B4" i="21"/>
  <c r="C4" i="21" s="1"/>
  <c r="D4" i="21" s="1"/>
  <c r="E4" i="21" s="1"/>
  <c r="F4" i="21" s="1"/>
  <c r="G4" i="21" s="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 r="AF4" i="21" s="1"/>
  <c r="F8" i="21"/>
  <c r="G8" i="21"/>
  <c r="F9" i="21"/>
  <c r="G9" i="21"/>
  <c r="J9" i="21"/>
  <c r="J8" i="21" s="1"/>
  <c r="K9" i="21"/>
  <c r="K8" i="21" s="1"/>
  <c r="L9" i="21"/>
  <c r="L8" i="21" s="1"/>
  <c r="M9" i="21"/>
  <c r="M8" i="21" s="1"/>
  <c r="N9" i="21"/>
  <c r="N8" i="21" s="1"/>
  <c r="B11" i="21"/>
  <c r="F11" i="21"/>
  <c r="G11" i="21"/>
  <c r="H11" i="21"/>
  <c r="H12" i="21" s="1"/>
  <c r="I11" i="21"/>
  <c r="J11" i="21"/>
  <c r="K11" i="21"/>
  <c r="L11" i="21"/>
  <c r="M11" i="21"/>
  <c r="N11" i="21"/>
  <c r="O11" i="21"/>
  <c r="P11" i="21"/>
  <c r="P12" i="21" s="1"/>
  <c r="Q11" i="21"/>
  <c r="R11" i="21"/>
  <c r="S11" i="21"/>
  <c r="T11" i="21"/>
  <c r="U11" i="21"/>
  <c r="V11" i="21"/>
  <c r="V12" i="21" s="1"/>
  <c r="W11" i="21"/>
  <c r="W12" i="21" s="1"/>
  <c r="X11" i="21"/>
  <c r="X12" i="21" s="1"/>
  <c r="Y11" i="21"/>
  <c r="Z11" i="21"/>
  <c r="AA11" i="21"/>
  <c r="AB11" i="21"/>
  <c r="AC11" i="21"/>
  <c r="AD11" i="21"/>
  <c r="AE11" i="21"/>
  <c r="AF11" i="21"/>
  <c r="AF12" i="21" s="1"/>
  <c r="B12" i="21"/>
  <c r="D12" i="21"/>
  <c r="E12" i="21"/>
  <c r="F12" i="21"/>
  <c r="G12" i="21"/>
  <c r="I12" i="21"/>
  <c r="J12" i="21"/>
  <c r="K12" i="21"/>
  <c r="L12" i="21"/>
  <c r="M12" i="21"/>
  <c r="N12" i="21"/>
  <c r="O12" i="21"/>
  <c r="Y12" i="21"/>
  <c r="Z12" i="21"/>
  <c r="AA12" i="21"/>
  <c r="AB12" i="21"/>
  <c r="AC12" i="21"/>
  <c r="AD12" i="21"/>
  <c r="AE12" i="21"/>
  <c r="B17" i="21"/>
  <c r="C17" i="21"/>
  <c r="D17" i="21"/>
  <c r="E17" i="21"/>
  <c r="F17" i="21"/>
  <c r="G17" i="21"/>
  <c r="H17" i="21"/>
  <c r="H20" i="21" s="1"/>
  <c r="I17" i="21"/>
  <c r="I20" i="21" s="1"/>
  <c r="J17" i="21"/>
  <c r="K17" i="21"/>
  <c r="L17" i="21"/>
  <c r="M17" i="21"/>
  <c r="N17" i="21"/>
  <c r="O17" i="21"/>
  <c r="O20" i="21" s="1"/>
  <c r="P17" i="21"/>
  <c r="Q17" i="21"/>
  <c r="R17" i="21"/>
  <c r="S17" i="21"/>
  <c r="T17" i="21"/>
  <c r="U17" i="21"/>
  <c r="V17" i="21"/>
  <c r="W17" i="21"/>
  <c r="W20" i="21" s="1"/>
  <c r="X17" i="21"/>
  <c r="X20" i="21" s="1"/>
  <c r="Y17" i="21"/>
  <c r="Y20" i="21" s="1"/>
  <c r="Z17" i="21"/>
  <c r="AA17" i="21"/>
  <c r="AB17" i="21"/>
  <c r="AC17" i="21"/>
  <c r="AC20" i="21" s="1"/>
  <c r="AD17" i="21"/>
  <c r="AD20" i="21" s="1"/>
  <c r="AE17" i="21"/>
  <c r="AE20" i="21" s="1"/>
  <c r="AF17" i="21"/>
  <c r="B18" i="21"/>
  <c r="C18" i="21"/>
  <c r="D18" i="21"/>
  <c r="E18" i="21"/>
  <c r="F18" i="21"/>
  <c r="G18" i="21"/>
  <c r="H18" i="21"/>
  <c r="I18" i="21"/>
  <c r="J18" i="21"/>
  <c r="K18" i="21"/>
  <c r="L18" i="21"/>
  <c r="M18" i="21"/>
  <c r="N18" i="21"/>
  <c r="O18" i="21"/>
  <c r="P18" i="21"/>
  <c r="P20" i="21" s="1"/>
  <c r="Q18" i="21"/>
  <c r="R18" i="21"/>
  <c r="S18" i="21"/>
  <c r="T18" i="21"/>
  <c r="U18" i="21"/>
  <c r="V18" i="21"/>
  <c r="W18" i="21"/>
  <c r="X18" i="21"/>
  <c r="Y18" i="21"/>
  <c r="Z18" i="21"/>
  <c r="Z20" i="21" s="1"/>
  <c r="AA18" i="21"/>
  <c r="AB18" i="21"/>
  <c r="AC18" i="21"/>
  <c r="AD18" i="21"/>
  <c r="AE18" i="21"/>
  <c r="AF18" i="21"/>
  <c r="AF20" i="21" s="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A20" i="21" s="1"/>
  <c r="AB19" i="21"/>
  <c r="AC19" i="21"/>
  <c r="AD19" i="21"/>
  <c r="AE19" i="21"/>
  <c r="AF19" i="21"/>
  <c r="B20" i="21"/>
  <c r="C20" i="21"/>
  <c r="D20" i="21"/>
  <c r="E20" i="21"/>
  <c r="F20" i="21"/>
  <c r="G20" i="21"/>
  <c r="J20" i="21"/>
  <c r="K20" i="21"/>
  <c r="L20" i="21"/>
  <c r="M20" i="21"/>
  <c r="N20" i="21"/>
  <c r="Q20" i="21"/>
  <c r="R20" i="21"/>
  <c r="S20" i="21"/>
  <c r="T20" i="21"/>
  <c r="U20" i="21"/>
  <c r="V20" i="21"/>
  <c r="AB20" i="21"/>
  <c r="AH22" i="21"/>
  <c r="AH23" i="21"/>
  <c r="AH24" i="21"/>
  <c r="AH25" i="21"/>
  <c r="AH26" i="21"/>
  <c r="AH27" i="21"/>
  <c r="AH28" i="21"/>
  <c r="AH29" i="21"/>
  <c r="AH30" i="21"/>
  <c r="AH31" i="21"/>
  <c r="AH32" i="21"/>
  <c r="B34" i="21"/>
  <c r="C34" i="21"/>
  <c r="D34" i="21"/>
  <c r="D41" i="21" s="1"/>
  <c r="E34" i="21"/>
  <c r="E41" i="21" s="1"/>
  <c r="F34" i="21"/>
  <c r="AH34" i="21" s="1"/>
  <c r="G34" i="21"/>
  <c r="G38" i="21" s="1"/>
  <c r="H34" i="21"/>
  <c r="I34" i="21"/>
  <c r="J34" i="21"/>
  <c r="K34" i="21"/>
  <c r="L34" i="21"/>
  <c r="M34" i="21"/>
  <c r="N34" i="21"/>
  <c r="O34" i="21"/>
  <c r="O41" i="21" s="1"/>
  <c r="P34" i="21"/>
  <c r="P41" i="21" s="1"/>
  <c r="Q34" i="21"/>
  <c r="Q41" i="21" s="1"/>
  <c r="R34" i="21"/>
  <c r="S34" i="21"/>
  <c r="T34" i="21"/>
  <c r="T41" i="21" s="1"/>
  <c r="U34" i="21"/>
  <c r="U41" i="21" s="1"/>
  <c r="V34" i="21"/>
  <c r="V41" i="21" s="1"/>
  <c r="W34" i="21"/>
  <c r="W41" i="21" s="1"/>
  <c r="X34" i="21"/>
  <c r="Y34" i="21"/>
  <c r="Z34" i="21"/>
  <c r="AA34" i="21"/>
  <c r="AB34" i="21"/>
  <c r="AC34" i="21"/>
  <c r="AD34" i="21"/>
  <c r="AE34" i="21"/>
  <c r="AE41" i="21" s="1"/>
  <c r="AF34" i="21"/>
  <c r="AF41" i="21" s="1"/>
  <c r="B38" i="21"/>
  <c r="C38" i="21"/>
  <c r="D38" i="21"/>
  <c r="E38" i="21"/>
  <c r="F38" i="21"/>
  <c r="H38" i="21"/>
  <c r="I38" i="21"/>
  <c r="J38" i="21"/>
  <c r="K38" i="21"/>
  <c r="L38" i="21"/>
  <c r="M38" i="21"/>
  <c r="N38" i="21"/>
  <c r="O38" i="21"/>
  <c r="Q38" i="21"/>
  <c r="R38" i="21"/>
  <c r="S38" i="21"/>
  <c r="T38" i="21"/>
  <c r="U38" i="21"/>
  <c r="V38" i="21"/>
  <c r="X38" i="21"/>
  <c r="Y38" i="21"/>
  <c r="Z38" i="21"/>
  <c r="AA38" i="21"/>
  <c r="AB38" i="21"/>
  <c r="AC38" i="21"/>
  <c r="AD38" i="21"/>
  <c r="AE38" i="21"/>
  <c r="B41" i="21"/>
  <c r="C41" i="21"/>
  <c r="H41" i="21"/>
  <c r="I41" i="21"/>
  <c r="J41" i="21"/>
  <c r="K41" i="21"/>
  <c r="L41" i="21"/>
  <c r="M41" i="21"/>
  <c r="N41" i="21"/>
  <c r="R41" i="21"/>
  <c r="S41" i="21"/>
  <c r="X41" i="21"/>
  <c r="Y41" i="21"/>
  <c r="Z41" i="21"/>
  <c r="AA41" i="21"/>
  <c r="AB41" i="21"/>
  <c r="AC41" i="21"/>
  <c r="AD41" i="21"/>
  <c r="B44" i="21"/>
  <c r="C44" i="21"/>
  <c r="D44" i="21"/>
  <c r="E44" i="21"/>
  <c r="F44" i="21"/>
  <c r="G44" i="21"/>
  <c r="H44" i="21"/>
  <c r="I44" i="21"/>
  <c r="M44" i="21"/>
  <c r="N44" i="21"/>
  <c r="O44" i="21"/>
  <c r="P44" i="21"/>
  <c r="Q44" i="21"/>
  <c r="R44" i="21"/>
  <c r="S44" i="21"/>
  <c r="T44" i="21"/>
  <c r="U44" i="21"/>
  <c r="V44" i="21"/>
  <c r="W44" i="21"/>
  <c r="X44" i="21"/>
  <c r="Y44" i="21"/>
  <c r="Z44" i="21"/>
  <c r="AA44" i="21"/>
  <c r="AB44" i="21"/>
  <c r="AC44" i="21"/>
  <c r="AD44" i="21"/>
  <c r="AE44" i="21"/>
  <c r="AF44" i="21"/>
  <c r="B3" i="20"/>
  <c r="C3" i="20"/>
  <c r="D3" i="20" s="1"/>
  <c r="E3" i="20" s="1"/>
  <c r="F3" i="20" s="1"/>
  <c r="G3" i="20" s="1"/>
  <c r="H3" i="20" s="1"/>
  <c r="I3" i="20" s="1"/>
  <c r="J3" i="20" s="1"/>
  <c r="K3" i="20" s="1"/>
  <c r="L3" i="20" s="1"/>
  <c r="M3" i="20" s="1"/>
  <c r="N3" i="20" s="1"/>
  <c r="O3" i="20" s="1"/>
  <c r="P3" i="20" s="1"/>
  <c r="Q3" i="20" s="1"/>
  <c r="R3" i="20" s="1"/>
  <c r="S3" i="20" s="1"/>
  <c r="T3" i="20" s="1"/>
  <c r="U3" i="20" s="1"/>
  <c r="V3" i="20" s="1"/>
  <c r="W3" i="20" s="1"/>
  <c r="X3" i="20" s="1"/>
  <c r="Y3" i="20" s="1"/>
  <c r="Z3" i="20" s="1"/>
  <c r="AA3" i="20" s="1"/>
  <c r="AB3" i="20" s="1"/>
  <c r="AC3" i="20" s="1"/>
  <c r="AD3" i="20" s="1"/>
  <c r="AE3" i="20" s="1"/>
  <c r="B4" i="20"/>
  <c r="C4" i="20"/>
  <c r="D4" i="20"/>
  <c r="E4" i="20"/>
  <c r="F4" i="20" s="1"/>
  <c r="G4" i="20" s="1"/>
  <c r="H4" i="20" s="1"/>
  <c r="I4" i="20" s="1"/>
  <c r="J4" i="20" s="1"/>
  <c r="K4" i="20" s="1"/>
  <c r="L4" i="20" s="1"/>
  <c r="M4" i="20" s="1"/>
  <c r="N4" i="20" s="1"/>
  <c r="O4" i="20" s="1"/>
  <c r="P4" i="20" s="1"/>
  <c r="Q4" i="20" s="1"/>
  <c r="R4" i="20" s="1"/>
  <c r="S4" i="20" s="1"/>
  <c r="T4" i="20" s="1"/>
  <c r="U4" i="20" s="1"/>
  <c r="V4" i="20" s="1"/>
  <c r="W4" i="20" s="1"/>
  <c r="X4" i="20" s="1"/>
  <c r="Y4" i="20" s="1"/>
  <c r="Z4" i="20" s="1"/>
  <c r="AA4" i="20" s="1"/>
  <c r="AB4" i="20" s="1"/>
  <c r="AC4" i="20" s="1"/>
  <c r="AD4" i="20" s="1"/>
  <c r="AE4" i="20" s="1"/>
  <c r="E8" i="20"/>
  <c r="N8" i="20"/>
  <c r="Z8" i="20"/>
  <c r="AC8" i="20"/>
  <c r="AF8" i="20"/>
  <c r="E9" i="20"/>
  <c r="F9" i="20"/>
  <c r="F8" i="20" s="1"/>
  <c r="G9" i="20"/>
  <c r="G8" i="20" s="1"/>
  <c r="H9" i="20"/>
  <c r="H8" i="20" s="1"/>
  <c r="I9" i="20"/>
  <c r="I8" i="20" s="1"/>
  <c r="N9" i="20"/>
  <c r="O9" i="20"/>
  <c r="O8" i="20" s="1"/>
  <c r="P9" i="20"/>
  <c r="P44" i="20" s="1"/>
  <c r="S9" i="20"/>
  <c r="S44" i="20" s="1"/>
  <c r="T9" i="20"/>
  <c r="T44" i="20" s="1"/>
  <c r="U9" i="20"/>
  <c r="U8" i="20" s="1"/>
  <c r="Z9" i="20"/>
  <c r="AA9" i="20"/>
  <c r="AA8" i="20" s="1"/>
  <c r="AB9" i="20"/>
  <c r="AB8" i="20" s="1"/>
  <c r="AC9" i="20"/>
  <c r="AD9" i="20"/>
  <c r="AD8" i="20" s="1"/>
  <c r="AF9" i="20"/>
  <c r="B11" i="20"/>
  <c r="C11" i="20"/>
  <c r="C12" i="20" s="1"/>
  <c r="D11" i="20"/>
  <c r="D12" i="20" s="1"/>
  <c r="E11" i="20"/>
  <c r="F11" i="20"/>
  <c r="G11" i="20"/>
  <c r="H11" i="20"/>
  <c r="I11" i="20"/>
  <c r="J11" i="20"/>
  <c r="J12" i="20" s="1"/>
  <c r="K11" i="20"/>
  <c r="K12" i="20" s="1"/>
  <c r="L11" i="20"/>
  <c r="N11" i="20"/>
  <c r="O11" i="20"/>
  <c r="P11" i="20"/>
  <c r="Q11" i="20"/>
  <c r="Q12" i="20" s="1"/>
  <c r="R11" i="20"/>
  <c r="S11" i="20"/>
  <c r="T11" i="20"/>
  <c r="U11" i="20"/>
  <c r="V11" i="20"/>
  <c r="W11" i="20"/>
  <c r="X11" i="20"/>
  <c r="Y11" i="20"/>
  <c r="Z11" i="20"/>
  <c r="AA11" i="20"/>
  <c r="AB11" i="20"/>
  <c r="AC11" i="20"/>
  <c r="AD11" i="20"/>
  <c r="AE11" i="20"/>
  <c r="AF11" i="20"/>
  <c r="B12" i="20"/>
  <c r="E12" i="20"/>
  <c r="F12" i="20"/>
  <c r="G12" i="20"/>
  <c r="H12" i="20"/>
  <c r="I12" i="20"/>
  <c r="L12" i="20"/>
  <c r="M12" i="20"/>
  <c r="N12" i="20"/>
  <c r="O12" i="20"/>
  <c r="P12" i="20"/>
  <c r="R12" i="20"/>
  <c r="S12" i="20"/>
  <c r="T12" i="20"/>
  <c r="U12" i="20"/>
  <c r="X12" i="20"/>
  <c r="Y12" i="20"/>
  <c r="Z12" i="20"/>
  <c r="AA12" i="20"/>
  <c r="AB12" i="20"/>
  <c r="AC12" i="20"/>
  <c r="AD12" i="20"/>
  <c r="AE12" i="20"/>
  <c r="AF12" i="20"/>
  <c r="B17" i="20"/>
  <c r="C17" i="20"/>
  <c r="D17" i="20"/>
  <c r="E17" i="20"/>
  <c r="F17" i="20"/>
  <c r="G17" i="20"/>
  <c r="H17" i="20"/>
  <c r="I17" i="20"/>
  <c r="J17" i="20"/>
  <c r="K17" i="20"/>
  <c r="L17" i="20"/>
  <c r="M17" i="20"/>
  <c r="N17" i="20"/>
  <c r="O17" i="20"/>
  <c r="P17" i="20"/>
  <c r="Q17" i="20"/>
  <c r="R17" i="20"/>
  <c r="S17" i="20"/>
  <c r="T17" i="20"/>
  <c r="U17" i="20"/>
  <c r="V17" i="20"/>
  <c r="W17" i="20"/>
  <c r="X17" i="20"/>
  <c r="X20" i="20" s="1"/>
  <c r="Y17" i="20"/>
  <c r="Y20" i="20" s="1"/>
  <c r="Z17" i="20"/>
  <c r="AA17" i="20"/>
  <c r="AB17" i="20"/>
  <c r="AC17" i="20"/>
  <c r="AD17" i="20"/>
  <c r="AE17" i="20"/>
  <c r="AE20" i="20" s="1"/>
  <c r="AF17" i="20"/>
  <c r="B18" i="20"/>
  <c r="C18" i="20"/>
  <c r="D18" i="20"/>
  <c r="E18" i="20"/>
  <c r="F18" i="20"/>
  <c r="G18" i="20"/>
  <c r="H18" i="20"/>
  <c r="I18" i="20"/>
  <c r="J18" i="20"/>
  <c r="J20" i="20" s="1"/>
  <c r="K18" i="20"/>
  <c r="L18" i="20"/>
  <c r="M18" i="20"/>
  <c r="N18" i="20"/>
  <c r="O18" i="20"/>
  <c r="P18" i="20"/>
  <c r="Q18" i="20"/>
  <c r="R18" i="20"/>
  <c r="S18" i="20"/>
  <c r="T18" i="20"/>
  <c r="U18" i="20"/>
  <c r="V18" i="20"/>
  <c r="W18" i="20"/>
  <c r="X18" i="20"/>
  <c r="Y18" i="20"/>
  <c r="Z18" i="20"/>
  <c r="AA18" i="20"/>
  <c r="AB18" i="20"/>
  <c r="AC18" i="20"/>
  <c r="AD18" i="20"/>
  <c r="AE18" i="20"/>
  <c r="AF18" i="20"/>
  <c r="AF20" i="20" s="1"/>
  <c r="B19" i="20"/>
  <c r="C19" i="20"/>
  <c r="D19" i="20"/>
  <c r="E19" i="20"/>
  <c r="F19" i="20"/>
  <c r="G19" i="20"/>
  <c r="H19" i="20"/>
  <c r="I19" i="20"/>
  <c r="J19" i="20"/>
  <c r="K19" i="20"/>
  <c r="K20" i="20" s="1"/>
  <c r="L19" i="20"/>
  <c r="M19" i="20"/>
  <c r="N19" i="20"/>
  <c r="O19" i="20"/>
  <c r="P19" i="20"/>
  <c r="Q19" i="20"/>
  <c r="Q20" i="20" s="1"/>
  <c r="R19" i="20"/>
  <c r="S19" i="20"/>
  <c r="T19" i="20"/>
  <c r="U19" i="20"/>
  <c r="V19" i="20"/>
  <c r="W19" i="20"/>
  <c r="X19" i="20"/>
  <c r="Y19" i="20"/>
  <c r="Z19" i="20"/>
  <c r="AA19" i="20"/>
  <c r="AB19" i="20"/>
  <c r="AC19" i="20"/>
  <c r="AD19" i="20"/>
  <c r="AE19" i="20"/>
  <c r="AF19" i="20"/>
  <c r="B20" i="20"/>
  <c r="AH20" i="20" s="1"/>
  <c r="C20" i="20"/>
  <c r="D20" i="20"/>
  <c r="E20" i="20"/>
  <c r="F20" i="20"/>
  <c r="G20" i="20"/>
  <c r="H20" i="20"/>
  <c r="I20" i="20"/>
  <c r="L20" i="20"/>
  <c r="M20" i="20"/>
  <c r="N20" i="20"/>
  <c r="O20" i="20"/>
  <c r="P20" i="20"/>
  <c r="R20" i="20"/>
  <c r="S20" i="20"/>
  <c r="T20" i="20"/>
  <c r="U20" i="20"/>
  <c r="V20" i="20"/>
  <c r="W20" i="20"/>
  <c r="Z20" i="20"/>
  <c r="AA20" i="20"/>
  <c r="AB20" i="20"/>
  <c r="AC20" i="20"/>
  <c r="AD20" i="20"/>
  <c r="AH22" i="20"/>
  <c r="AH23" i="20"/>
  <c r="AH24" i="20"/>
  <c r="AH25" i="20"/>
  <c r="AH26" i="20"/>
  <c r="AH27" i="20"/>
  <c r="AH28" i="20"/>
  <c r="AH29" i="20"/>
  <c r="AH30" i="20"/>
  <c r="AH31" i="20"/>
  <c r="AH32" i="20"/>
  <c r="B34" i="20"/>
  <c r="C34" i="20"/>
  <c r="D34" i="20"/>
  <c r="D41" i="20" s="1"/>
  <c r="E34" i="20"/>
  <c r="E41" i="20" s="1"/>
  <c r="F34" i="20"/>
  <c r="AH34" i="20" s="1"/>
  <c r="G34" i="20"/>
  <c r="G41" i="20" s="1"/>
  <c r="H34" i="20"/>
  <c r="I34" i="20"/>
  <c r="J34" i="20"/>
  <c r="K34" i="20"/>
  <c r="L34" i="20"/>
  <c r="M34" i="20"/>
  <c r="N34" i="20"/>
  <c r="O34" i="20"/>
  <c r="O41" i="20" s="1"/>
  <c r="P34" i="20"/>
  <c r="P41" i="20" s="1"/>
  <c r="Q34" i="20"/>
  <c r="Q41" i="20" s="1"/>
  <c r="R34" i="20"/>
  <c r="S34" i="20"/>
  <c r="T34" i="20"/>
  <c r="T41" i="20" s="1"/>
  <c r="U34" i="20"/>
  <c r="U41" i="20" s="1"/>
  <c r="V34" i="20"/>
  <c r="V41" i="20" s="1"/>
  <c r="W34" i="20"/>
  <c r="W41" i="20" s="1"/>
  <c r="X34" i="20"/>
  <c r="Y34" i="20"/>
  <c r="Z34" i="20"/>
  <c r="AA34" i="20"/>
  <c r="AB34" i="20"/>
  <c r="AC34" i="20"/>
  <c r="AD34" i="20"/>
  <c r="AE34" i="20"/>
  <c r="AE41" i="20" s="1"/>
  <c r="AF34" i="20"/>
  <c r="B38" i="20"/>
  <c r="C38" i="20"/>
  <c r="D38" i="20"/>
  <c r="E38" i="20"/>
  <c r="F38" i="20"/>
  <c r="H38" i="20"/>
  <c r="I38" i="20"/>
  <c r="J38" i="20"/>
  <c r="K38" i="20"/>
  <c r="L38" i="20"/>
  <c r="M38" i="20"/>
  <c r="N38" i="20"/>
  <c r="O38" i="20"/>
  <c r="P38" i="20"/>
  <c r="Q38" i="20"/>
  <c r="R38" i="20"/>
  <c r="S38" i="20"/>
  <c r="T38" i="20"/>
  <c r="U38" i="20"/>
  <c r="V38" i="20"/>
  <c r="W38" i="20"/>
  <c r="X38" i="20"/>
  <c r="Y38" i="20"/>
  <c r="Z38" i="20"/>
  <c r="AA38" i="20"/>
  <c r="AB38" i="20"/>
  <c r="AC38" i="20"/>
  <c r="AD38" i="20"/>
  <c r="AE38" i="20"/>
  <c r="B41" i="20"/>
  <c r="C41" i="20"/>
  <c r="H41" i="20"/>
  <c r="I41" i="20"/>
  <c r="J41" i="20"/>
  <c r="K41" i="20"/>
  <c r="L41" i="20"/>
  <c r="M41" i="20"/>
  <c r="N41" i="20"/>
  <c r="R41" i="20"/>
  <c r="S41" i="20"/>
  <c r="X41" i="20"/>
  <c r="Y41" i="20"/>
  <c r="Z41" i="20"/>
  <c r="AA41" i="20"/>
  <c r="AB41" i="20"/>
  <c r="AC41" i="20"/>
  <c r="AD41" i="20"/>
  <c r="B44" i="20"/>
  <c r="C44" i="20"/>
  <c r="D44" i="20"/>
  <c r="E44" i="20"/>
  <c r="F44" i="20"/>
  <c r="I44" i="20"/>
  <c r="J44" i="20"/>
  <c r="K44" i="20"/>
  <c r="L44" i="20"/>
  <c r="M44" i="20"/>
  <c r="N44" i="20"/>
  <c r="O44" i="20"/>
  <c r="Q44" i="20"/>
  <c r="R44" i="20"/>
  <c r="V44" i="20"/>
  <c r="W44" i="20"/>
  <c r="X44" i="20"/>
  <c r="Y44" i="20"/>
  <c r="Z44" i="20"/>
  <c r="AA44" i="20"/>
  <c r="AB44" i="20"/>
  <c r="AC44" i="20"/>
  <c r="AD44" i="20"/>
  <c r="AE44" i="20"/>
  <c r="AF44" i="20"/>
  <c r="B3" i="19"/>
  <c r="C3" i="19"/>
  <c r="D3" i="19"/>
  <c r="E3" i="19"/>
  <c r="F3" i="19" s="1"/>
  <c r="G3" i="19" s="1"/>
  <c r="H3" i="19" s="1"/>
  <c r="I3" i="19" s="1"/>
  <c r="J3" i="19" s="1"/>
  <c r="K3" i="19" s="1"/>
  <c r="L3" i="19" s="1"/>
  <c r="M3" i="19" s="1"/>
  <c r="N3" i="19" s="1"/>
  <c r="O3" i="19" s="1"/>
  <c r="P3" i="19" s="1"/>
  <c r="Q3" i="19" s="1"/>
  <c r="R3" i="19" s="1"/>
  <c r="S3" i="19" s="1"/>
  <c r="T3" i="19" s="1"/>
  <c r="U3" i="19" s="1"/>
  <c r="V3" i="19" s="1"/>
  <c r="W3" i="19" s="1"/>
  <c r="X3" i="19" s="1"/>
  <c r="Y3" i="19" s="1"/>
  <c r="Z3" i="19" s="1"/>
  <c r="AA3" i="19" s="1"/>
  <c r="AB3" i="19" s="1"/>
  <c r="AC3" i="19" s="1"/>
  <c r="AD3" i="19" s="1"/>
  <c r="AE3" i="19" s="1"/>
  <c r="AF3" i="19" s="1"/>
  <c r="B4" i="19"/>
  <c r="C4" i="19"/>
  <c r="D4" i="19"/>
  <c r="E4" i="19"/>
  <c r="F4" i="19"/>
  <c r="G4" i="19" s="1"/>
  <c r="H4" i="19" s="1"/>
  <c r="I4" i="19" s="1"/>
  <c r="J4" i="19" s="1"/>
  <c r="K4" i="19" s="1"/>
  <c r="L4" i="19" s="1"/>
  <c r="M4" i="19" s="1"/>
  <c r="N4" i="19" s="1"/>
  <c r="O4" i="19" s="1"/>
  <c r="P4" i="19" s="1"/>
  <c r="Q4" i="19" s="1"/>
  <c r="R4" i="19" s="1"/>
  <c r="S4" i="19" s="1"/>
  <c r="T4" i="19" s="1"/>
  <c r="U4" i="19" s="1"/>
  <c r="V4" i="19" s="1"/>
  <c r="W4" i="19" s="1"/>
  <c r="X4" i="19" s="1"/>
  <c r="Y4" i="19" s="1"/>
  <c r="Z4" i="19" s="1"/>
  <c r="AA4" i="19" s="1"/>
  <c r="AB4" i="19" s="1"/>
  <c r="AC4" i="19" s="1"/>
  <c r="AD4" i="19" s="1"/>
  <c r="AE4" i="19" s="1"/>
  <c r="AF4" i="19" s="1"/>
  <c r="B11" i="19"/>
  <c r="C11" i="19"/>
  <c r="D11" i="19"/>
  <c r="D12" i="19" s="1"/>
  <c r="E11" i="19"/>
  <c r="E12" i="19" s="1"/>
  <c r="F11" i="19"/>
  <c r="F12" i="19" s="1"/>
  <c r="G11" i="19"/>
  <c r="G12" i="19" s="1"/>
  <c r="H11" i="19"/>
  <c r="I11" i="19"/>
  <c r="J11" i="19"/>
  <c r="K11" i="19"/>
  <c r="K12" i="19" s="1"/>
  <c r="L11" i="19"/>
  <c r="L12" i="19" s="1"/>
  <c r="M11" i="19"/>
  <c r="M12" i="19" s="1"/>
  <c r="N11" i="19"/>
  <c r="O11" i="19"/>
  <c r="P11" i="19"/>
  <c r="Q11" i="19"/>
  <c r="R11" i="19"/>
  <c r="S11" i="19"/>
  <c r="T11" i="19"/>
  <c r="T12" i="19" s="1"/>
  <c r="U11" i="19"/>
  <c r="U12" i="19" s="1"/>
  <c r="V11" i="19"/>
  <c r="V12" i="19" s="1"/>
  <c r="W11" i="19"/>
  <c r="W12" i="19" s="1"/>
  <c r="X11" i="19"/>
  <c r="Y11" i="19"/>
  <c r="Z11" i="19"/>
  <c r="Z12" i="19" s="1"/>
  <c r="AA11" i="19"/>
  <c r="AA12" i="19" s="1"/>
  <c r="AB11" i="19"/>
  <c r="AB12" i="19" s="1"/>
  <c r="AC11" i="19"/>
  <c r="AC12" i="19" s="1"/>
  <c r="AD11" i="19"/>
  <c r="AE11" i="19"/>
  <c r="AF11" i="19"/>
  <c r="B12" i="19"/>
  <c r="C12" i="19"/>
  <c r="H12" i="19"/>
  <c r="I12" i="19"/>
  <c r="J12" i="19"/>
  <c r="N12" i="19"/>
  <c r="O12" i="19"/>
  <c r="P12" i="19"/>
  <c r="Q12" i="19"/>
  <c r="R12" i="19"/>
  <c r="S12" i="19"/>
  <c r="X12" i="19"/>
  <c r="Y12" i="19"/>
  <c r="AD12" i="19"/>
  <c r="AE12" i="19"/>
  <c r="AF12" i="19"/>
  <c r="B17" i="19"/>
  <c r="C17" i="19"/>
  <c r="D17" i="19"/>
  <c r="E17" i="19"/>
  <c r="F17" i="19"/>
  <c r="F20" i="19" s="1"/>
  <c r="G17" i="19"/>
  <c r="G20" i="19" s="1"/>
  <c r="H17" i="19"/>
  <c r="I17" i="19"/>
  <c r="J17" i="19"/>
  <c r="K17" i="19"/>
  <c r="L17" i="19"/>
  <c r="L20" i="19" s="1"/>
  <c r="M17" i="19"/>
  <c r="M20" i="19" s="1"/>
  <c r="N17" i="19"/>
  <c r="N20" i="19" s="1"/>
  <c r="O17" i="19"/>
  <c r="P17" i="19"/>
  <c r="Q17" i="19"/>
  <c r="R17" i="19"/>
  <c r="S17" i="19"/>
  <c r="T17" i="19"/>
  <c r="U17" i="19"/>
  <c r="V17" i="19"/>
  <c r="V20" i="19" s="1"/>
  <c r="W17" i="19"/>
  <c r="W20" i="19" s="1"/>
  <c r="X17" i="19"/>
  <c r="X20" i="19" s="1"/>
  <c r="Y17" i="19"/>
  <c r="Z17" i="19"/>
  <c r="AA17" i="19"/>
  <c r="AB17" i="19"/>
  <c r="AB20" i="19" s="1"/>
  <c r="AC17" i="19"/>
  <c r="AC20" i="19" s="1"/>
  <c r="AD17" i="19"/>
  <c r="AD20" i="19" s="1"/>
  <c r="AE17" i="19"/>
  <c r="AF17" i="19"/>
  <c r="B18" i="19"/>
  <c r="C18"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B19" i="19"/>
  <c r="C19"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AF19" i="19"/>
  <c r="B20" i="19"/>
  <c r="C20" i="19"/>
  <c r="D20" i="19"/>
  <c r="E20" i="19"/>
  <c r="H20" i="19"/>
  <c r="I20" i="19"/>
  <c r="J20" i="19"/>
  <c r="K20" i="19"/>
  <c r="O20" i="19"/>
  <c r="P20" i="19"/>
  <c r="Q20" i="19"/>
  <c r="R20" i="19"/>
  <c r="S20" i="19"/>
  <c r="T20" i="19"/>
  <c r="U20" i="19"/>
  <c r="Y20" i="19"/>
  <c r="Z20" i="19"/>
  <c r="AA20" i="19"/>
  <c r="AE20" i="19"/>
  <c r="AF20" i="19"/>
  <c r="AH22" i="19"/>
  <c r="AH23" i="19"/>
  <c r="AH24" i="19"/>
  <c r="AH25" i="19"/>
  <c r="AH26" i="19"/>
  <c r="AH27" i="19"/>
  <c r="AH28" i="19"/>
  <c r="AH29" i="19"/>
  <c r="AH30" i="19"/>
  <c r="AH31" i="19"/>
  <c r="AH32" i="19"/>
  <c r="B34" i="19"/>
  <c r="C34" i="19"/>
  <c r="C41" i="19" s="1"/>
  <c r="D34" i="19"/>
  <c r="D41" i="19" s="1"/>
  <c r="E34" i="19"/>
  <c r="E38" i="19" s="1"/>
  <c r="F34" i="19"/>
  <c r="F41" i="19" s="1"/>
  <c r="G34" i="19"/>
  <c r="H34" i="19"/>
  <c r="I34" i="19"/>
  <c r="J34" i="19"/>
  <c r="K34" i="19"/>
  <c r="L34" i="19"/>
  <c r="M34" i="19"/>
  <c r="N34" i="19"/>
  <c r="N41" i="19" s="1"/>
  <c r="O34" i="19"/>
  <c r="O38" i="19" s="1"/>
  <c r="P34" i="19"/>
  <c r="P41" i="19" s="1"/>
  <c r="Q34" i="19"/>
  <c r="R34" i="19"/>
  <c r="S34" i="19"/>
  <c r="S41" i="19" s="1"/>
  <c r="T34" i="19"/>
  <c r="T41" i="19" s="1"/>
  <c r="U34" i="19"/>
  <c r="U41" i="19" s="1"/>
  <c r="V34" i="19"/>
  <c r="V38" i="19" s="1"/>
  <c r="W34" i="19"/>
  <c r="X34" i="19"/>
  <c r="Y34" i="19"/>
  <c r="Z34" i="19"/>
  <c r="AA34" i="19"/>
  <c r="AB34" i="19"/>
  <c r="AC34" i="19"/>
  <c r="AD34" i="19"/>
  <c r="AD41" i="19" s="1"/>
  <c r="AE34" i="19"/>
  <c r="AE41" i="19" s="1"/>
  <c r="AF34" i="19"/>
  <c r="AF41" i="19" s="1"/>
  <c r="B38" i="19"/>
  <c r="G38" i="19"/>
  <c r="H38" i="19"/>
  <c r="I38" i="19"/>
  <c r="J38" i="19"/>
  <c r="K38" i="19"/>
  <c r="L38" i="19"/>
  <c r="M38" i="19"/>
  <c r="Q38" i="19"/>
  <c r="R38" i="19"/>
  <c r="W38" i="19"/>
  <c r="X38" i="19"/>
  <c r="Y38" i="19"/>
  <c r="Z38" i="19"/>
  <c r="AA38" i="19"/>
  <c r="AB38" i="19"/>
  <c r="AC38" i="19"/>
  <c r="B41" i="19"/>
  <c r="G41" i="19"/>
  <c r="H41" i="19"/>
  <c r="I41" i="19"/>
  <c r="J41" i="19"/>
  <c r="K41" i="19"/>
  <c r="L41" i="19"/>
  <c r="M41" i="19"/>
  <c r="Q41" i="19"/>
  <c r="R41" i="19"/>
  <c r="W41" i="19"/>
  <c r="X41" i="19"/>
  <c r="Y41" i="19"/>
  <c r="Z41" i="19"/>
  <c r="AA41" i="19"/>
  <c r="AB41" i="19"/>
  <c r="AC41" i="19"/>
  <c r="B44" i="19"/>
  <c r="AH44" i="19" s="1"/>
  <c r="C44" i="19"/>
  <c r="D44" i="19"/>
  <c r="E44" i="19"/>
  <c r="F44" i="19"/>
  <c r="G44" i="19"/>
  <c r="H44" i="19"/>
  <c r="I44" i="19"/>
  <c r="J44" i="19"/>
  <c r="K44" i="19"/>
  <c r="L44" i="19"/>
  <c r="M44" i="19"/>
  <c r="N44" i="19"/>
  <c r="O44" i="19"/>
  <c r="P44" i="19"/>
  <c r="Q44" i="19"/>
  <c r="R44" i="19"/>
  <c r="S44" i="19"/>
  <c r="T44" i="19"/>
  <c r="U44" i="19"/>
  <c r="V44" i="19"/>
  <c r="W44" i="19"/>
  <c r="X44" i="19"/>
  <c r="Y44" i="19"/>
  <c r="Z44" i="19"/>
  <c r="AA44" i="19"/>
  <c r="AB44" i="19"/>
  <c r="AC44" i="19"/>
  <c r="AD44" i="19"/>
  <c r="AE44" i="19"/>
  <c r="AF44" i="19"/>
  <c r="AH20" i="21" l="1"/>
  <c r="AH12" i="20"/>
  <c r="AH44" i="20"/>
  <c r="AH12" i="21"/>
  <c r="AH20" i="19"/>
  <c r="AH12" i="19"/>
  <c r="G41" i="21"/>
  <c r="U38" i="19"/>
  <c r="T8" i="20"/>
  <c r="E41" i="19"/>
  <c r="T38" i="19"/>
  <c r="D38" i="19"/>
  <c r="F41" i="20"/>
  <c r="S8" i="20"/>
  <c r="S38" i="19"/>
  <c r="C38" i="19"/>
  <c r="G44" i="20"/>
  <c r="P8" i="20"/>
  <c r="G38" i="20"/>
  <c r="W38" i="21"/>
  <c r="F38" i="19"/>
  <c r="V41" i="19"/>
  <c r="F41" i="21"/>
  <c r="H44" i="20"/>
  <c r="AF38" i="21"/>
  <c r="AE38" i="19"/>
  <c r="O41" i="19"/>
  <c r="AD38" i="19"/>
  <c r="N38" i="19"/>
  <c r="AF38" i="19"/>
  <c r="P38" i="21"/>
  <c r="U44" i="20"/>
  <c r="P38" i="19"/>
  <c r="L44" i="21"/>
  <c r="K44" i="21"/>
  <c r="J44" i="21"/>
  <c r="AH44" i="21" s="1"/>
  <c r="Y34" i="16" l="1"/>
  <c r="Z34" i="16"/>
  <c r="AA34" i="16"/>
  <c r="AB34" i="16"/>
  <c r="AC34" i="16"/>
  <c r="AD34" i="16"/>
  <c r="AE34" i="16"/>
  <c r="AG45" i="9"/>
  <c r="B11" i="16"/>
  <c r="B12" i="16" s="1"/>
  <c r="AF11" i="15"/>
  <c r="AF12" i="15" s="1"/>
  <c r="AE11" i="15"/>
  <c r="AE12" i="15" s="1"/>
  <c r="AD11" i="15"/>
  <c r="AD12" i="15" s="1"/>
  <c r="AC11" i="15"/>
  <c r="AB11" i="15"/>
  <c r="Y12" i="15"/>
  <c r="X12" i="15"/>
  <c r="W12" i="15"/>
  <c r="V12" i="15"/>
  <c r="M12" i="15"/>
  <c r="L12" i="15"/>
  <c r="J12" i="15"/>
  <c r="I12" i="15"/>
  <c r="H12" i="15"/>
  <c r="G12" i="15"/>
  <c r="Z11" i="15"/>
  <c r="Z12" i="15" s="1"/>
  <c r="Y11" i="15"/>
  <c r="X11" i="15"/>
  <c r="W11" i="15"/>
  <c r="V11" i="15"/>
  <c r="U11" i="15"/>
  <c r="U12" i="15" s="1"/>
  <c r="T11" i="15"/>
  <c r="T12" i="15" s="1"/>
  <c r="S11" i="15"/>
  <c r="S12" i="15" s="1"/>
  <c r="R11" i="15"/>
  <c r="R12" i="15" s="1"/>
  <c r="Q11" i="15"/>
  <c r="Q12" i="15" s="1"/>
  <c r="P11" i="15"/>
  <c r="P12" i="15" s="1"/>
  <c r="O11" i="15"/>
  <c r="O12" i="15" s="1"/>
  <c r="N11" i="15"/>
  <c r="N12" i="15" s="1"/>
  <c r="M11" i="15"/>
  <c r="L11" i="15"/>
  <c r="K11" i="15"/>
  <c r="K12" i="15" s="1"/>
  <c r="J11" i="15"/>
  <c r="I11" i="15"/>
  <c r="H11" i="15"/>
  <c r="G11" i="15"/>
  <c r="C12" i="15"/>
  <c r="B12" i="15"/>
  <c r="E11" i="15"/>
  <c r="E12" i="15" s="1"/>
  <c r="D11" i="15"/>
  <c r="D12" i="15" s="1"/>
  <c r="C11" i="15"/>
  <c r="B11" i="15"/>
  <c r="X12" i="14"/>
  <c r="L12" i="14"/>
  <c r="AF11" i="14"/>
  <c r="AF12" i="14" s="1"/>
  <c r="AE11" i="14"/>
  <c r="AE12" i="14" s="1"/>
  <c r="AD11" i="14"/>
  <c r="AD12" i="14" s="1"/>
  <c r="AC11" i="14"/>
  <c r="AC12" i="14" s="1"/>
  <c r="AB11" i="14"/>
  <c r="AB12" i="14" s="1"/>
  <c r="AA11" i="14"/>
  <c r="AA12" i="14" s="1"/>
  <c r="Z11" i="14"/>
  <c r="Z12" i="14" s="1"/>
  <c r="Y11" i="14"/>
  <c r="Y12" i="14" s="1"/>
  <c r="X11" i="14"/>
  <c r="W11" i="14"/>
  <c r="W12" i="14" s="1"/>
  <c r="V11" i="14"/>
  <c r="V12" i="14" s="1"/>
  <c r="U11" i="14"/>
  <c r="U12" i="14" s="1"/>
  <c r="T11" i="14"/>
  <c r="T12" i="14" s="1"/>
  <c r="S11" i="14"/>
  <c r="S12" i="14" s="1"/>
  <c r="R11" i="14"/>
  <c r="R12" i="14" s="1"/>
  <c r="Q11" i="14"/>
  <c r="Q12" i="14" s="1"/>
  <c r="P11" i="14"/>
  <c r="P12" i="14" s="1"/>
  <c r="O11" i="14"/>
  <c r="O12" i="14" s="1"/>
  <c r="N11" i="14"/>
  <c r="N12" i="14" s="1"/>
  <c r="M11" i="14"/>
  <c r="M12" i="14" s="1"/>
  <c r="L11" i="14"/>
  <c r="K11" i="14"/>
  <c r="K12" i="14" s="1"/>
  <c r="J11" i="14"/>
  <c r="J12" i="14" s="1"/>
  <c r="I11" i="14"/>
  <c r="I12" i="14" s="1"/>
  <c r="H11" i="14"/>
  <c r="H12" i="14" s="1"/>
  <c r="AB12" i="15" l="1"/>
  <c r="AC12" i="15"/>
  <c r="T11" i="12"/>
  <c r="T12" i="12" s="1"/>
  <c r="AE11" i="13"/>
  <c r="AE12" i="13" s="1"/>
  <c r="X11" i="13"/>
  <c r="X12" i="13" s="1"/>
  <c r="Q12" i="13"/>
  <c r="Q11" i="13"/>
  <c r="J12" i="13"/>
  <c r="J11" i="13"/>
  <c r="C12" i="13"/>
  <c r="C11" i="13"/>
  <c r="AD12" i="13"/>
  <c r="AD11" i="13"/>
  <c r="W12" i="13"/>
  <c r="W11" i="13"/>
  <c r="P12" i="13"/>
  <c r="P11" i="13"/>
  <c r="I12" i="13"/>
  <c r="I11" i="13"/>
  <c r="B12" i="13"/>
  <c r="B11" i="13"/>
  <c r="AC12" i="13"/>
  <c r="AA12" i="13"/>
  <c r="Y12" i="13"/>
  <c r="AC11" i="13"/>
  <c r="AB11" i="13"/>
  <c r="AB12" i="13" s="1"/>
  <c r="AA11" i="13"/>
  <c r="Z11" i="13"/>
  <c r="Z12" i="13" s="1"/>
  <c r="Y11" i="13"/>
  <c r="T12" i="13"/>
  <c r="R12" i="13"/>
  <c r="V11" i="13"/>
  <c r="V12" i="13" s="1"/>
  <c r="U11" i="13"/>
  <c r="U12" i="13" s="1"/>
  <c r="T11" i="13"/>
  <c r="S11" i="13"/>
  <c r="S12" i="13" s="1"/>
  <c r="R11" i="13"/>
  <c r="O12" i="13"/>
  <c r="K12" i="13"/>
  <c r="O11" i="13"/>
  <c r="N11" i="13"/>
  <c r="N12" i="13" s="1"/>
  <c r="M11" i="13"/>
  <c r="M12" i="13" s="1"/>
  <c r="L11" i="13"/>
  <c r="L12" i="13" s="1"/>
  <c r="K11" i="13"/>
  <c r="H12" i="13"/>
  <c r="F12" i="13"/>
  <c r="E12" i="13"/>
  <c r="H11" i="13"/>
  <c r="G11" i="13"/>
  <c r="G12" i="13" s="1"/>
  <c r="F11" i="13"/>
  <c r="E11" i="13"/>
  <c r="D11" i="13"/>
  <c r="D12" i="13" s="1"/>
  <c r="AD12" i="12"/>
  <c r="AC12" i="12"/>
  <c r="AB12" i="12"/>
  <c r="AF11" i="12"/>
  <c r="AF12" i="12" s="1"/>
  <c r="AE11" i="12"/>
  <c r="AE12" i="12" s="1"/>
  <c r="AD11" i="12"/>
  <c r="AC11" i="12"/>
  <c r="AB11" i="12"/>
  <c r="Y11" i="12"/>
  <c r="Y12" i="12" s="1"/>
  <c r="X11" i="12"/>
  <c r="X12" i="12" s="1"/>
  <c r="W11" i="12"/>
  <c r="W12" i="12" s="1"/>
  <c r="V11" i="12"/>
  <c r="V12" i="12" s="1"/>
  <c r="R11" i="12"/>
  <c r="R12" i="12" s="1"/>
  <c r="Q11" i="12"/>
  <c r="Q12" i="12" s="1"/>
  <c r="P11" i="12"/>
  <c r="P12" i="12" s="1"/>
  <c r="O11" i="12"/>
  <c r="O12" i="12" s="1"/>
  <c r="AG22" i="11" l="1"/>
  <c r="AG23" i="11"/>
  <c r="AG24" i="11"/>
  <c r="AG25" i="11"/>
  <c r="AG26" i="11"/>
  <c r="AG27" i="11"/>
  <c r="AG28" i="11"/>
  <c r="AG29" i="11"/>
  <c r="AG30" i="11"/>
  <c r="AG31" i="11"/>
  <c r="AG32" i="11"/>
  <c r="L11" i="12"/>
  <c r="L12" i="12" s="1"/>
  <c r="K11" i="12"/>
  <c r="K12" i="12" s="1"/>
  <c r="J11" i="12"/>
  <c r="J12" i="12" s="1"/>
  <c r="H11" i="12"/>
  <c r="H12" i="12" s="1"/>
  <c r="E19" i="12"/>
  <c r="D19" i="12"/>
  <c r="C19" i="12"/>
  <c r="B19" i="12"/>
  <c r="E18" i="12"/>
  <c r="D18" i="12"/>
  <c r="C18" i="12"/>
  <c r="B18" i="12"/>
  <c r="E17" i="12"/>
  <c r="E20" i="12" s="1"/>
  <c r="D17" i="12"/>
  <c r="C17" i="12"/>
  <c r="B17" i="12"/>
  <c r="B12" i="12"/>
  <c r="E11" i="12"/>
  <c r="E12" i="12" s="1"/>
  <c r="D11" i="12"/>
  <c r="D12" i="12" s="1"/>
  <c r="C11" i="12"/>
  <c r="C12" i="12" s="1"/>
  <c r="B11" i="12"/>
  <c r="AE11" i="11"/>
  <c r="AE12" i="11" s="1"/>
  <c r="AD11" i="11"/>
  <c r="AD12" i="11" s="1"/>
  <c r="AC11" i="11"/>
  <c r="AC12" i="11" s="1"/>
  <c r="AB11" i="11"/>
  <c r="AB12" i="11" s="1"/>
  <c r="AA11" i="11"/>
  <c r="AA12" i="11" s="1"/>
  <c r="Z11" i="11"/>
  <c r="Z12" i="11" s="1"/>
  <c r="Y11" i="11"/>
  <c r="Y12" i="11" s="1"/>
  <c r="X11" i="11"/>
  <c r="X12" i="11" s="1"/>
  <c r="W11" i="11"/>
  <c r="W12" i="11" s="1"/>
  <c r="V11" i="11"/>
  <c r="V12" i="11" s="1"/>
  <c r="U11" i="11"/>
  <c r="U12" i="11" s="1"/>
  <c r="T11" i="11"/>
  <c r="T12" i="11" s="1"/>
  <c r="S11" i="11"/>
  <c r="S12" i="11" s="1"/>
  <c r="R11" i="11"/>
  <c r="R12" i="11" s="1"/>
  <c r="Q11" i="11"/>
  <c r="Q12" i="11" s="1"/>
  <c r="P11" i="11"/>
  <c r="P12" i="11" s="1"/>
  <c r="O11" i="11"/>
  <c r="O12" i="11" s="1"/>
  <c r="N11" i="11"/>
  <c r="N12" i="11" s="1"/>
  <c r="M11" i="11"/>
  <c r="M12" i="11" s="1"/>
  <c r="L11" i="11"/>
  <c r="L12" i="11" s="1"/>
  <c r="K11" i="11"/>
  <c r="K12" i="11" s="1"/>
  <c r="J11" i="11"/>
  <c r="J12" i="11" s="1"/>
  <c r="I11" i="11"/>
  <c r="I12" i="11" s="1"/>
  <c r="H11" i="11"/>
  <c r="H12" i="11" s="1"/>
  <c r="B20" i="12" l="1"/>
  <c r="C20" i="12"/>
  <c r="D20" i="12"/>
  <c r="F11" i="11"/>
  <c r="F12" i="11" s="1"/>
  <c r="E11" i="11"/>
  <c r="E12" i="11" s="1"/>
  <c r="D11" i="11"/>
  <c r="D12" i="11" s="1"/>
  <c r="Y11" i="10"/>
  <c r="Y12" i="10" s="1"/>
  <c r="R11" i="10"/>
  <c r="R12" i="10" s="1"/>
  <c r="X11" i="10"/>
  <c r="X12" i="10" s="1"/>
  <c r="AD11" i="10"/>
  <c r="AD12" i="10" s="1"/>
  <c r="AC11" i="10"/>
  <c r="AC12" i="10" s="1"/>
  <c r="AB11" i="10"/>
  <c r="AB12" i="10" s="1"/>
  <c r="AA11" i="10"/>
  <c r="AA12" i="10" s="1"/>
  <c r="Z11" i="10"/>
  <c r="Z12" i="10" s="1"/>
  <c r="W11" i="10"/>
  <c r="W12" i="10" s="1"/>
  <c r="V11" i="10"/>
  <c r="V12" i="10" s="1"/>
  <c r="U11" i="10"/>
  <c r="U12" i="10" s="1"/>
  <c r="T11" i="10"/>
  <c r="T12" i="10" s="1"/>
  <c r="S11" i="10"/>
  <c r="S12" i="10" s="1"/>
  <c r="P11" i="10"/>
  <c r="P12" i="10" s="1"/>
  <c r="O11" i="10"/>
  <c r="O12" i="10" s="1"/>
  <c r="N11" i="10"/>
  <c r="N12" i="10" s="1"/>
  <c r="M11" i="10"/>
  <c r="M12" i="10" s="1"/>
  <c r="AF23" i="9" l="1"/>
  <c r="AF24" i="9"/>
  <c r="AF25" i="9"/>
  <c r="AF26" i="9"/>
  <c r="AF27" i="9"/>
  <c r="AF28" i="9"/>
  <c r="AF29" i="9"/>
  <c r="AF30" i="9"/>
  <c r="AF31" i="9"/>
  <c r="AF32" i="9"/>
  <c r="AF22" i="9"/>
  <c r="F10" i="17" s="1"/>
  <c r="AH22" i="10"/>
  <c r="E17" i="8" l="1"/>
  <c r="F17" i="8"/>
  <c r="G17" i="8"/>
  <c r="G20" i="8" s="1"/>
  <c r="H17" i="8"/>
  <c r="E18" i="8"/>
  <c r="F18" i="8"/>
  <c r="G18" i="8"/>
  <c r="H18" i="8"/>
  <c r="H20" i="8" l="1"/>
  <c r="AD11" i="9"/>
  <c r="AD12" i="9" s="1"/>
  <c r="AD17" i="9"/>
  <c r="AD18" i="9"/>
  <c r="AD19" i="9"/>
  <c r="D20" i="9"/>
  <c r="E20" i="9"/>
  <c r="F20" i="9"/>
  <c r="AD20" i="9" l="1"/>
  <c r="AF12" i="16"/>
  <c r="AE12" i="16"/>
  <c r="AF11" i="16"/>
  <c r="AE11" i="16"/>
  <c r="AD11" i="16"/>
  <c r="AD12" i="16" s="1"/>
  <c r="AC11" i="16"/>
  <c r="AC12" i="16" s="1"/>
  <c r="AB11" i="16"/>
  <c r="AB12" i="16" s="1"/>
  <c r="AA11" i="16"/>
  <c r="AA12" i="16" s="1"/>
  <c r="AF9" i="16"/>
  <c r="AF8" i="16" s="1"/>
  <c r="AE9" i="16"/>
  <c r="AE8" i="16" s="1"/>
  <c r="Y12" i="16"/>
  <c r="X12" i="16"/>
  <c r="Y11" i="16"/>
  <c r="X11" i="16"/>
  <c r="W11" i="16"/>
  <c r="W12" i="16" s="1"/>
  <c r="V11" i="16"/>
  <c r="V12" i="16" s="1"/>
  <c r="U11" i="16"/>
  <c r="U12" i="16" s="1"/>
  <c r="T11" i="16"/>
  <c r="T12" i="16" s="1"/>
  <c r="R12" i="16"/>
  <c r="Q12" i="16"/>
  <c r="R11" i="16"/>
  <c r="Q11" i="16"/>
  <c r="P11" i="16"/>
  <c r="P12" i="16" s="1"/>
  <c r="O11" i="16"/>
  <c r="O12" i="16" s="1"/>
  <c r="N11" i="16"/>
  <c r="N12" i="16" s="1"/>
  <c r="M11" i="16"/>
  <c r="M12" i="16" s="1"/>
  <c r="J11" i="16"/>
  <c r="J12" i="16" s="1"/>
  <c r="K11" i="16"/>
  <c r="K12" i="16" s="1"/>
  <c r="E9" i="9"/>
  <c r="E8" i="9" s="1"/>
  <c r="F9" i="9"/>
  <c r="F8" i="9" s="1"/>
  <c r="G9" i="9"/>
  <c r="G8" i="9" s="1"/>
  <c r="H9" i="9"/>
  <c r="H8" i="9" s="1"/>
  <c r="I9" i="9"/>
  <c r="I8" i="9" s="1"/>
  <c r="J9" i="9"/>
  <c r="J8" i="9" s="1"/>
  <c r="E11" i="9"/>
  <c r="F11" i="9"/>
  <c r="G11" i="9"/>
  <c r="H11" i="9"/>
  <c r="I11" i="9"/>
  <c r="J11" i="9"/>
  <c r="E12" i="9"/>
  <c r="F12" i="9"/>
  <c r="G12" i="9"/>
  <c r="H12" i="9"/>
  <c r="I12" i="9"/>
  <c r="J12" i="9"/>
  <c r="C11" i="8"/>
  <c r="C12" i="8" s="1"/>
  <c r="D11" i="8"/>
  <c r="D12" i="8" s="1"/>
  <c r="E11" i="8"/>
  <c r="E12" i="8" s="1"/>
  <c r="F11" i="8"/>
  <c r="F12" i="8" s="1"/>
  <c r="G11" i="8"/>
  <c r="G12" i="8" s="1"/>
  <c r="H11" i="8"/>
  <c r="H12" i="8" s="1"/>
  <c r="F11" i="10"/>
  <c r="F12" i="10" s="1"/>
  <c r="E11" i="10"/>
  <c r="E12" i="10" s="1"/>
  <c r="D11" i="10"/>
  <c r="D12" i="10" s="1"/>
  <c r="C11" i="10"/>
  <c r="C12" i="10" s="1"/>
  <c r="B11" i="10"/>
  <c r="B12" i="10" s="1"/>
  <c r="AF11" i="10" l="1"/>
  <c r="AE11" i="10"/>
  <c r="Q11" i="10"/>
  <c r="L11" i="10"/>
  <c r="K11" i="10"/>
  <c r="K12" i="10" s="1"/>
  <c r="J11" i="10"/>
  <c r="J12" i="10" s="1"/>
  <c r="I11" i="10"/>
  <c r="I12" i="10" s="1"/>
  <c r="H11" i="10"/>
  <c r="H12" i="10" s="1"/>
  <c r="G11" i="10"/>
  <c r="G12" i="10" s="1"/>
  <c r="G11" i="11"/>
  <c r="G12" i="11" s="1"/>
  <c r="C11" i="11"/>
  <c r="B11" i="11"/>
  <c r="Q12" i="10" l="1"/>
  <c r="AE12" i="10"/>
  <c r="B12" i="11"/>
  <c r="L12" i="10"/>
  <c r="AF12" i="10"/>
  <c r="C12" i="11"/>
  <c r="I34" i="12" l="1"/>
  <c r="E34" i="12"/>
  <c r="F34" i="12"/>
  <c r="B34" i="12"/>
  <c r="C34" i="12"/>
  <c r="J34" i="12"/>
  <c r="K34" i="12"/>
  <c r="D34" i="12"/>
  <c r="D38" i="12" s="1"/>
  <c r="G34" i="12"/>
  <c r="G38" i="12" s="1"/>
  <c r="H34" i="12"/>
  <c r="H38" i="12" s="1"/>
  <c r="L34" i="12"/>
  <c r="L38" i="12" s="1"/>
  <c r="D42" i="12"/>
  <c r="E42" i="12"/>
  <c r="F42" i="12"/>
  <c r="G42" i="12"/>
  <c r="H42" i="12"/>
  <c r="I42" i="12"/>
  <c r="L42" i="12"/>
  <c r="L41" i="12" l="1"/>
  <c r="D41" i="12"/>
  <c r="K41" i="12"/>
  <c r="K38" i="12"/>
  <c r="C41" i="12"/>
  <c r="C38" i="12"/>
  <c r="F38" i="12"/>
  <c r="F41" i="12"/>
  <c r="I38" i="12"/>
  <c r="I41" i="12"/>
  <c r="J41" i="12"/>
  <c r="J38" i="12"/>
  <c r="B41" i="12"/>
  <c r="B38" i="12"/>
  <c r="E41" i="12"/>
  <c r="E38" i="12"/>
  <c r="H41" i="12"/>
  <c r="G41" i="12"/>
  <c r="K42" i="12"/>
  <c r="C42" i="12"/>
  <c r="J42" i="12"/>
  <c r="B42" i="12"/>
  <c r="D11" i="16" l="1"/>
  <c r="D12" i="16" s="1"/>
  <c r="C11" i="16"/>
  <c r="C12" i="16" s="1"/>
  <c r="D11" i="14"/>
  <c r="D12" i="14" s="1"/>
  <c r="C11" i="14"/>
  <c r="C12" i="14" s="1"/>
  <c r="B11" i="14"/>
  <c r="B12" i="14" s="1"/>
  <c r="U11" i="12"/>
  <c r="U12" i="12" s="1"/>
  <c r="S11" i="12"/>
  <c r="S12" i="12" s="1"/>
  <c r="N11" i="12"/>
  <c r="N12" i="12" s="1"/>
  <c r="M11" i="12"/>
  <c r="M12" i="12" s="1"/>
  <c r="L44" i="12"/>
  <c r="K44" i="12"/>
  <c r="J44" i="12"/>
  <c r="AA11" i="12"/>
  <c r="AA12" i="12" s="1"/>
  <c r="Z11" i="12"/>
  <c r="Z12" i="12" s="1"/>
  <c r="AB19" i="10"/>
  <c r="AA19" i="10"/>
  <c r="Z19" i="10"/>
  <c r="AB18" i="10"/>
  <c r="AA18" i="10"/>
  <c r="Z18" i="10"/>
  <c r="AB17" i="10"/>
  <c r="AA17" i="10"/>
  <c r="Z17" i="10"/>
  <c r="U19" i="10"/>
  <c r="T19" i="10"/>
  <c r="S19" i="10"/>
  <c r="U18" i="10"/>
  <c r="T18" i="10"/>
  <c r="S18" i="10"/>
  <c r="U17" i="10"/>
  <c r="T17" i="10"/>
  <c r="S17" i="10"/>
  <c r="N19" i="10"/>
  <c r="N18" i="10"/>
  <c r="N17" i="10"/>
  <c r="M19" i="10"/>
  <c r="L19" i="10"/>
  <c r="M18" i="10"/>
  <c r="L18" i="10"/>
  <c r="M17" i="10"/>
  <c r="L17" i="10"/>
  <c r="E19" i="9"/>
  <c r="E18" i="9"/>
  <c r="E17" i="9"/>
  <c r="N20" i="10" l="1"/>
  <c r="L20" i="10"/>
  <c r="M20" i="10"/>
  <c r="S20" i="10"/>
  <c r="T20" i="10"/>
  <c r="Z20" i="10"/>
  <c r="U20" i="10"/>
  <c r="AA20" i="10"/>
  <c r="AB20" i="10"/>
  <c r="E11" i="16" l="1"/>
  <c r="E12" i="16" s="1"/>
  <c r="C17" i="8" l="1"/>
  <c r="C18" i="8"/>
  <c r="C19" i="8"/>
  <c r="C20" i="8" l="1"/>
  <c r="F11" i="16" l="1"/>
  <c r="G11" i="16"/>
  <c r="H11" i="16"/>
  <c r="I11" i="16"/>
  <c r="L11" i="16"/>
  <c r="S11" i="16"/>
  <c r="Z11" i="16"/>
  <c r="F11" i="15"/>
  <c r="AA11" i="15"/>
  <c r="E11" i="14"/>
  <c r="F11" i="14"/>
  <c r="G11" i="14"/>
  <c r="F11" i="12"/>
  <c r="G11" i="12"/>
  <c r="I11" i="12"/>
  <c r="AC11" i="9"/>
  <c r="AB11" i="9"/>
  <c r="AA11" i="9"/>
  <c r="Z11" i="9"/>
  <c r="Y11" i="9"/>
  <c r="X11" i="9"/>
  <c r="W11" i="9"/>
  <c r="V11" i="9"/>
  <c r="U11" i="9"/>
  <c r="T11" i="9"/>
  <c r="S11" i="9"/>
  <c r="R11" i="9"/>
  <c r="Q11" i="9"/>
  <c r="P11" i="9"/>
  <c r="O11" i="9"/>
  <c r="N11" i="9"/>
  <c r="M11" i="9"/>
  <c r="L11" i="9"/>
  <c r="K11" i="9"/>
  <c r="D11" i="9"/>
  <c r="C11" i="9"/>
  <c r="B11" i="9"/>
  <c r="AF11" i="8"/>
  <c r="AE11" i="8"/>
  <c r="AD11" i="8"/>
  <c r="AC11" i="8"/>
  <c r="AB11" i="8"/>
  <c r="AA11" i="8"/>
  <c r="Z11" i="8"/>
  <c r="Y11" i="8"/>
  <c r="X11" i="8"/>
  <c r="W11" i="8"/>
  <c r="V11" i="8"/>
  <c r="U11" i="8"/>
  <c r="T11" i="8"/>
  <c r="S11" i="8"/>
  <c r="R11" i="8"/>
  <c r="Q11" i="8"/>
  <c r="P11" i="8"/>
  <c r="O11" i="8"/>
  <c r="N11" i="8"/>
  <c r="M11" i="8"/>
  <c r="L11" i="8"/>
  <c r="K11" i="8"/>
  <c r="J11" i="8"/>
  <c r="I11" i="8"/>
  <c r="AF11" i="9"/>
  <c r="AE11" i="9"/>
  <c r="Z12" i="16" l="1"/>
  <c r="S12" i="16"/>
  <c r="F12" i="15"/>
  <c r="I12" i="12"/>
  <c r="G12" i="12"/>
  <c r="F12" i="12"/>
  <c r="I44" i="12"/>
  <c r="H44" i="12"/>
  <c r="G44" i="12"/>
  <c r="F44" i="12"/>
  <c r="E44" i="12"/>
  <c r="D44" i="12"/>
  <c r="C44" i="12"/>
  <c r="B44" i="12"/>
  <c r="AC19" i="16" l="1"/>
  <c r="AB19" i="16"/>
  <c r="AA19" i="16"/>
  <c r="Z19" i="16"/>
  <c r="Y19" i="16"/>
  <c r="AC18" i="16"/>
  <c r="AB18" i="16"/>
  <c r="AA18" i="16"/>
  <c r="Z18" i="16"/>
  <c r="Y18" i="16"/>
  <c r="AC17" i="16"/>
  <c r="AB17" i="16"/>
  <c r="AA17" i="16"/>
  <c r="Z17" i="16"/>
  <c r="Y17" i="16"/>
  <c r="V19" i="16"/>
  <c r="U19" i="16"/>
  <c r="T19" i="16"/>
  <c r="S19" i="16"/>
  <c r="R19" i="16"/>
  <c r="V18" i="16"/>
  <c r="U18" i="16"/>
  <c r="T18" i="16"/>
  <c r="S18" i="16"/>
  <c r="R18" i="16"/>
  <c r="V17" i="16"/>
  <c r="U17" i="16"/>
  <c r="T17" i="16"/>
  <c r="S17" i="16"/>
  <c r="R17" i="16"/>
  <c r="O17" i="16"/>
  <c r="P17" i="16"/>
  <c r="O18" i="16"/>
  <c r="P18" i="16"/>
  <c r="O19" i="16"/>
  <c r="P19" i="16"/>
  <c r="AD19" i="16"/>
  <c r="AD18" i="16"/>
  <c r="AD17" i="16"/>
  <c r="W19" i="16"/>
  <c r="W18" i="16"/>
  <c r="W17" i="16"/>
  <c r="F19" i="12"/>
  <c r="F18" i="12"/>
  <c r="F17" i="12"/>
  <c r="F19" i="11"/>
  <c r="E19" i="11"/>
  <c r="F18" i="11"/>
  <c r="E18" i="11"/>
  <c r="F17" i="11"/>
  <c r="E17" i="11"/>
  <c r="K19" i="10"/>
  <c r="J19" i="10"/>
  <c r="K18" i="10"/>
  <c r="J18" i="10"/>
  <c r="K17" i="10"/>
  <c r="J17" i="10"/>
  <c r="I19" i="9"/>
  <c r="I18" i="9"/>
  <c r="I17" i="9"/>
  <c r="F19" i="8"/>
  <c r="F20" i="8" s="1"/>
  <c r="AD44" i="9"/>
  <c r="AD34" i="9"/>
  <c r="AD38" i="9" s="1"/>
  <c r="AD42" i="9"/>
  <c r="Z20" i="16" l="1"/>
  <c r="I20" i="9"/>
  <c r="W20" i="16"/>
  <c r="V20" i="16"/>
  <c r="AB20" i="16"/>
  <c r="F20" i="12"/>
  <c r="AC20" i="16"/>
  <c r="AD20" i="16"/>
  <c r="T20" i="16"/>
  <c r="P20" i="16"/>
  <c r="O20" i="16"/>
  <c r="S20" i="16"/>
  <c r="U20" i="16"/>
  <c r="AA20" i="16"/>
  <c r="R20" i="16"/>
  <c r="Y20" i="16"/>
  <c r="F20" i="11"/>
  <c r="E20" i="11"/>
  <c r="J20" i="10"/>
  <c r="K20" i="10"/>
  <c r="AD41" i="9"/>
  <c r="B34" i="15"/>
  <c r="B38" i="15" s="1"/>
  <c r="C34" i="15"/>
  <c r="C38" i="15" s="1"/>
  <c r="D34" i="15"/>
  <c r="D38" i="15" s="1"/>
  <c r="E34" i="15"/>
  <c r="E38" i="15" s="1"/>
  <c r="F34" i="15"/>
  <c r="F41" i="15" s="1"/>
  <c r="G34" i="15"/>
  <c r="G38" i="15" s="1"/>
  <c r="H34" i="15"/>
  <c r="H38" i="15" s="1"/>
  <c r="I34" i="15"/>
  <c r="I38" i="15" s="1"/>
  <c r="J34" i="15"/>
  <c r="J38" i="15" s="1"/>
  <c r="K34" i="15"/>
  <c r="K38" i="15" s="1"/>
  <c r="L34" i="15"/>
  <c r="L41" i="15" s="1"/>
  <c r="B42" i="15"/>
  <c r="C42" i="15"/>
  <c r="D42" i="15"/>
  <c r="E42" i="15"/>
  <c r="F42" i="15"/>
  <c r="G42" i="15"/>
  <c r="H42" i="15"/>
  <c r="I42" i="15"/>
  <c r="J42" i="15"/>
  <c r="K42" i="15"/>
  <c r="L42" i="15"/>
  <c r="I41" i="15" l="1"/>
  <c r="H41" i="15"/>
  <c r="E41" i="15"/>
  <c r="G41" i="15"/>
  <c r="D41" i="15"/>
  <c r="L38" i="15"/>
  <c r="K41" i="15"/>
  <c r="C41" i="15"/>
  <c r="F38" i="15"/>
  <c r="J41" i="15"/>
  <c r="B41" i="15"/>
  <c r="E44" i="15" l="1"/>
  <c r="L44" i="15"/>
  <c r="D44" i="15"/>
  <c r="C44" i="15"/>
  <c r="J44" i="15"/>
  <c r="K44" i="15"/>
  <c r="I44" i="15"/>
  <c r="H44" i="15"/>
  <c r="G44" i="15"/>
  <c r="F44" i="15"/>
  <c r="B34" i="11" l="1"/>
  <c r="B41" i="11" s="1"/>
  <c r="C34" i="11"/>
  <c r="C38" i="11" s="1"/>
  <c r="D34" i="11"/>
  <c r="D38" i="11" s="1"/>
  <c r="E34" i="11"/>
  <c r="E41" i="11" s="1"/>
  <c r="F34" i="11"/>
  <c r="F41" i="11" s="1"/>
  <c r="G34" i="11"/>
  <c r="G38" i="11" s="1"/>
  <c r="H34" i="11"/>
  <c r="H38" i="11" s="1"/>
  <c r="I34" i="11"/>
  <c r="I38" i="11" s="1"/>
  <c r="J34" i="11"/>
  <c r="J38" i="11" s="1"/>
  <c r="K34" i="11"/>
  <c r="K41" i="11" s="1"/>
  <c r="L34" i="11"/>
  <c r="L38" i="11" s="1"/>
  <c r="E38" i="11"/>
  <c r="B42" i="11"/>
  <c r="C42" i="11"/>
  <c r="D42" i="11"/>
  <c r="E42" i="11"/>
  <c r="F42" i="11"/>
  <c r="G42" i="11"/>
  <c r="H42" i="11"/>
  <c r="I42" i="11"/>
  <c r="J42" i="11"/>
  <c r="K42" i="11"/>
  <c r="L42" i="11"/>
  <c r="E44" i="11"/>
  <c r="F44" i="11"/>
  <c r="F38" i="11" l="1"/>
  <c r="D41" i="11"/>
  <c r="L41" i="11"/>
  <c r="G41" i="11"/>
  <c r="H41" i="11"/>
  <c r="K38" i="11"/>
  <c r="J41" i="11"/>
  <c r="B38" i="11"/>
  <c r="C41" i="11"/>
  <c r="I41" i="11"/>
  <c r="H34" i="8" l="1"/>
  <c r="I34" i="8"/>
  <c r="J34" i="8"/>
  <c r="K34" i="8"/>
  <c r="L34" i="8"/>
  <c r="M34" i="8"/>
  <c r="N34" i="8"/>
  <c r="O34" i="8"/>
  <c r="P34" i="8"/>
  <c r="Q34" i="8"/>
  <c r="R34" i="8"/>
  <c r="H42" i="8"/>
  <c r="I42" i="8"/>
  <c r="J42" i="8"/>
  <c r="K42" i="8"/>
  <c r="L42" i="8"/>
  <c r="M42" i="8"/>
  <c r="N42" i="8"/>
  <c r="O42" i="8"/>
  <c r="P42" i="8"/>
  <c r="Q42" i="8"/>
  <c r="R42" i="8"/>
  <c r="H44" i="8"/>
  <c r="N38" i="8" l="1"/>
  <c r="M38" i="8"/>
  <c r="R38" i="8"/>
  <c r="J38" i="8"/>
  <c r="Q38" i="8"/>
  <c r="I38" i="8"/>
  <c r="I41" i="8"/>
  <c r="Q41" i="8"/>
  <c r="N41" i="8"/>
  <c r="R41" i="8"/>
  <c r="L41" i="8"/>
  <c r="L38" i="8"/>
  <c r="K41" i="8"/>
  <c r="K38" i="8"/>
  <c r="M41" i="8"/>
  <c r="O41" i="8"/>
  <c r="O38" i="8"/>
  <c r="P41" i="8"/>
  <c r="P38" i="8"/>
  <c r="J41" i="8"/>
  <c r="H41" i="8"/>
  <c r="H38" i="8"/>
  <c r="M34" i="11"/>
  <c r="M38" i="11" s="1"/>
  <c r="N34" i="11"/>
  <c r="N38" i="11" s="1"/>
  <c r="M42" i="11"/>
  <c r="N42" i="11"/>
  <c r="B34" i="10"/>
  <c r="B38" i="10" s="1"/>
  <c r="C34" i="10"/>
  <c r="D34" i="10"/>
  <c r="D38" i="10" s="1"/>
  <c r="E34" i="10"/>
  <c r="E38" i="10" s="1"/>
  <c r="F34" i="10"/>
  <c r="F38" i="10" s="1"/>
  <c r="G34" i="10"/>
  <c r="H34" i="10"/>
  <c r="I34" i="10"/>
  <c r="I38" i="10" s="1"/>
  <c r="J34" i="10"/>
  <c r="J38" i="10" s="1"/>
  <c r="K34" i="10"/>
  <c r="K38" i="10" s="1"/>
  <c r="L34" i="10"/>
  <c r="L38" i="10" s="1"/>
  <c r="B42" i="10"/>
  <c r="C42" i="10"/>
  <c r="D42" i="10"/>
  <c r="E42" i="10"/>
  <c r="F42" i="10"/>
  <c r="G42" i="10"/>
  <c r="H42" i="10"/>
  <c r="I42" i="10"/>
  <c r="J42" i="10"/>
  <c r="K42" i="10"/>
  <c r="L42" i="10"/>
  <c r="S34" i="8"/>
  <c r="S42" i="8"/>
  <c r="B34" i="8"/>
  <c r="C34" i="8"/>
  <c r="D34" i="8"/>
  <c r="E34" i="8"/>
  <c r="F34" i="8"/>
  <c r="G34" i="8"/>
  <c r="B42" i="8"/>
  <c r="C42" i="8"/>
  <c r="D42" i="8"/>
  <c r="E42" i="8"/>
  <c r="F42" i="8"/>
  <c r="G42" i="8"/>
  <c r="B44" i="8"/>
  <c r="D44" i="8"/>
  <c r="E44" i="8"/>
  <c r="F44" i="8"/>
  <c r="I9" i="8"/>
  <c r="I44" i="8" s="1"/>
  <c r="J9" i="8"/>
  <c r="J44" i="8" s="1"/>
  <c r="K9" i="8"/>
  <c r="K44" i="8" s="1"/>
  <c r="L9" i="8"/>
  <c r="L44" i="8" s="1"/>
  <c r="M9" i="8"/>
  <c r="M44" i="8" s="1"/>
  <c r="N9" i="8"/>
  <c r="N44" i="8" s="1"/>
  <c r="O9" i="8"/>
  <c r="O44" i="8" s="1"/>
  <c r="P9" i="8"/>
  <c r="P44" i="8" s="1"/>
  <c r="Q9" i="8"/>
  <c r="Q44" i="8" s="1"/>
  <c r="R9" i="8"/>
  <c r="R44" i="8" s="1"/>
  <c r="S9" i="8"/>
  <c r="S44" i="8" s="1"/>
  <c r="T9" i="8"/>
  <c r="T8" i="8" s="1"/>
  <c r="U9" i="8"/>
  <c r="U8" i="8" s="1"/>
  <c r="V9" i="8"/>
  <c r="V8" i="8" s="1"/>
  <c r="W9" i="8"/>
  <c r="W44" i="8" s="1"/>
  <c r="X9" i="8"/>
  <c r="X44" i="8" s="1"/>
  <c r="Y9" i="8"/>
  <c r="Y44" i="8" s="1"/>
  <c r="Z9" i="8"/>
  <c r="Z44" i="8" s="1"/>
  <c r="AA9" i="8"/>
  <c r="AA44" i="8" s="1"/>
  <c r="AB9" i="8"/>
  <c r="AB44" i="8" s="1"/>
  <c r="AC9" i="8"/>
  <c r="AC44" i="8" s="1"/>
  <c r="AD9" i="8"/>
  <c r="AD44" i="8" s="1"/>
  <c r="AE9" i="8"/>
  <c r="AE8" i="8" s="1"/>
  <c r="AF9" i="8"/>
  <c r="AF8" i="8" s="1"/>
  <c r="C9" i="9"/>
  <c r="C8" i="9" s="1"/>
  <c r="D9" i="9"/>
  <c r="D44" i="9" s="1"/>
  <c r="E44" i="9"/>
  <c r="F44" i="9"/>
  <c r="J44" i="9"/>
  <c r="O44" i="9"/>
  <c r="S44" i="9"/>
  <c r="U44" i="9"/>
  <c r="X44" i="9"/>
  <c r="AE9" i="9"/>
  <c r="AE44" i="9" s="1"/>
  <c r="AF9" i="9"/>
  <c r="AF8" i="9" s="1"/>
  <c r="AG9" i="9"/>
  <c r="AG8" i="9" s="1"/>
  <c r="P44" i="10"/>
  <c r="V44" i="10"/>
  <c r="Z44" i="10"/>
  <c r="AB44" i="10"/>
  <c r="C44" i="11"/>
  <c r="D44" i="11"/>
  <c r="M44" i="11"/>
  <c r="N44" i="11"/>
  <c r="R44" i="11"/>
  <c r="AF44" i="11"/>
  <c r="P44" i="12"/>
  <c r="W44" i="12"/>
  <c r="AF44" i="12"/>
  <c r="E44" i="13"/>
  <c r="F44" i="13"/>
  <c r="G44" i="13"/>
  <c r="K44" i="13"/>
  <c r="U44" i="13"/>
  <c r="X44" i="13"/>
  <c r="AE44" i="13"/>
  <c r="C44" i="14"/>
  <c r="I44" i="14"/>
  <c r="P44" i="14"/>
  <c r="V44" i="14"/>
  <c r="AB44" i="14"/>
  <c r="AC44" i="14"/>
  <c r="AE44" i="14"/>
  <c r="O44" i="15"/>
  <c r="P44" i="15"/>
  <c r="S44" i="15"/>
  <c r="U44" i="15"/>
  <c r="W44" i="15"/>
  <c r="AA44" i="15"/>
  <c r="AC44" i="15"/>
  <c r="E44" i="16"/>
  <c r="F44" i="16"/>
  <c r="G44" i="16"/>
  <c r="H44" i="16"/>
  <c r="K44" i="16"/>
  <c r="O44" i="16"/>
  <c r="Y44" i="16"/>
  <c r="AC44" i="16"/>
  <c r="AE44" i="16"/>
  <c r="B34" i="13"/>
  <c r="B38" i="13" s="1"/>
  <c r="C34" i="13"/>
  <c r="C38" i="13" s="1"/>
  <c r="D34" i="13"/>
  <c r="D38" i="13" s="1"/>
  <c r="E34" i="13"/>
  <c r="E38" i="13" s="1"/>
  <c r="F34" i="13"/>
  <c r="F38" i="13" s="1"/>
  <c r="G34" i="13"/>
  <c r="G38" i="13" s="1"/>
  <c r="H34" i="13"/>
  <c r="H38" i="13" s="1"/>
  <c r="I34" i="13"/>
  <c r="I38" i="13" s="1"/>
  <c r="J34" i="13"/>
  <c r="J38" i="13" s="1"/>
  <c r="K34" i="13"/>
  <c r="K38" i="13" s="1"/>
  <c r="L34" i="13"/>
  <c r="L38" i="13" s="1"/>
  <c r="B42" i="13"/>
  <c r="C42" i="13"/>
  <c r="D42" i="13"/>
  <c r="E42" i="13"/>
  <c r="F42" i="13"/>
  <c r="G42" i="13"/>
  <c r="H42" i="13"/>
  <c r="I42" i="13"/>
  <c r="J42" i="13"/>
  <c r="K42" i="13"/>
  <c r="L42" i="13"/>
  <c r="H10" i="17"/>
  <c r="H11" i="17"/>
  <c r="H13" i="17"/>
  <c r="H14" i="17"/>
  <c r="H16" i="17"/>
  <c r="H17" i="17"/>
  <c r="H18" i="17"/>
  <c r="H19" i="17"/>
  <c r="G44" i="9"/>
  <c r="M34" i="10"/>
  <c r="M38" i="10" s="1"/>
  <c r="N34" i="10"/>
  <c r="N38" i="10" s="1"/>
  <c r="O34" i="10"/>
  <c r="O38" i="10" s="1"/>
  <c r="P34" i="10"/>
  <c r="P38" i="10" s="1"/>
  <c r="Q34" i="10"/>
  <c r="Q38" i="10" s="1"/>
  <c r="R34" i="10"/>
  <c r="R38" i="10" s="1"/>
  <c r="S34" i="10"/>
  <c r="S38" i="10" s="1"/>
  <c r="T34" i="10"/>
  <c r="T38" i="10" s="1"/>
  <c r="U34" i="10"/>
  <c r="U38" i="10" s="1"/>
  <c r="V34" i="10"/>
  <c r="V38" i="10" s="1"/>
  <c r="W34" i="10"/>
  <c r="W38" i="10" s="1"/>
  <c r="X34" i="10"/>
  <c r="X38" i="10" s="1"/>
  <c r="Y34" i="10"/>
  <c r="Y38" i="10" s="1"/>
  <c r="Z34" i="10"/>
  <c r="Z38" i="10" s="1"/>
  <c r="AA34" i="10"/>
  <c r="AA38" i="10" s="1"/>
  <c r="AB34" i="10"/>
  <c r="AB38" i="10" s="1"/>
  <c r="AC34" i="10"/>
  <c r="AC38" i="10" s="1"/>
  <c r="AD34" i="10"/>
  <c r="AD38" i="10" s="1"/>
  <c r="AE34" i="10"/>
  <c r="AE38" i="10" s="1"/>
  <c r="AF34" i="10"/>
  <c r="AF38" i="10" s="1"/>
  <c r="E34" i="9"/>
  <c r="F34" i="9"/>
  <c r="F38" i="9" s="1"/>
  <c r="G34" i="9"/>
  <c r="G38" i="9" s="1"/>
  <c r="H34" i="9"/>
  <c r="H38" i="9" s="1"/>
  <c r="I34" i="9"/>
  <c r="I38" i="9" s="1"/>
  <c r="J34" i="9"/>
  <c r="J38" i="9" s="1"/>
  <c r="K34" i="9"/>
  <c r="L34" i="9"/>
  <c r="L38" i="9" s="1"/>
  <c r="M34" i="9"/>
  <c r="N34" i="9"/>
  <c r="N38" i="9" s="1"/>
  <c r="O34" i="9"/>
  <c r="O38" i="9" s="1"/>
  <c r="P34" i="9"/>
  <c r="P38" i="9" s="1"/>
  <c r="Q34" i="9"/>
  <c r="Q38" i="9" s="1"/>
  <c r="R34" i="9"/>
  <c r="R38" i="9" s="1"/>
  <c r="S34" i="9"/>
  <c r="T34" i="9"/>
  <c r="T38" i="9" s="1"/>
  <c r="U34" i="9"/>
  <c r="U38" i="9" s="1"/>
  <c r="V34" i="9"/>
  <c r="V38" i="9" s="1"/>
  <c r="W34" i="9"/>
  <c r="X34" i="9"/>
  <c r="X38" i="9" s="1"/>
  <c r="Y34" i="9"/>
  <c r="Y38" i="9" s="1"/>
  <c r="Z34" i="9"/>
  <c r="Z38" i="9" s="1"/>
  <c r="AA34" i="9"/>
  <c r="AB34" i="9"/>
  <c r="AB38" i="9" s="1"/>
  <c r="AC34" i="9"/>
  <c r="AC38" i="9" s="1"/>
  <c r="D10" i="17"/>
  <c r="D11" i="17"/>
  <c r="D13" i="17"/>
  <c r="D14" i="17"/>
  <c r="D16" i="17"/>
  <c r="D17" i="17"/>
  <c r="D18" i="17"/>
  <c r="D19" i="17"/>
  <c r="M34" i="13"/>
  <c r="M38" i="13" s="1"/>
  <c r="N34" i="13"/>
  <c r="N38" i="13" s="1"/>
  <c r="O34" i="13"/>
  <c r="O38" i="13" s="1"/>
  <c r="P34" i="13"/>
  <c r="P38" i="13" s="1"/>
  <c r="Q34" i="13"/>
  <c r="Q38" i="13" s="1"/>
  <c r="R34" i="13"/>
  <c r="R38" i="13" s="1"/>
  <c r="S34" i="13"/>
  <c r="S38" i="13" s="1"/>
  <c r="T34" i="13"/>
  <c r="T38" i="13" s="1"/>
  <c r="U34" i="13"/>
  <c r="U38" i="13" s="1"/>
  <c r="V34" i="13"/>
  <c r="V38" i="13" s="1"/>
  <c r="W34" i="13"/>
  <c r="W38" i="13" s="1"/>
  <c r="X34" i="13"/>
  <c r="X38" i="13" s="1"/>
  <c r="Y34" i="13"/>
  <c r="Y38" i="13" s="1"/>
  <c r="Z34" i="13"/>
  <c r="Z38" i="13" s="1"/>
  <c r="AA34" i="13"/>
  <c r="AA38" i="13" s="1"/>
  <c r="AB34" i="13"/>
  <c r="AB38" i="13" s="1"/>
  <c r="AC34" i="13"/>
  <c r="AD34" i="13"/>
  <c r="AD38" i="13" s="1"/>
  <c r="AE34" i="13"/>
  <c r="AE38" i="13" s="1"/>
  <c r="O34" i="11"/>
  <c r="O38" i="11" s="1"/>
  <c r="P34" i="11"/>
  <c r="P38" i="11" s="1"/>
  <c r="Q34" i="11"/>
  <c r="Q38" i="11" s="1"/>
  <c r="R34" i="11"/>
  <c r="R38" i="11" s="1"/>
  <c r="S34" i="11"/>
  <c r="S38" i="11" s="1"/>
  <c r="T34" i="11"/>
  <c r="T38" i="11" s="1"/>
  <c r="U34" i="11"/>
  <c r="U38" i="11" s="1"/>
  <c r="V34" i="11"/>
  <c r="V38" i="11" s="1"/>
  <c r="W34" i="11"/>
  <c r="W38" i="11" s="1"/>
  <c r="X34" i="11"/>
  <c r="X38" i="11" s="1"/>
  <c r="Y34" i="11"/>
  <c r="Y38" i="11" s="1"/>
  <c r="Z34" i="11"/>
  <c r="Z38" i="11" s="1"/>
  <c r="AA34" i="11"/>
  <c r="AA38" i="11" s="1"/>
  <c r="AB34" i="11"/>
  <c r="AB38" i="11" s="1"/>
  <c r="AC34" i="11"/>
  <c r="AC38" i="11" s="1"/>
  <c r="AD34" i="11"/>
  <c r="AD38" i="11" s="1"/>
  <c r="AE34" i="11"/>
  <c r="AE38" i="11" s="1"/>
  <c r="T44" i="8"/>
  <c r="H44" i="9"/>
  <c r="I44" i="9"/>
  <c r="P44" i="11"/>
  <c r="Q44" i="11"/>
  <c r="S44" i="11"/>
  <c r="T44" i="11"/>
  <c r="W44" i="11"/>
  <c r="X44" i="11"/>
  <c r="Z44" i="11"/>
  <c r="AB44" i="11"/>
  <c r="AD44" i="11"/>
  <c r="M44" i="10"/>
  <c r="S44" i="10"/>
  <c r="Y44" i="10"/>
  <c r="AA44" i="10"/>
  <c r="T44" i="12"/>
  <c r="AA44" i="12"/>
  <c r="AB44" i="12"/>
  <c r="AD44" i="12"/>
  <c r="D44" i="13"/>
  <c r="H44" i="13"/>
  <c r="J44" i="13"/>
  <c r="O44" i="13"/>
  <c r="T44" i="13"/>
  <c r="V44" i="13"/>
  <c r="AC44" i="13"/>
  <c r="E44" i="14"/>
  <c r="H44" i="14"/>
  <c r="J44" i="14"/>
  <c r="M44" i="14"/>
  <c r="N44" i="14"/>
  <c r="O44" i="14"/>
  <c r="R44" i="14"/>
  <c r="S44" i="14"/>
  <c r="T44" i="14"/>
  <c r="Y44" i="14"/>
  <c r="Z44" i="14"/>
  <c r="AF44" i="14"/>
  <c r="N44" i="15"/>
  <c r="R44" i="15"/>
  <c r="X44" i="15"/>
  <c r="Z44" i="15"/>
  <c r="AB44" i="15"/>
  <c r="AD44" i="15"/>
  <c r="AE44" i="15"/>
  <c r="P44" i="16"/>
  <c r="R44" i="16"/>
  <c r="S44" i="16"/>
  <c r="T44" i="16"/>
  <c r="U44" i="16"/>
  <c r="V44" i="16"/>
  <c r="W44" i="16"/>
  <c r="Z44" i="16"/>
  <c r="AB44" i="16"/>
  <c r="B9" i="9"/>
  <c r="B44" i="9" s="1"/>
  <c r="B44" i="11"/>
  <c r="B44" i="13"/>
  <c r="B44" i="14"/>
  <c r="B44" i="16"/>
  <c r="B11" i="8"/>
  <c r="Z12" i="8"/>
  <c r="AA12" i="8"/>
  <c r="AB12" i="8"/>
  <c r="AC12" i="8"/>
  <c r="AD12" i="8"/>
  <c r="AE12" i="8"/>
  <c r="AF12" i="8"/>
  <c r="Z17" i="8"/>
  <c r="AA17" i="8"/>
  <c r="AB17" i="8"/>
  <c r="AC17" i="8"/>
  <c r="AD17" i="8"/>
  <c r="AE17" i="8"/>
  <c r="AF17" i="8"/>
  <c r="Z18" i="8"/>
  <c r="AA18" i="8"/>
  <c r="AB18" i="8"/>
  <c r="AC18" i="8"/>
  <c r="AD18" i="8"/>
  <c r="AE18" i="8"/>
  <c r="AF18" i="8"/>
  <c r="Z19" i="8"/>
  <c r="AA19" i="8"/>
  <c r="AB19" i="8"/>
  <c r="AC19" i="8"/>
  <c r="AD19" i="8"/>
  <c r="AE19" i="8"/>
  <c r="AF19" i="8"/>
  <c r="B3" i="9"/>
  <c r="C3" i="9" s="1"/>
  <c r="D3" i="9" s="1"/>
  <c r="E3" i="9" s="1"/>
  <c r="F3" i="9" s="1"/>
  <c r="G3" i="9" s="1"/>
  <c r="H3" i="9" s="1"/>
  <c r="I3" i="9" s="1"/>
  <c r="J3" i="9" s="1"/>
  <c r="K3" i="9" s="1"/>
  <c r="L3" i="9" s="1"/>
  <c r="M3" i="9" s="1"/>
  <c r="N3" i="9" s="1"/>
  <c r="O3" i="9" s="1"/>
  <c r="P3" i="9" s="1"/>
  <c r="Q3" i="9" s="1"/>
  <c r="R3" i="9" s="1"/>
  <c r="S3" i="9" s="1"/>
  <c r="T3" i="9" s="1"/>
  <c r="U3" i="9" s="1"/>
  <c r="V3" i="9" s="1"/>
  <c r="W3" i="9" s="1"/>
  <c r="X3" i="9" s="1"/>
  <c r="Y3" i="9" s="1"/>
  <c r="Z3" i="9" s="1"/>
  <c r="AA3" i="9" s="1"/>
  <c r="AB3" i="9" s="1"/>
  <c r="AC3" i="9" s="1"/>
  <c r="AD3" i="9" s="1"/>
  <c r="B4" i="9"/>
  <c r="C4" i="9" s="1"/>
  <c r="D4" i="9" s="1"/>
  <c r="E4" i="9" s="1"/>
  <c r="F4" i="9" s="1"/>
  <c r="G4" i="9" s="1"/>
  <c r="H4" i="9" s="1"/>
  <c r="I4" i="9" s="1"/>
  <c r="J4" i="9" s="1"/>
  <c r="K4" i="9" s="1"/>
  <c r="L4" i="9" s="1"/>
  <c r="M4" i="9" s="1"/>
  <c r="N4" i="9" s="1"/>
  <c r="O4" i="9" s="1"/>
  <c r="P4" i="9" s="1"/>
  <c r="Q4" i="9" s="1"/>
  <c r="R4" i="9" s="1"/>
  <c r="S4" i="9" s="1"/>
  <c r="T4" i="9" s="1"/>
  <c r="U4" i="9" s="1"/>
  <c r="V4" i="9" s="1"/>
  <c r="W4" i="9" s="1"/>
  <c r="X4" i="9" s="1"/>
  <c r="Y4" i="9" s="1"/>
  <c r="Z4" i="9" s="1"/>
  <c r="AA4" i="9" s="1"/>
  <c r="AB4" i="9" s="1"/>
  <c r="AC4" i="9" s="1"/>
  <c r="AD4" i="9" s="1"/>
  <c r="T34" i="8"/>
  <c r="U34" i="8"/>
  <c r="V34" i="8"/>
  <c r="W34" i="8"/>
  <c r="X34" i="8"/>
  <c r="Y34" i="8"/>
  <c r="Z34" i="8"/>
  <c r="AA34" i="8"/>
  <c r="AB34" i="8"/>
  <c r="AC34" i="8"/>
  <c r="AD34" i="8"/>
  <c r="AE34" i="8"/>
  <c r="AF34" i="8"/>
  <c r="B34" i="9"/>
  <c r="C34" i="9"/>
  <c r="C38" i="9" s="1"/>
  <c r="D34" i="9"/>
  <c r="D38" i="9" s="1"/>
  <c r="M34" i="12"/>
  <c r="M38" i="12" s="1"/>
  <c r="N34" i="12"/>
  <c r="N38" i="12" s="1"/>
  <c r="O34" i="12"/>
  <c r="O38" i="12" s="1"/>
  <c r="P34" i="12"/>
  <c r="P38" i="12" s="1"/>
  <c r="Q34" i="12"/>
  <c r="Q38" i="12" s="1"/>
  <c r="R34" i="12"/>
  <c r="R38" i="12" s="1"/>
  <c r="S34" i="12"/>
  <c r="S38" i="12" s="1"/>
  <c r="T34" i="12"/>
  <c r="T38" i="12" s="1"/>
  <c r="U34" i="12"/>
  <c r="U38" i="12" s="1"/>
  <c r="V34" i="12"/>
  <c r="V38" i="12" s="1"/>
  <c r="W34" i="12"/>
  <c r="W38" i="12" s="1"/>
  <c r="X34" i="12"/>
  <c r="X38" i="12" s="1"/>
  <c r="Y34" i="12"/>
  <c r="Y38" i="12" s="1"/>
  <c r="Z34" i="12"/>
  <c r="Z38" i="12" s="1"/>
  <c r="AA34" i="12"/>
  <c r="AA38" i="12" s="1"/>
  <c r="AB34" i="12"/>
  <c r="AC34" i="12"/>
  <c r="AC38" i="12" s="1"/>
  <c r="AD34" i="12"/>
  <c r="AD38" i="12" s="1"/>
  <c r="AE34" i="12"/>
  <c r="AE38" i="12" s="1"/>
  <c r="AF34" i="12"/>
  <c r="AF38" i="12" s="1"/>
  <c r="AF34" i="13"/>
  <c r="AF38" i="13" s="1"/>
  <c r="B34" i="14"/>
  <c r="B38" i="14" s="1"/>
  <c r="C34" i="14"/>
  <c r="C38" i="14" s="1"/>
  <c r="D34" i="14"/>
  <c r="D38" i="14" s="1"/>
  <c r="E34" i="14"/>
  <c r="E38" i="14" s="1"/>
  <c r="F34" i="14"/>
  <c r="F38" i="14" s="1"/>
  <c r="G34" i="14"/>
  <c r="G38" i="14" s="1"/>
  <c r="H34" i="14"/>
  <c r="H38" i="14" s="1"/>
  <c r="I34" i="14"/>
  <c r="I38" i="14" s="1"/>
  <c r="J34" i="14"/>
  <c r="J38" i="14" s="1"/>
  <c r="K34" i="14"/>
  <c r="K38" i="14" s="1"/>
  <c r="L34" i="14"/>
  <c r="L38" i="14" s="1"/>
  <c r="M34" i="14"/>
  <c r="M38" i="14" s="1"/>
  <c r="N34" i="14"/>
  <c r="N38" i="14" s="1"/>
  <c r="O34" i="14"/>
  <c r="O38" i="14" s="1"/>
  <c r="P34" i="14"/>
  <c r="P38" i="14" s="1"/>
  <c r="Q34" i="14"/>
  <c r="Q38" i="14" s="1"/>
  <c r="R34" i="14"/>
  <c r="R38" i="14" s="1"/>
  <c r="S34" i="14"/>
  <c r="S38" i="14" s="1"/>
  <c r="T34" i="14"/>
  <c r="T38" i="14" s="1"/>
  <c r="U34" i="14"/>
  <c r="U38" i="14" s="1"/>
  <c r="V34" i="14"/>
  <c r="V38" i="14" s="1"/>
  <c r="W34" i="14"/>
  <c r="W38" i="14" s="1"/>
  <c r="X34" i="14"/>
  <c r="X38" i="14" s="1"/>
  <c r="Y34" i="14"/>
  <c r="Y38" i="14" s="1"/>
  <c r="Z34" i="14"/>
  <c r="Z38" i="14" s="1"/>
  <c r="AA34" i="14"/>
  <c r="AA38" i="14" s="1"/>
  <c r="AB34" i="14"/>
  <c r="AB38" i="14" s="1"/>
  <c r="AC34" i="14"/>
  <c r="AC38" i="14" s="1"/>
  <c r="AD34" i="14"/>
  <c r="AD38" i="14" s="1"/>
  <c r="AE34" i="14"/>
  <c r="AE38" i="14" s="1"/>
  <c r="AF34" i="14"/>
  <c r="AF38" i="14" s="1"/>
  <c r="M34" i="15"/>
  <c r="M38" i="15" s="1"/>
  <c r="N34" i="15"/>
  <c r="N38" i="15" s="1"/>
  <c r="O34" i="15"/>
  <c r="O38" i="15" s="1"/>
  <c r="P34" i="15"/>
  <c r="P38" i="15" s="1"/>
  <c r="Q34" i="15"/>
  <c r="Q38" i="15" s="1"/>
  <c r="R34" i="15"/>
  <c r="R38" i="15" s="1"/>
  <c r="S34" i="15"/>
  <c r="S38" i="15" s="1"/>
  <c r="T34" i="15"/>
  <c r="T38" i="15" s="1"/>
  <c r="U34" i="15"/>
  <c r="U38" i="15" s="1"/>
  <c r="V34" i="15"/>
  <c r="V38" i="15" s="1"/>
  <c r="W34" i="15"/>
  <c r="W38" i="15" s="1"/>
  <c r="X34" i="15"/>
  <c r="X38" i="15" s="1"/>
  <c r="Y34" i="15"/>
  <c r="Y38" i="15" s="1"/>
  <c r="Z34" i="15"/>
  <c r="Z38" i="15" s="1"/>
  <c r="AA34" i="15"/>
  <c r="AA38" i="15" s="1"/>
  <c r="AB34" i="15"/>
  <c r="AB38" i="15" s="1"/>
  <c r="AC34" i="15"/>
  <c r="AC38" i="15" s="1"/>
  <c r="AD34" i="15"/>
  <c r="AD38" i="15" s="1"/>
  <c r="AE34" i="15"/>
  <c r="AE38" i="15" s="1"/>
  <c r="AF34" i="15"/>
  <c r="AF38" i="15" s="1"/>
  <c r="B34" i="16"/>
  <c r="B38" i="16" s="1"/>
  <c r="C34" i="16"/>
  <c r="C38" i="16" s="1"/>
  <c r="D34" i="16"/>
  <c r="D38" i="16" s="1"/>
  <c r="E34" i="16"/>
  <c r="E38" i="16" s="1"/>
  <c r="F34" i="16"/>
  <c r="F38" i="16" s="1"/>
  <c r="G34" i="16"/>
  <c r="G38" i="16" s="1"/>
  <c r="H34" i="16"/>
  <c r="H38" i="16" s="1"/>
  <c r="I34" i="16"/>
  <c r="I38" i="16" s="1"/>
  <c r="J34" i="16"/>
  <c r="J38" i="16" s="1"/>
  <c r="K34" i="16"/>
  <c r="K38" i="16" s="1"/>
  <c r="L34" i="16"/>
  <c r="L38" i="16" s="1"/>
  <c r="M34" i="16"/>
  <c r="M38" i="16" s="1"/>
  <c r="N34" i="16"/>
  <c r="N38" i="16" s="1"/>
  <c r="O34" i="16"/>
  <c r="O38" i="16" s="1"/>
  <c r="P34" i="16"/>
  <c r="P38" i="16" s="1"/>
  <c r="Q34" i="16"/>
  <c r="Q38" i="16" s="1"/>
  <c r="R34" i="16"/>
  <c r="R38" i="16" s="1"/>
  <c r="S34" i="16"/>
  <c r="S38" i="16" s="1"/>
  <c r="T34" i="16"/>
  <c r="T38" i="16" s="1"/>
  <c r="U34" i="16"/>
  <c r="U38" i="16" s="1"/>
  <c r="V34" i="16"/>
  <c r="V38" i="16" s="1"/>
  <c r="W34" i="16"/>
  <c r="W38" i="16" s="1"/>
  <c r="X34" i="16"/>
  <c r="X38" i="16" s="1"/>
  <c r="Y38" i="16"/>
  <c r="Z38" i="16"/>
  <c r="AA38" i="16"/>
  <c r="AB38" i="16"/>
  <c r="AC38" i="16"/>
  <c r="AD38" i="16"/>
  <c r="AE38" i="16"/>
  <c r="AF38" i="16"/>
  <c r="AH24" i="16"/>
  <c r="AH27" i="16"/>
  <c r="AH32" i="16"/>
  <c r="AH31" i="16"/>
  <c r="M19" i="17" s="1"/>
  <c r="AH30" i="16"/>
  <c r="M18" i="17" s="1"/>
  <c r="AH29" i="16"/>
  <c r="M17" i="17" s="1"/>
  <c r="AH28" i="16"/>
  <c r="M16" i="17" s="1"/>
  <c r="AH26" i="16"/>
  <c r="M14" i="17" s="1"/>
  <c r="AH25" i="16"/>
  <c r="M13" i="17" s="1"/>
  <c r="AH23" i="16"/>
  <c r="M11" i="17" s="1"/>
  <c r="AH22" i="16"/>
  <c r="M10" i="17" s="1"/>
  <c r="AH24" i="15"/>
  <c r="AH27" i="15"/>
  <c r="AH32" i="15"/>
  <c r="AH31" i="15"/>
  <c r="L19" i="17" s="1"/>
  <c r="AH30" i="15"/>
  <c r="L18" i="17" s="1"/>
  <c r="AH29" i="15"/>
  <c r="L17" i="17" s="1"/>
  <c r="AH28" i="15"/>
  <c r="L16" i="17" s="1"/>
  <c r="AH26" i="15"/>
  <c r="L14" i="17" s="1"/>
  <c r="AH25" i="15"/>
  <c r="L13" i="17" s="1"/>
  <c r="AH23" i="15"/>
  <c r="L11" i="17" s="1"/>
  <c r="AH22" i="15"/>
  <c r="L10" i="17" s="1"/>
  <c r="AH24" i="14"/>
  <c r="AH27" i="14"/>
  <c r="AH32" i="14"/>
  <c r="AH31" i="14"/>
  <c r="K19" i="17" s="1"/>
  <c r="AH30" i="14"/>
  <c r="K18" i="17" s="1"/>
  <c r="AH29" i="14"/>
  <c r="K17" i="17" s="1"/>
  <c r="AH28" i="14"/>
  <c r="K16" i="17" s="1"/>
  <c r="AH26" i="14"/>
  <c r="K14" i="17" s="1"/>
  <c r="AH25" i="14"/>
  <c r="K13" i="17" s="1"/>
  <c r="AH23" i="14"/>
  <c r="K11" i="17" s="1"/>
  <c r="AH22" i="14"/>
  <c r="K10" i="17" s="1"/>
  <c r="AH24" i="13"/>
  <c r="AH27" i="13"/>
  <c r="AH32" i="13"/>
  <c r="AH31" i="13"/>
  <c r="J19" i="17" s="1"/>
  <c r="AH30" i="13"/>
  <c r="J18" i="17" s="1"/>
  <c r="AH29" i="13"/>
  <c r="J17" i="17" s="1"/>
  <c r="AH28" i="13"/>
  <c r="J16" i="17" s="1"/>
  <c r="AH26" i="13"/>
  <c r="J14" i="17" s="1"/>
  <c r="AH25" i="13"/>
  <c r="J13" i="17" s="1"/>
  <c r="AH23" i="13"/>
  <c r="J11" i="17" s="1"/>
  <c r="AH22" i="13"/>
  <c r="J10" i="17" s="1"/>
  <c r="AH24" i="12"/>
  <c r="AH27" i="12"/>
  <c r="AH32" i="12"/>
  <c r="AH31" i="12"/>
  <c r="I19" i="17" s="1"/>
  <c r="AH30" i="12"/>
  <c r="I18" i="17" s="1"/>
  <c r="AH29" i="12"/>
  <c r="I17" i="17" s="1"/>
  <c r="AH28" i="12"/>
  <c r="I16" i="17" s="1"/>
  <c r="AH26" i="12"/>
  <c r="I14" i="17" s="1"/>
  <c r="AH25" i="12"/>
  <c r="I13" i="17" s="1"/>
  <c r="AH23" i="12"/>
  <c r="I11" i="17" s="1"/>
  <c r="AH22" i="12"/>
  <c r="I10" i="17" s="1"/>
  <c r="B17" i="11"/>
  <c r="B18" i="11"/>
  <c r="B19" i="11"/>
  <c r="C17" i="11"/>
  <c r="C18" i="11"/>
  <c r="C19" i="11"/>
  <c r="D17" i="11"/>
  <c r="D18" i="11"/>
  <c r="D19" i="11"/>
  <c r="G17" i="11"/>
  <c r="G18" i="11"/>
  <c r="G19" i="11"/>
  <c r="H17" i="11"/>
  <c r="H18" i="11"/>
  <c r="H19" i="11"/>
  <c r="I17" i="11"/>
  <c r="I18" i="11"/>
  <c r="I19" i="11"/>
  <c r="J17" i="11"/>
  <c r="J18" i="11"/>
  <c r="J19" i="11"/>
  <c r="K17" i="11"/>
  <c r="K18" i="11"/>
  <c r="K19" i="11"/>
  <c r="L17" i="11"/>
  <c r="L18" i="11"/>
  <c r="L19" i="11"/>
  <c r="M17" i="11"/>
  <c r="M18" i="11"/>
  <c r="M19" i="11"/>
  <c r="N17" i="11"/>
  <c r="N18" i="11"/>
  <c r="N19" i="11"/>
  <c r="O17" i="11"/>
  <c r="O18" i="11"/>
  <c r="O19" i="11"/>
  <c r="P17" i="11"/>
  <c r="P18" i="11"/>
  <c r="P19" i="11"/>
  <c r="Q17" i="11"/>
  <c r="Q18" i="11"/>
  <c r="Q19" i="11"/>
  <c r="R17" i="11"/>
  <c r="R18" i="11"/>
  <c r="R19" i="11"/>
  <c r="S17" i="11"/>
  <c r="S18" i="11"/>
  <c r="S19" i="11"/>
  <c r="T17" i="11"/>
  <c r="T18" i="11"/>
  <c r="T19" i="11"/>
  <c r="U17" i="11"/>
  <c r="U18" i="11"/>
  <c r="U19" i="11"/>
  <c r="V17" i="11"/>
  <c r="V18" i="11"/>
  <c r="V19" i="11"/>
  <c r="W17" i="11"/>
  <c r="W18" i="11"/>
  <c r="W19" i="11"/>
  <c r="X17" i="11"/>
  <c r="X18" i="11"/>
  <c r="X19" i="11"/>
  <c r="Y17" i="11"/>
  <c r="Y18" i="11"/>
  <c r="Y19" i="11"/>
  <c r="Z17" i="11"/>
  <c r="Z18" i="11"/>
  <c r="Z19" i="11"/>
  <c r="AA17" i="11"/>
  <c r="AA18" i="11"/>
  <c r="AA19" i="11"/>
  <c r="AB17" i="11"/>
  <c r="AB18" i="11"/>
  <c r="AB19" i="11"/>
  <c r="AC17" i="11"/>
  <c r="AC18" i="11"/>
  <c r="AC19" i="11"/>
  <c r="AD17" i="11"/>
  <c r="AD18" i="11"/>
  <c r="AD19" i="11"/>
  <c r="AE17" i="11"/>
  <c r="AE18" i="11"/>
  <c r="AE19" i="11"/>
  <c r="AH24" i="10"/>
  <c r="AH27" i="10"/>
  <c r="AH32" i="10"/>
  <c r="AH31" i="10"/>
  <c r="G19" i="17" s="1"/>
  <c r="AH30" i="10"/>
  <c r="G18" i="17" s="1"/>
  <c r="AH29" i="10"/>
  <c r="G17" i="17" s="1"/>
  <c r="AH28" i="10"/>
  <c r="G16" i="17" s="1"/>
  <c r="AH26" i="10"/>
  <c r="G14" i="17" s="1"/>
  <c r="AH25" i="10"/>
  <c r="G13" i="17" s="1"/>
  <c r="AH23" i="10"/>
  <c r="G11" i="17" s="1"/>
  <c r="G10" i="17"/>
  <c r="F19" i="17"/>
  <c r="AH31" i="8"/>
  <c r="E19" i="17" s="1"/>
  <c r="F18" i="17"/>
  <c r="F17" i="17"/>
  <c r="F16" i="17"/>
  <c r="F14" i="17"/>
  <c r="F13" i="17"/>
  <c r="F11" i="17"/>
  <c r="F12" i="17" s="1"/>
  <c r="B20" i="9"/>
  <c r="C20" i="9"/>
  <c r="B12" i="9"/>
  <c r="C12" i="9"/>
  <c r="D12" i="9"/>
  <c r="AH24" i="8"/>
  <c r="AH27" i="8"/>
  <c r="AH32" i="8"/>
  <c r="AH30" i="8"/>
  <c r="E18" i="17" s="1"/>
  <c r="AH29" i="8"/>
  <c r="E17" i="17" s="1"/>
  <c r="AH28" i="8"/>
  <c r="E16" i="17" s="1"/>
  <c r="AH26" i="8"/>
  <c r="E14" i="17" s="1"/>
  <c r="AH25" i="8"/>
  <c r="E13" i="17" s="1"/>
  <c r="AH23" i="8"/>
  <c r="E11" i="17" s="1"/>
  <c r="AH22" i="8"/>
  <c r="E10" i="17" s="1"/>
  <c r="C19" i="17"/>
  <c r="C18" i="17"/>
  <c r="C17" i="17"/>
  <c r="C16" i="17"/>
  <c r="C14" i="17"/>
  <c r="C13" i="17"/>
  <c r="C11" i="17"/>
  <c r="C10" i="17"/>
  <c r="O42" i="11"/>
  <c r="P42" i="11"/>
  <c r="Q42" i="11"/>
  <c r="R42" i="11"/>
  <c r="S42" i="11"/>
  <c r="O12" i="9"/>
  <c r="N12" i="9"/>
  <c r="M12" i="9"/>
  <c r="L12" i="9"/>
  <c r="K12" i="9"/>
  <c r="N3" i="17"/>
  <c r="I12" i="8"/>
  <c r="J12" i="8"/>
  <c r="K12" i="8"/>
  <c r="L12" i="8"/>
  <c r="M12" i="8"/>
  <c r="N12" i="8"/>
  <c r="O12" i="8"/>
  <c r="P12" i="8"/>
  <c r="Q12" i="8"/>
  <c r="R12" i="8"/>
  <c r="S12" i="8"/>
  <c r="T12" i="8"/>
  <c r="U12" i="8"/>
  <c r="V12" i="8"/>
  <c r="W12" i="8"/>
  <c r="X12" i="8"/>
  <c r="Y12" i="8"/>
  <c r="P12" i="9"/>
  <c r="Q12" i="9"/>
  <c r="R12" i="9"/>
  <c r="S12" i="9"/>
  <c r="T12" i="9"/>
  <c r="U12" i="9"/>
  <c r="V12" i="9"/>
  <c r="W12" i="9"/>
  <c r="X12" i="9"/>
  <c r="Y12" i="9"/>
  <c r="Z12" i="9"/>
  <c r="AA12" i="9"/>
  <c r="AB12" i="9"/>
  <c r="AC12" i="9"/>
  <c r="E12" i="14"/>
  <c r="F12" i="14"/>
  <c r="G12" i="14"/>
  <c r="AA12" i="15"/>
  <c r="F12" i="16"/>
  <c r="G12" i="16"/>
  <c r="H12" i="16"/>
  <c r="I12" i="16"/>
  <c r="L12" i="16"/>
  <c r="B10" i="17"/>
  <c r="B11" i="17"/>
  <c r="B13" i="17"/>
  <c r="B14" i="17"/>
  <c r="N42" i="12"/>
  <c r="O42" i="12"/>
  <c r="P42" i="12"/>
  <c r="M42" i="12"/>
  <c r="B19" i="17"/>
  <c r="B18" i="17"/>
  <c r="B17" i="17"/>
  <c r="B16" i="17"/>
  <c r="D42" i="16"/>
  <c r="AC17" i="9"/>
  <c r="AC18" i="9"/>
  <c r="AC19" i="9"/>
  <c r="AB17" i="9"/>
  <c r="AB18" i="9"/>
  <c r="AB19" i="9"/>
  <c r="AA17" i="9"/>
  <c r="AA18" i="9"/>
  <c r="AA19" i="9"/>
  <c r="Z17" i="9"/>
  <c r="Z18" i="9"/>
  <c r="Z19" i="9"/>
  <c r="Y17" i="9"/>
  <c r="Y18" i="9"/>
  <c r="Y19" i="9"/>
  <c r="X17" i="9"/>
  <c r="X18" i="9"/>
  <c r="X19" i="9"/>
  <c r="W17" i="9"/>
  <c r="W18" i="9"/>
  <c r="W19" i="9"/>
  <c r="V17" i="9"/>
  <c r="V18" i="9"/>
  <c r="V19" i="9"/>
  <c r="U17" i="9"/>
  <c r="U18" i="9"/>
  <c r="U19" i="9"/>
  <c r="T17" i="9"/>
  <c r="T18" i="9"/>
  <c r="T19" i="9"/>
  <c r="S17" i="9"/>
  <c r="S18" i="9"/>
  <c r="S19" i="9"/>
  <c r="R17" i="9"/>
  <c r="R18" i="9"/>
  <c r="R19" i="9"/>
  <c r="Q17" i="9"/>
  <c r="Q18" i="9"/>
  <c r="Q19" i="9"/>
  <c r="P17" i="9"/>
  <c r="P18" i="9"/>
  <c r="P19" i="9"/>
  <c r="O17" i="9"/>
  <c r="O18" i="9"/>
  <c r="O19" i="9"/>
  <c r="N17" i="9"/>
  <c r="N18" i="9"/>
  <c r="N19" i="9"/>
  <c r="M17" i="9"/>
  <c r="M18" i="9"/>
  <c r="M19" i="9"/>
  <c r="L17" i="9"/>
  <c r="L18" i="9"/>
  <c r="L19" i="9"/>
  <c r="K17" i="9"/>
  <c r="K18" i="9"/>
  <c r="K19" i="9"/>
  <c r="J17" i="9"/>
  <c r="J18" i="9"/>
  <c r="J19" i="9"/>
  <c r="H17" i="9"/>
  <c r="H18" i="9"/>
  <c r="H19" i="9"/>
  <c r="G17" i="9"/>
  <c r="G18" i="9"/>
  <c r="G19" i="9"/>
  <c r="F17" i="9"/>
  <c r="F18" i="9"/>
  <c r="F19" i="9"/>
  <c r="D17" i="9"/>
  <c r="D18" i="9"/>
  <c r="D19" i="9"/>
  <c r="C17" i="9"/>
  <c r="C18" i="9"/>
  <c r="C19" i="9"/>
  <c r="Y19" i="8"/>
  <c r="Y18" i="8"/>
  <c r="Y17" i="8"/>
  <c r="X19" i="8"/>
  <c r="X18" i="8"/>
  <c r="X17" i="8"/>
  <c r="W19" i="8"/>
  <c r="W18" i="8"/>
  <c r="W17" i="8"/>
  <c r="V19" i="8"/>
  <c r="V18" i="8"/>
  <c r="V17" i="8"/>
  <c r="U19" i="8"/>
  <c r="U18" i="8"/>
  <c r="U17" i="8"/>
  <c r="T19" i="8"/>
  <c r="T18" i="8"/>
  <c r="T17" i="8"/>
  <c r="S19" i="8"/>
  <c r="S18" i="8"/>
  <c r="S17" i="8"/>
  <c r="R19" i="8"/>
  <c r="R18" i="8"/>
  <c r="R17" i="8"/>
  <c r="Q19" i="8"/>
  <c r="Q18" i="8"/>
  <c r="Q17" i="8"/>
  <c r="P19" i="8"/>
  <c r="P18" i="8"/>
  <c r="P17" i="8"/>
  <c r="O19" i="8"/>
  <c r="O18" i="8"/>
  <c r="O17" i="8"/>
  <c r="N19" i="8"/>
  <c r="N18" i="8"/>
  <c r="N17" i="8"/>
  <c r="M19" i="8"/>
  <c r="M18" i="8"/>
  <c r="M17" i="8"/>
  <c r="L19" i="8"/>
  <c r="L18" i="8"/>
  <c r="L17" i="8"/>
  <c r="K19" i="8"/>
  <c r="K18" i="8"/>
  <c r="K17" i="8"/>
  <c r="J19" i="8"/>
  <c r="J18" i="8"/>
  <c r="J17" i="8"/>
  <c r="I19" i="8"/>
  <c r="I18" i="8"/>
  <c r="I17" i="8"/>
  <c r="E19" i="8"/>
  <c r="E20" i="8" s="1"/>
  <c r="D19" i="8"/>
  <c r="D18" i="8"/>
  <c r="D17" i="8"/>
  <c r="AS10" i="9"/>
  <c r="B3" i="16"/>
  <c r="C3" i="16" s="1"/>
  <c r="D3" i="16" s="1"/>
  <c r="E3" i="16" s="1"/>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B3" i="15"/>
  <c r="C3" i="15" s="1"/>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B4" i="15"/>
  <c r="C4" i="15" s="1"/>
  <c r="D4" i="15" s="1"/>
  <c r="E4" i="15" s="1"/>
  <c r="F4" i="15" s="1"/>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B3" i="14"/>
  <c r="C3" i="14" s="1"/>
  <c r="D3" i="14" s="1"/>
  <c r="E3" i="14" s="1"/>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B3" i="13"/>
  <c r="C3" i="13" s="1"/>
  <c r="D3" i="13" s="1"/>
  <c r="E3" i="13" s="1"/>
  <c r="F3" i="13" s="1"/>
  <c r="G3" i="13" s="1"/>
  <c r="H3" i="13" s="1"/>
  <c r="I3" i="13" s="1"/>
  <c r="J3" i="13" s="1"/>
  <c r="B3" i="12"/>
  <c r="C3" i="12" s="1"/>
  <c r="D3" i="12" s="1"/>
  <c r="E3" i="12" s="1"/>
  <c r="F3" i="12" s="1"/>
  <c r="G3" i="12" s="1"/>
  <c r="H3" i="12" s="1"/>
  <c r="I3" i="12" s="1"/>
  <c r="J3" i="12" s="1"/>
  <c r="K3" i="12" s="1"/>
  <c r="L3" i="12" s="1"/>
  <c r="M3" i="12" s="1"/>
  <c r="N3" i="12" s="1"/>
  <c r="O3" i="12" s="1"/>
  <c r="P3" i="12" s="1"/>
  <c r="Q3" i="12" s="1"/>
  <c r="R3" i="12" s="1"/>
  <c r="S3" i="12" s="1"/>
  <c r="T3" i="12" s="1"/>
  <c r="U3" i="12" s="1"/>
  <c r="V3" i="12" s="1"/>
  <c r="W3" i="12" s="1"/>
  <c r="X3" i="12" s="1"/>
  <c r="Y3" i="12" s="1"/>
  <c r="Z3" i="12" s="1"/>
  <c r="AA3" i="12" s="1"/>
  <c r="AB3" i="12" s="1"/>
  <c r="AC3" i="12" s="1"/>
  <c r="AD3" i="12" s="1"/>
  <c r="AE3" i="12" s="1"/>
  <c r="AF3" i="12" s="1"/>
  <c r="B3" i="11"/>
  <c r="C3" i="11" s="1"/>
  <c r="D3" i="11" s="1"/>
  <c r="E3" i="11" s="1"/>
  <c r="F3" i="11" s="1"/>
  <c r="G3" i="11" s="1"/>
  <c r="H3" i="11" s="1"/>
  <c r="I3" i="11" s="1"/>
  <c r="J3" i="11" s="1"/>
  <c r="K3" i="11" s="1"/>
  <c r="L3" i="11" s="1"/>
  <c r="M3" i="11" s="1"/>
  <c r="N3" i="11" s="1"/>
  <c r="O3" i="11" s="1"/>
  <c r="P3" i="11" s="1"/>
  <c r="Q3" i="11" s="1"/>
  <c r="R3" i="11" s="1"/>
  <c r="S3" i="11" s="1"/>
  <c r="T3" i="11" s="1"/>
  <c r="B3" i="10"/>
  <c r="C3" i="10" s="1"/>
  <c r="D3" i="10" s="1"/>
  <c r="E3" i="10" s="1"/>
  <c r="F3" i="10" s="1"/>
  <c r="G3" i="10" s="1"/>
  <c r="H3" i="10" s="1"/>
  <c r="I3" i="10" s="1"/>
  <c r="J3" i="10" s="1"/>
  <c r="K3" i="10" s="1"/>
  <c r="L3" i="10" s="1"/>
  <c r="M3" i="10" s="1"/>
  <c r="N3" i="10" s="1"/>
  <c r="O3" i="10" s="1"/>
  <c r="P3" i="10" s="1"/>
  <c r="Q3" i="10" s="1"/>
  <c r="R3" i="10" s="1"/>
  <c r="S3" i="10" s="1"/>
  <c r="T3" i="10" s="1"/>
  <c r="U3" i="10" s="1"/>
  <c r="V3" i="10" s="1"/>
  <c r="W3" i="10" s="1"/>
  <c r="X3" i="10" s="1"/>
  <c r="Y3" i="10" s="1"/>
  <c r="Z3" i="10" s="1"/>
  <c r="AA3" i="10" s="1"/>
  <c r="AB3" i="10" s="1"/>
  <c r="AC3" i="10" s="1"/>
  <c r="AD3" i="10" s="1"/>
  <c r="AE3" i="10" s="1"/>
  <c r="AF3" i="10" s="1"/>
  <c r="B3" i="8"/>
  <c r="C3" i="8" s="1"/>
  <c r="D3" i="8" s="1"/>
  <c r="E3" i="8" s="1"/>
  <c r="F3" i="8" s="1"/>
  <c r="G3" i="8" s="1"/>
  <c r="H3" i="8" s="1"/>
  <c r="I3" i="8" s="1"/>
  <c r="J3" i="8" s="1"/>
  <c r="K3" i="8" s="1"/>
  <c r="L3" i="8" s="1"/>
  <c r="M3" i="8" s="1"/>
  <c r="N3" i="8" s="1"/>
  <c r="O3" i="8" s="1"/>
  <c r="P3" i="8" s="1"/>
  <c r="Q3" i="8" s="1"/>
  <c r="R3" i="8" s="1"/>
  <c r="S3" i="8" s="1"/>
  <c r="T3" i="8" s="1"/>
  <c r="U3" i="8" s="1"/>
  <c r="V3" i="8" s="1"/>
  <c r="W3" i="8" s="1"/>
  <c r="X3" i="8" s="1"/>
  <c r="Y3" i="8" s="1"/>
  <c r="Z3" i="8" s="1"/>
  <c r="AA3" i="8" s="1"/>
  <c r="AB3" i="8" s="1"/>
  <c r="AC3" i="8" s="1"/>
  <c r="AD3" i="8" s="1"/>
  <c r="AE3" i="8" s="1"/>
  <c r="AF3" i="8" s="1"/>
  <c r="AB17" i="15"/>
  <c r="AC17" i="15"/>
  <c r="AC18" i="15"/>
  <c r="AD17" i="15"/>
  <c r="AD18" i="15"/>
  <c r="AE17" i="15"/>
  <c r="AF17" i="15"/>
  <c r="R17" i="15"/>
  <c r="R18" i="15"/>
  <c r="S17" i="15"/>
  <c r="T17" i="15"/>
  <c r="Y17" i="15"/>
  <c r="Y18" i="15"/>
  <c r="B17" i="16"/>
  <c r="B4" i="16"/>
  <c r="C4" i="16" s="1"/>
  <c r="D4" i="16" s="1"/>
  <c r="E4" i="16" s="1"/>
  <c r="F4" i="16" s="1"/>
  <c r="G4" i="16" s="1"/>
  <c r="H4" i="16" s="1"/>
  <c r="I4" i="16" s="1"/>
  <c r="J4" i="16" s="1"/>
  <c r="K4" i="16" s="1"/>
  <c r="L4" i="16" s="1"/>
  <c r="M4" i="16" s="1"/>
  <c r="N4" i="16" s="1"/>
  <c r="O4" i="16" s="1"/>
  <c r="P4" i="16" s="1"/>
  <c r="Q4" i="16" s="1"/>
  <c r="R4" i="16" s="1"/>
  <c r="S4" i="16" s="1"/>
  <c r="T4" i="16" s="1"/>
  <c r="U4" i="16" s="1"/>
  <c r="V4" i="16" s="1"/>
  <c r="W4" i="16" s="1"/>
  <c r="X4" i="16" s="1"/>
  <c r="Y4" i="16" s="1"/>
  <c r="Z4" i="16" s="1"/>
  <c r="AA4" i="16" s="1"/>
  <c r="AB4" i="16" s="1"/>
  <c r="AC4" i="16" s="1"/>
  <c r="AD4" i="16" s="1"/>
  <c r="AE4" i="16" s="1"/>
  <c r="C17" i="16"/>
  <c r="D17" i="16"/>
  <c r="E17" i="16"/>
  <c r="F17" i="16"/>
  <c r="G17" i="16"/>
  <c r="H17" i="16"/>
  <c r="I17" i="16"/>
  <c r="J17" i="16"/>
  <c r="K17" i="16"/>
  <c r="L17" i="16"/>
  <c r="M17" i="16"/>
  <c r="N17" i="16"/>
  <c r="Q17" i="16"/>
  <c r="X17" i="16"/>
  <c r="AE17" i="16"/>
  <c r="B18" i="16"/>
  <c r="C18" i="16"/>
  <c r="D18" i="16"/>
  <c r="E18" i="16"/>
  <c r="F18" i="16"/>
  <c r="G18" i="16"/>
  <c r="H18" i="16"/>
  <c r="I18" i="16"/>
  <c r="J18" i="16"/>
  <c r="K18" i="16"/>
  <c r="L18" i="16"/>
  <c r="M18" i="16"/>
  <c r="N18" i="16"/>
  <c r="Q18" i="16"/>
  <c r="X18" i="16"/>
  <c r="AE18" i="16"/>
  <c r="B19" i="16"/>
  <c r="C19" i="16"/>
  <c r="D19" i="16"/>
  <c r="E19" i="16"/>
  <c r="F19" i="16"/>
  <c r="G19" i="16"/>
  <c r="H19" i="16"/>
  <c r="I19" i="16"/>
  <c r="J19" i="16"/>
  <c r="K19" i="16"/>
  <c r="L19" i="16"/>
  <c r="M19" i="16"/>
  <c r="N19" i="16"/>
  <c r="Q19" i="16"/>
  <c r="X19" i="16"/>
  <c r="AE19" i="16"/>
  <c r="AF41" i="16"/>
  <c r="B42" i="16"/>
  <c r="C42" i="16"/>
  <c r="E42" i="16"/>
  <c r="F42" i="16"/>
  <c r="G42" i="16"/>
  <c r="H42" i="16"/>
  <c r="I42" i="16"/>
  <c r="J42" i="16"/>
  <c r="K42" i="16"/>
  <c r="L42" i="16"/>
  <c r="M42" i="16"/>
  <c r="N42" i="16"/>
  <c r="O42" i="16"/>
  <c r="P42" i="16"/>
  <c r="Q42" i="16"/>
  <c r="R42" i="16"/>
  <c r="S42" i="16"/>
  <c r="T42" i="16"/>
  <c r="U42" i="16"/>
  <c r="V42" i="16"/>
  <c r="W42" i="16"/>
  <c r="X42" i="16"/>
  <c r="Y42" i="16"/>
  <c r="Z42" i="16"/>
  <c r="AA42" i="16"/>
  <c r="AB42" i="16"/>
  <c r="AC42" i="16"/>
  <c r="AD42" i="16"/>
  <c r="AE42" i="16"/>
  <c r="AF42" i="16"/>
  <c r="B17" i="15"/>
  <c r="C17" i="15"/>
  <c r="D17" i="15"/>
  <c r="D18" i="15"/>
  <c r="D19" i="15"/>
  <c r="E17" i="15"/>
  <c r="F17" i="15"/>
  <c r="G17" i="15"/>
  <c r="H17" i="15"/>
  <c r="I17" i="15"/>
  <c r="J17" i="15"/>
  <c r="K17" i="15"/>
  <c r="L17" i="15"/>
  <c r="M17" i="15"/>
  <c r="N17" i="15"/>
  <c r="N18" i="15"/>
  <c r="N19" i="15"/>
  <c r="O17" i="15"/>
  <c r="P17" i="15"/>
  <c r="Q17" i="15"/>
  <c r="U17" i="15"/>
  <c r="V17" i="15"/>
  <c r="W17" i="15"/>
  <c r="X17" i="15"/>
  <c r="Z17" i="15"/>
  <c r="AA17" i="15"/>
  <c r="B18" i="15"/>
  <c r="C18" i="15"/>
  <c r="E18" i="15"/>
  <c r="F18" i="15"/>
  <c r="G18" i="15"/>
  <c r="H18" i="15"/>
  <c r="I18" i="15"/>
  <c r="J18" i="15"/>
  <c r="K18" i="15"/>
  <c r="K19" i="15"/>
  <c r="L18" i="15"/>
  <c r="M18" i="15"/>
  <c r="M19" i="15"/>
  <c r="O18" i="15"/>
  <c r="P18" i="15"/>
  <c r="Q18" i="15"/>
  <c r="S18" i="15"/>
  <c r="T18" i="15"/>
  <c r="U18" i="15"/>
  <c r="V18" i="15"/>
  <c r="W18" i="15"/>
  <c r="X18" i="15"/>
  <c r="Z18" i="15"/>
  <c r="AA18" i="15"/>
  <c r="AB18" i="15"/>
  <c r="AE18" i="15"/>
  <c r="AF18" i="15"/>
  <c r="B19" i="15"/>
  <c r="C19" i="15"/>
  <c r="E19" i="15"/>
  <c r="F19" i="15"/>
  <c r="G19" i="15"/>
  <c r="H19" i="15"/>
  <c r="I19" i="15"/>
  <c r="J19" i="15"/>
  <c r="L19" i="15"/>
  <c r="O19" i="15"/>
  <c r="P19" i="15"/>
  <c r="Q19" i="15"/>
  <c r="R19" i="15"/>
  <c r="S19" i="15"/>
  <c r="T19" i="15"/>
  <c r="U19" i="15"/>
  <c r="V19" i="15"/>
  <c r="W19" i="15"/>
  <c r="W20" i="15" s="1"/>
  <c r="X19" i="15"/>
  <c r="Y19" i="15"/>
  <c r="Z19" i="15"/>
  <c r="AA19" i="15"/>
  <c r="AB19" i="15"/>
  <c r="AC19" i="15"/>
  <c r="AD19" i="15"/>
  <c r="AE19" i="15"/>
  <c r="AF19" i="15"/>
  <c r="M42" i="15"/>
  <c r="N42" i="15"/>
  <c r="O42" i="15"/>
  <c r="P42" i="15"/>
  <c r="Q42" i="15"/>
  <c r="R42" i="15"/>
  <c r="S42" i="15"/>
  <c r="T42" i="15"/>
  <c r="U42" i="15"/>
  <c r="V42" i="15"/>
  <c r="W42" i="15"/>
  <c r="X42" i="15"/>
  <c r="Y42" i="15"/>
  <c r="Z42" i="15"/>
  <c r="AA42" i="15"/>
  <c r="AB42" i="15"/>
  <c r="AC42" i="15"/>
  <c r="AD42" i="15"/>
  <c r="AE42" i="15"/>
  <c r="AF42" i="15"/>
  <c r="B4" i="14"/>
  <c r="C4" i="14" s="1"/>
  <c r="D4" i="14" s="1"/>
  <c r="E4" i="14" s="1"/>
  <c r="F4" i="14" s="1"/>
  <c r="G4" i="14" s="1"/>
  <c r="H4" i="14" s="1"/>
  <c r="I4" i="14" s="1"/>
  <c r="J4" i="14" s="1"/>
  <c r="K4" i="14" s="1"/>
  <c r="L4" i="14" s="1"/>
  <c r="M4" i="14" s="1"/>
  <c r="N4" i="14" s="1"/>
  <c r="O4" i="14" s="1"/>
  <c r="P4" i="14" s="1"/>
  <c r="Q4" i="14" s="1"/>
  <c r="R4" i="14" s="1"/>
  <c r="S4" i="14" s="1"/>
  <c r="T4" i="14" s="1"/>
  <c r="U4" i="14" s="1"/>
  <c r="V4" i="14" s="1"/>
  <c r="W4" i="14" s="1"/>
  <c r="X4" i="14" s="1"/>
  <c r="Y4" i="14" s="1"/>
  <c r="Z4" i="14" s="1"/>
  <c r="AA4" i="14" s="1"/>
  <c r="AB4" i="14" s="1"/>
  <c r="AC4" i="14" s="1"/>
  <c r="AD4" i="14" s="1"/>
  <c r="AE4" i="14" s="1"/>
  <c r="AF4" i="14" s="1"/>
  <c r="B17" i="14"/>
  <c r="C17" i="14"/>
  <c r="D17" i="14"/>
  <c r="E17" i="14"/>
  <c r="F17" i="14"/>
  <c r="F18" i="14"/>
  <c r="F19" i="14"/>
  <c r="G17" i="14"/>
  <c r="H17" i="14"/>
  <c r="I17" i="14"/>
  <c r="J17" i="14"/>
  <c r="K17" i="14"/>
  <c r="L17" i="14"/>
  <c r="M17" i="14"/>
  <c r="N17" i="14"/>
  <c r="O17" i="14"/>
  <c r="P17" i="14"/>
  <c r="Q17" i="14"/>
  <c r="R17" i="14"/>
  <c r="S17" i="14"/>
  <c r="T17" i="14"/>
  <c r="U17" i="14"/>
  <c r="V17" i="14"/>
  <c r="W17" i="14"/>
  <c r="X17" i="14"/>
  <c r="X18" i="14"/>
  <c r="X19" i="14"/>
  <c r="Y17" i="14"/>
  <c r="Z17" i="14"/>
  <c r="AA17" i="14"/>
  <c r="AA18" i="14"/>
  <c r="AA19" i="14"/>
  <c r="AB17" i="14"/>
  <c r="AC17" i="14"/>
  <c r="AD17" i="14"/>
  <c r="AE17" i="14"/>
  <c r="AF17" i="14"/>
  <c r="B18" i="14"/>
  <c r="C18" i="14"/>
  <c r="D18" i="14"/>
  <c r="E18" i="14"/>
  <c r="G18" i="14"/>
  <c r="H18" i="14"/>
  <c r="I18" i="14"/>
  <c r="J18" i="14"/>
  <c r="K18" i="14"/>
  <c r="L18" i="14"/>
  <c r="M18" i="14"/>
  <c r="N18" i="14"/>
  <c r="O18" i="14"/>
  <c r="P18" i="14"/>
  <c r="Q18" i="14"/>
  <c r="R18" i="14"/>
  <c r="S18" i="14"/>
  <c r="T18" i="14"/>
  <c r="U18" i="14"/>
  <c r="V18" i="14"/>
  <c r="W18" i="14"/>
  <c r="Y18" i="14"/>
  <c r="Z18" i="14"/>
  <c r="AB18" i="14"/>
  <c r="AC18" i="14"/>
  <c r="AC19" i="14"/>
  <c r="AD18" i="14"/>
  <c r="AE18" i="14"/>
  <c r="AF18" i="14"/>
  <c r="B19" i="14"/>
  <c r="C19" i="14"/>
  <c r="D19" i="14"/>
  <c r="E19" i="14"/>
  <c r="G19" i="14"/>
  <c r="H19" i="14"/>
  <c r="I19" i="14"/>
  <c r="J19" i="14"/>
  <c r="K19" i="14"/>
  <c r="L19" i="14"/>
  <c r="M19" i="14"/>
  <c r="N19" i="14"/>
  <c r="O19" i="14"/>
  <c r="P19" i="14"/>
  <c r="Q19" i="14"/>
  <c r="R19" i="14"/>
  <c r="S19" i="14"/>
  <c r="T19" i="14"/>
  <c r="U19" i="14"/>
  <c r="V19" i="14"/>
  <c r="W19" i="14"/>
  <c r="Y19" i="14"/>
  <c r="Z19" i="14"/>
  <c r="AB19" i="14"/>
  <c r="AD19" i="14"/>
  <c r="AE19" i="14"/>
  <c r="AF19" i="14"/>
  <c r="B42" i="14"/>
  <c r="C42" i="14"/>
  <c r="D42" i="14"/>
  <c r="E42" i="14"/>
  <c r="F42" i="14"/>
  <c r="G42" i="14"/>
  <c r="H42" i="14"/>
  <c r="I42" i="14"/>
  <c r="J42" i="14"/>
  <c r="K42" i="14"/>
  <c r="L42" i="14"/>
  <c r="M42" i="14"/>
  <c r="N42" i="14"/>
  <c r="O42" i="14"/>
  <c r="P42" i="14"/>
  <c r="Q42" i="14"/>
  <c r="R42" i="14"/>
  <c r="S42" i="14"/>
  <c r="T42" i="14"/>
  <c r="U42" i="14"/>
  <c r="V42" i="14"/>
  <c r="W42" i="14"/>
  <c r="X42" i="14"/>
  <c r="Y42" i="14"/>
  <c r="Z42" i="14"/>
  <c r="AA42" i="14"/>
  <c r="AB42" i="14"/>
  <c r="AC42" i="14"/>
  <c r="AD42" i="14"/>
  <c r="AE42" i="14"/>
  <c r="AF42" i="14"/>
  <c r="B4" i="13"/>
  <c r="C4" i="13" s="1"/>
  <c r="D4" i="13" s="1"/>
  <c r="E4" i="13" s="1"/>
  <c r="F4" i="13" s="1"/>
  <c r="G4" i="13" s="1"/>
  <c r="H4" i="13" s="1"/>
  <c r="I4" i="13" s="1"/>
  <c r="J4" i="13" s="1"/>
  <c r="B17" i="13"/>
  <c r="C17" i="13"/>
  <c r="D17" i="13"/>
  <c r="E17" i="13"/>
  <c r="F17" i="13"/>
  <c r="G17" i="13"/>
  <c r="H17" i="13"/>
  <c r="I17" i="13"/>
  <c r="J17" i="13"/>
  <c r="K17" i="13"/>
  <c r="L17" i="13"/>
  <c r="M17" i="13"/>
  <c r="N17" i="13"/>
  <c r="O17" i="13"/>
  <c r="P17" i="13"/>
  <c r="Q17" i="13"/>
  <c r="R17" i="13"/>
  <c r="S17" i="13"/>
  <c r="T17" i="13"/>
  <c r="U17" i="13"/>
  <c r="V17" i="13"/>
  <c r="W17" i="13"/>
  <c r="X17" i="13"/>
  <c r="Y17" i="13"/>
  <c r="Z17" i="13"/>
  <c r="AA17" i="13"/>
  <c r="AB17" i="13"/>
  <c r="AC17" i="13"/>
  <c r="AD17" i="13"/>
  <c r="AE17" i="13"/>
  <c r="B18" i="13"/>
  <c r="C18" i="13"/>
  <c r="D18" i="13"/>
  <c r="E18" i="13"/>
  <c r="F18" i="13"/>
  <c r="G18" i="13"/>
  <c r="H18" i="13"/>
  <c r="I18" i="13"/>
  <c r="J18" i="13"/>
  <c r="K18" i="13"/>
  <c r="L18" i="13"/>
  <c r="M18" i="13"/>
  <c r="N18" i="13"/>
  <c r="O18" i="13"/>
  <c r="P18" i="13"/>
  <c r="Q18" i="13"/>
  <c r="R18" i="13"/>
  <c r="S18" i="13"/>
  <c r="T18" i="13"/>
  <c r="U18" i="13"/>
  <c r="V18" i="13"/>
  <c r="W18" i="13"/>
  <c r="X18" i="13"/>
  <c r="Y18" i="13"/>
  <c r="Z18" i="13"/>
  <c r="AA18" i="13"/>
  <c r="AB18" i="13"/>
  <c r="AC18" i="13"/>
  <c r="AD18" i="13"/>
  <c r="AE18" i="13"/>
  <c r="B19" i="13"/>
  <c r="C19" i="13"/>
  <c r="D19" i="13"/>
  <c r="E19" i="13"/>
  <c r="F19" i="13"/>
  <c r="G19" i="13"/>
  <c r="H19" i="13"/>
  <c r="I19" i="13"/>
  <c r="J19" i="13"/>
  <c r="K19" i="13"/>
  <c r="L19" i="13"/>
  <c r="M19" i="13"/>
  <c r="N19" i="13"/>
  <c r="O19" i="13"/>
  <c r="P19" i="13"/>
  <c r="Q19" i="13"/>
  <c r="R19" i="13"/>
  <c r="S19" i="13"/>
  <c r="T19" i="13"/>
  <c r="U19" i="13"/>
  <c r="V19" i="13"/>
  <c r="W19" i="13"/>
  <c r="X19" i="13"/>
  <c r="Y19" i="13"/>
  <c r="Z19" i="13"/>
  <c r="AA19" i="13"/>
  <c r="AB19" i="13"/>
  <c r="AC19" i="13"/>
  <c r="AD19" i="13"/>
  <c r="AE19" i="13"/>
  <c r="M42" i="13"/>
  <c r="N42" i="13"/>
  <c r="O42" i="13"/>
  <c r="P42" i="13"/>
  <c r="Q42" i="13"/>
  <c r="R42" i="13"/>
  <c r="S42" i="13"/>
  <c r="T42" i="13"/>
  <c r="U42" i="13"/>
  <c r="V42" i="13"/>
  <c r="W42" i="13"/>
  <c r="X42" i="13"/>
  <c r="Y42" i="13"/>
  <c r="Z42" i="13"/>
  <c r="AA42" i="13"/>
  <c r="AB42" i="13"/>
  <c r="AC42" i="13"/>
  <c r="AD42" i="13"/>
  <c r="AE42" i="13"/>
  <c r="AF42" i="13"/>
  <c r="B4" i="12"/>
  <c r="C4" i="12" s="1"/>
  <c r="D4" i="12" s="1"/>
  <c r="E4" i="12" s="1"/>
  <c r="F4" i="12" s="1"/>
  <c r="G4" i="12" s="1"/>
  <c r="H4" i="12" s="1"/>
  <c r="I4" i="12" s="1"/>
  <c r="J4" i="12" s="1"/>
  <c r="K4" i="12" s="1"/>
  <c r="L4" i="12" s="1"/>
  <c r="M4" i="12" s="1"/>
  <c r="N4" i="12" s="1"/>
  <c r="O4" i="12" s="1"/>
  <c r="P4" i="12" s="1"/>
  <c r="Q4" i="12" s="1"/>
  <c r="R4" i="12" s="1"/>
  <c r="S4" i="12" s="1"/>
  <c r="T4" i="12" s="1"/>
  <c r="U4" i="12" s="1"/>
  <c r="V4" i="12" s="1"/>
  <c r="W4" i="12" s="1"/>
  <c r="X4" i="12" s="1"/>
  <c r="Y4" i="12" s="1"/>
  <c r="Z4" i="12" s="1"/>
  <c r="AA4" i="12" s="1"/>
  <c r="AB4" i="12" s="1"/>
  <c r="AC4" i="12" s="1"/>
  <c r="AD4" i="12" s="1"/>
  <c r="AE4" i="12" s="1"/>
  <c r="AF4" i="12" s="1"/>
  <c r="G17" i="12"/>
  <c r="G18" i="12"/>
  <c r="G19" i="12"/>
  <c r="H17" i="12"/>
  <c r="I17" i="12"/>
  <c r="J17" i="12"/>
  <c r="K17" i="12"/>
  <c r="L17" i="12"/>
  <c r="M17" i="12"/>
  <c r="N17" i="12"/>
  <c r="O17" i="12"/>
  <c r="O18" i="12"/>
  <c r="O19" i="12"/>
  <c r="P17" i="12"/>
  <c r="Q17" i="12"/>
  <c r="R17" i="12"/>
  <c r="S17" i="12"/>
  <c r="T17" i="12"/>
  <c r="U17" i="12"/>
  <c r="V17" i="12"/>
  <c r="W17" i="12"/>
  <c r="X17" i="12"/>
  <c r="Y17" i="12"/>
  <c r="Z17" i="12"/>
  <c r="AA17" i="12"/>
  <c r="AB17" i="12"/>
  <c r="AC17" i="12"/>
  <c r="AD17" i="12"/>
  <c r="AE17" i="12"/>
  <c r="AF17" i="12"/>
  <c r="H18" i="12"/>
  <c r="I18" i="12"/>
  <c r="J18" i="12"/>
  <c r="K18" i="12"/>
  <c r="L18" i="12"/>
  <c r="M18" i="12"/>
  <c r="N18" i="12"/>
  <c r="P18" i="12"/>
  <c r="Q18" i="12"/>
  <c r="Q19" i="12"/>
  <c r="R18" i="12"/>
  <c r="S18" i="12"/>
  <c r="T18" i="12"/>
  <c r="U18" i="12"/>
  <c r="V18" i="12"/>
  <c r="W18" i="12"/>
  <c r="X18" i="12"/>
  <c r="Y18" i="12"/>
  <c r="Z18" i="12"/>
  <c r="AA18" i="12"/>
  <c r="AB18" i="12"/>
  <c r="AC18" i="12"/>
  <c r="AD18" i="12"/>
  <c r="AD19" i="12"/>
  <c r="AE18" i="12"/>
  <c r="AF18" i="12"/>
  <c r="H19" i="12"/>
  <c r="I19" i="12"/>
  <c r="J19" i="12"/>
  <c r="K19" i="12"/>
  <c r="L19" i="12"/>
  <c r="M19" i="12"/>
  <c r="N19" i="12"/>
  <c r="P19" i="12"/>
  <c r="R19" i="12"/>
  <c r="S19" i="12"/>
  <c r="T19" i="12"/>
  <c r="U19" i="12"/>
  <c r="V19" i="12"/>
  <c r="W19" i="12"/>
  <c r="X19" i="12"/>
  <c r="Y19" i="12"/>
  <c r="Z19" i="12"/>
  <c r="AA19" i="12"/>
  <c r="AB19" i="12"/>
  <c r="AC19" i="12"/>
  <c r="AE19" i="12"/>
  <c r="AF19" i="12"/>
  <c r="Q42" i="12"/>
  <c r="R42" i="12"/>
  <c r="S42" i="12"/>
  <c r="T42" i="12"/>
  <c r="U42" i="12"/>
  <c r="V42" i="12"/>
  <c r="W42" i="12"/>
  <c r="X42" i="12"/>
  <c r="Y42" i="12"/>
  <c r="Z42" i="12"/>
  <c r="AA42" i="12"/>
  <c r="AB42" i="12"/>
  <c r="AC42" i="12"/>
  <c r="AD42" i="12"/>
  <c r="AE42" i="12"/>
  <c r="AF42" i="12"/>
  <c r="B4" i="11"/>
  <c r="C4" i="11" s="1"/>
  <c r="D4" i="11" s="1"/>
  <c r="E4" i="11" s="1"/>
  <c r="F4" i="11" s="1"/>
  <c r="G4" i="11" s="1"/>
  <c r="H4" i="11" s="1"/>
  <c r="I4" i="11" s="1"/>
  <c r="J4" i="11" s="1"/>
  <c r="K4" i="11" s="1"/>
  <c r="L4" i="11" s="1"/>
  <c r="M4" i="11" s="1"/>
  <c r="N4" i="11" s="1"/>
  <c r="O4" i="11" s="1"/>
  <c r="P4" i="11" s="1"/>
  <c r="Q4" i="11" s="1"/>
  <c r="R4" i="11" s="1"/>
  <c r="S4" i="11" s="1"/>
  <c r="T4" i="11" s="1"/>
  <c r="T42" i="11"/>
  <c r="U42" i="11"/>
  <c r="V42" i="11"/>
  <c r="W42" i="11"/>
  <c r="X42" i="11"/>
  <c r="Y42" i="11"/>
  <c r="Z42" i="11"/>
  <c r="AA42" i="11"/>
  <c r="AB42" i="11"/>
  <c r="AC42" i="11"/>
  <c r="AD42" i="11"/>
  <c r="AE42" i="11"/>
  <c r="B4" i="10"/>
  <c r="C4" i="10" s="1"/>
  <c r="D4" i="10" s="1"/>
  <c r="E4" i="10" s="1"/>
  <c r="F4" i="10" s="1"/>
  <c r="G4" i="10" s="1"/>
  <c r="H4" i="10" s="1"/>
  <c r="I4" i="10" s="1"/>
  <c r="J4" i="10" s="1"/>
  <c r="K4" i="10" s="1"/>
  <c r="L4" i="10" s="1"/>
  <c r="M4" i="10" s="1"/>
  <c r="N4" i="10" s="1"/>
  <c r="O4" i="10" s="1"/>
  <c r="P4" i="10" s="1"/>
  <c r="Q4" i="10" s="1"/>
  <c r="R4" i="10" s="1"/>
  <c r="S4" i="10" s="1"/>
  <c r="T4" i="10" s="1"/>
  <c r="U4" i="10" s="1"/>
  <c r="V4" i="10" s="1"/>
  <c r="W4" i="10" s="1"/>
  <c r="X4" i="10" s="1"/>
  <c r="Y4" i="10" s="1"/>
  <c r="Z4" i="10" s="1"/>
  <c r="AA4" i="10" s="1"/>
  <c r="AB4" i="10" s="1"/>
  <c r="AC4" i="10" s="1"/>
  <c r="AD4" i="10" s="1"/>
  <c r="AE4" i="10" s="1"/>
  <c r="AF4" i="10" s="1"/>
  <c r="B17" i="10"/>
  <c r="B18" i="10"/>
  <c r="B19" i="10"/>
  <c r="C17" i="10"/>
  <c r="C18" i="10"/>
  <c r="C19" i="10"/>
  <c r="D17" i="10"/>
  <c r="D18" i="10"/>
  <c r="D19" i="10"/>
  <c r="E17" i="10"/>
  <c r="F17" i="10"/>
  <c r="F18" i="10"/>
  <c r="F19" i="10"/>
  <c r="G17" i="10"/>
  <c r="H17" i="10"/>
  <c r="I17" i="10"/>
  <c r="O17" i="10"/>
  <c r="O18" i="10"/>
  <c r="O19" i="10"/>
  <c r="P17" i="10"/>
  <c r="P18" i="10"/>
  <c r="P19" i="10"/>
  <c r="Q17" i="10"/>
  <c r="Q18" i="10"/>
  <c r="Q19" i="10"/>
  <c r="R17" i="10"/>
  <c r="V17" i="10"/>
  <c r="W17" i="10"/>
  <c r="W18" i="10"/>
  <c r="W19" i="10"/>
  <c r="X17" i="10"/>
  <c r="Y17" i="10"/>
  <c r="Y18" i="10"/>
  <c r="Y19" i="10"/>
  <c r="AC17" i="10"/>
  <c r="AC18" i="10"/>
  <c r="AC19" i="10"/>
  <c r="AD17" i="10"/>
  <c r="AE17" i="10"/>
  <c r="AE18" i="10"/>
  <c r="AF17" i="10"/>
  <c r="AF18" i="10"/>
  <c r="E18" i="10"/>
  <c r="G18" i="10"/>
  <c r="G19" i="10"/>
  <c r="H18" i="10"/>
  <c r="I18" i="10"/>
  <c r="I19" i="10"/>
  <c r="R18" i="10"/>
  <c r="V18" i="10"/>
  <c r="V19" i="10"/>
  <c r="X18" i="10"/>
  <c r="X19" i="10"/>
  <c r="AD18" i="10"/>
  <c r="AE19" i="10"/>
  <c r="E19" i="10"/>
  <c r="H19" i="10"/>
  <c r="R19" i="10"/>
  <c r="AD19" i="10"/>
  <c r="AF19" i="10"/>
  <c r="M42" i="10"/>
  <c r="N42" i="10"/>
  <c r="O42" i="10"/>
  <c r="P42" i="10"/>
  <c r="Q42" i="10"/>
  <c r="R42" i="10"/>
  <c r="S42" i="10"/>
  <c r="T42" i="10"/>
  <c r="U42" i="10"/>
  <c r="V42" i="10"/>
  <c r="W42" i="10"/>
  <c r="X42" i="10"/>
  <c r="Y42" i="10"/>
  <c r="Z42" i="10"/>
  <c r="AA42" i="10"/>
  <c r="AB42" i="10"/>
  <c r="AC42" i="10"/>
  <c r="AD42" i="10"/>
  <c r="AE42" i="10"/>
  <c r="AF42" i="10"/>
  <c r="B17" i="9"/>
  <c r="B18" i="9"/>
  <c r="B19" i="9"/>
  <c r="B42" i="9"/>
  <c r="C42" i="9"/>
  <c r="D42" i="9"/>
  <c r="E42" i="9"/>
  <c r="F42" i="9"/>
  <c r="G42" i="9"/>
  <c r="H42" i="9"/>
  <c r="I42" i="9"/>
  <c r="J42" i="9"/>
  <c r="K42" i="9"/>
  <c r="L42" i="9"/>
  <c r="N42" i="9"/>
  <c r="P42" i="9"/>
  <c r="R42" i="9"/>
  <c r="S42" i="9"/>
  <c r="U42" i="9"/>
  <c r="V42" i="9"/>
  <c r="W42" i="9"/>
  <c r="Y42" i="9"/>
  <c r="Z42" i="9"/>
  <c r="AA42" i="9"/>
  <c r="AC42" i="9"/>
  <c r="B4" i="8"/>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B17" i="8"/>
  <c r="B18" i="8"/>
  <c r="B19" i="8"/>
  <c r="T42" i="8"/>
  <c r="U42" i="8"/>
  <c r="V42" i="8"/>
  <c r="W42" i="8"/>
  <c r="X42" i="8"/>
  <c r="Y42" i="8"/>
  <c r="Z42" i="8"/>
  <c r="AA42" i="8"/>
  <c r="AB42" i="8"/>
  <c r="AC42" i="8"/>
  <c r="AD42" i="8"/>
  <c r="AE42" i="8"/>
  <c r="AF42" i="8"/>
  <c r="AB42" i="9"/>
  <c r="X42" i="9"/>
  <c r="T42" i="9"/>
  <c r="Q42" i="9"/>
  <c r="O42" i="9"/>
  <c r="M42" i="9"/>
  <c r="AA44" i="14"/>
  <c r="R44" i="10"/>
  <c r="AD44" i="16"/>
  <c r="V44" i="15"/>
  <c r="T44" i="15"/>
  <c r="U44" i="14"/>
  <c r="X44" i="14"/>
  <c r="L44" i="14"/>
  <c r="D44" i="14"/>
  <c r="AD44" i="13"/>
  <c r="N44" i="13"/>
  <c r="AB44" i="13"/>
  <c r="U44" i="12"/>
  <c r="B41" i="13"/>
  <c r="K44" i="10"/>
  <c r="J44" i="10"/>
  <c r="F44" i="10"/>
  <c r="AC44" i="12"/>
  <c r="S44" i="12"/>
  <c r="O44" i="12"/>
  <c r="Q44" i="10"/>
  <c r="B41" i="10"/>
  <c r="AA44" i="13"/>
  <c r="W44" i="13"/>
  <c r="AC44" i="11"/>
  <c r="Y44" i="11"/>
  <c r="U44" i="11"/>
  <c r="AE44" i="11"/>
  <c r="AA44" i="11"/>
  <c r="AE44" i="10"/>
  <c r="X44" i="10"/>
  <c r="T44" i="10"/>
  <c r="AA44" i="9"/>
  <c r="I8" i="8" l="1"/>
  <c r="C44" i="9"/>
  <c r="AB8" i="8"/>
  <c r="U44" i="8"/>
  <c r="Z8" i="8"/>
  <c r="S41" i="13"/>
  <c r="R41" i="13"/>
  <c r="Z41" i="11"/>
  <c r="I20" i="8"/>
  <c r="O20" i="13"/>
  <c r="N8" i="8"/>
  <c r="M44" i="16"/>
  <c r="K20" i="12"/>
  <c r="AE44" i="8"/>
  <c r="I20" i="11"/>
  <c r="V20" i="15"/>
  <c r="W41" i="16"/>
  <c r="E41" i="13"/>
  <c r="AC41" i="11"/>
  <c r="N41" i="10"/>
  <c r="AA41" i="10"/>
  <c r="T41" i="16"/>
  <c r="AA41" i="15"/>
  <c r="G41" i="14"/>
  <c r="O41" i="14"/>
  <c r="W41" i="14"/>
  <c r="X41" i="13"/>
  <c r="AE41" i="12"/>
  <c r="V41" i="9"/>
  <c r="W44" i="9"/>
  <c r="Q44" i="9"/>
  <c r="B38" i="9"/>
  <c r="W38" i="8"/>
  <c r="AD38" i="8"/>
  <c r="V38" i="8"/>
  <c r="U38" i="8"/>
  <c r="S38" i="8"/>
  <c r="AB38" i="8"/>
  <c r="G38" i="8"/>
  <c r="AA38" i="8"/>
  <c r="F38" i="8"/>
  <c r="Z38" i="8"/>
  <c r="Y38" i="8"/>
  <c r="AE38" i="8"/>
  <c r="B38" i="8"/>
  <c r="AF38" i="8"/>
  <c r="B12" i="8"/>
  <c r="N41" i="16"/>
  <c r="G20" i="13"/>
  <c r="I20" i="16"/>
  <c r="P20" i="14"/>
  <c r="I44" i="16"/>
  <c r="K20" i="14"/>
  <c r="F20" i="16"/>
  <c r="T20" i="8"/>
  <c r="AG44" i="9"/>
  <c r="J20" i="8"/>
  <c r="V41" i="10"/>
  <c r="H41" i="14"/>
  <c r="M20" i="9"/>
  <c r="AF44" i="8"/>
  <c r="AE8" i="9"/>
  <c r="AA8" i="8"/>
  <c r="M8" i="8"/>
  <c r="O20" i="8"/>
  <c r="Y8" i="8"/>
  <c r="AA20" i="9"/>
  <c r="N44" i="9"/>
  <c r="P41" i="12"/>
  <c r="Z20" i="14"/>
  <c r="L20" i="16"/>
  <c r="D8" i="9"/>
  <c r="P44" i="9"/>
  <c r="U41" i="11"/>
  <c r="O41" i="10"/>
  <c r="P20" i="8"/>
  <c r="H20" i="9"/>
  <c r="Q20" i="9"/>
  <c r="C44" i="16"/>
  <c r="S8" i="8"/>
  <c r="K41" i="16"/>
  <c r="X20" i="11"/>
  <c r="P20" i="11"/>
  <c r="R8" i="8"/>
  <c r="D44" i="10"/>
  <c r="S20" i="14"/>
  <c r="AA20" i="14"/>
  <c r="D20" i="16"/>
  <c r="B20" i="10"/>
  <c r="R20" i="8"/>
  <c r="G20" i="9"/>
  <c r="O8" i="8"/>
  <c r="AE20" i="13"/>
  <c r="Z41" i="16"/>
  <c r="X20" i="8"/>
  <c r="Y41" i="15"/>
  <c r="AC20" i="12"/>
  <c r="AD20" i="13"/>
  <c r="X20" i="14"/>
  <c r="B20" i="14"/>
  <c r="M20" i="15"/>
  <c r="N20" i="8"/>
  <c r="V20" i="8"/>
  <c r="AB20" i="8"/>
  <c r="Y20" i="14"/>
  <c r="W20" i="9"/>
  <c r="AA20" i="8"/>
  <c r="C20" i="10"/>
  <c r="O20" i="12"/>
  <c r="C20" i="13"/>
  <c r="T20" i="14"/>
  <c r="L20" i="8"/>
  <c r="V20" i="13"/>
  <c r="B41" i="16"/>
  <c r="O41" i="16"/>
  <c r="N44" i="16"/>
  <c r="Y44" i="9"/>
  <c r="AE20" i="16"/>
  <c r="G41" i="16"/>
  <c r="N20" i="11"/>
  <c r="D20" i="11"/>
  <c r="J41" i="14"/>
  <c r="F20" i="10"/>
  <c r="K20" i="16"/>
  <c r="E20" i="16"/>
  <c r="AD20" i="11"/>
  <c r="B20" i="11"/>
  <c r="S44" i="13"/>
  <c r="X8" i="8"/>
  <c r="X20" i="13"/>
  <c r="R20" i="14"/>
  <c r="AD20" i="14"/>
  <c r="W20" i="14"/>
  <c r="Q20" i="14"/>
  <c r="U20" i="14"/>
  <c r="I20" i="14"/>
  <c r="E20" i="14"/>
  <c r="N20" i="15"/>
  <c r="Q20" i="16"/>
  <c r="AD8" i="8"/>
  <c r="J44" i="16"/>
  <c r="L41" i="16"/>
  <c r="AC44" i="10"/>
  <c r="L44" i="16"/>
  <c r="W41" i="12"/>
  <c r="Q41" i="12"/>
  <c r="T20" i="13"/>
  <c r="E20" i="13"/>
  <c r="V20" i="14"/>
  <c r="N20" i="14"/>
  <c r="H20" i="14"/>
  <c r="D20" i="14"/>
  <c r="E20" i="15"/>
  <c r="AA20" i="15"/>
  <c r="K20" i="8"/>
  <c r="Q20" i="8"/>
  <c r="U20" i="8"/>
  <c r="S41" i="16"/>
  <c r="AE41" i="16"/>
  <c r="Y44" i="12"/>
  <c r="L8" i="8"/>
  <c r="P41" i="14"/>
  <c r="L44" i="10"/>
  <c r="R41" i="16"/>
  <c r="G20" i="10"/>
  <c r="G20" i="12"/>
  <c r="D20" i="13"/>
  <c r="G20" i="16"/>
  <c r="S20" i="8"/>
  <c r="W20" i="8"/>
  <c r="Y20" i="8"/>
  <c r="X44" i="16"/>
  <c r="T41" i="15"/>
  <c r="R41" i="15"/>
  <c r="Z41" i="15"/>
  <c r="AF41" i="14"/>
  <c r="Z41" i="14"/>
  <c r="S41" i="15"/>
  <c r="M41" i="15"/>
  <c r="U20" i="15"/>
  <c r="P20" i="13"/>
  <c r="T20" i="15"/>
  <c r="G44" i="10"/>
  <c r="D41" i="16"/>
  <c r="Q20" i="10"/>
  <c r="J20" i="13"/>
  <c r="B20" i="13"/>
  <c r="U20" i="13"/>
  <c r="O20" i="14"/>
  <c r="M20" i="14"/>
  <c r="G20" i="14"/>
  <c r="C20" i="14"/>
  <c r="Z20" i="15"/>
  <c r="L20" i="15"/>
  <c r="X20" i="16"/>
  <c r="AC20" i="15"/>
  <c r="U3" i="11"/>
  <c r="V3" i="11" s="1"/>
  <c r="W3" i="11" s="1"/>
  <c r="X3" i="11" s="1"/>
  <c r="Y3" i="11" s="1"/>
  <c r="Z3" i="11" s="1"/>
  <c r="AA3" i="11" s="1"/>
  <c r="AB3" i="11" s="1"/>
  <c r="AC3" i="11" s="1"/>
  <c r="AD3" i="11" s="1"/>
  <c r="AE3" i="11" s="1"/>
  <c r="D20" i="8"/>
  <c r="J20" i="9"/>
  <c r="N20" i="9"/>
  <c r="AF20" i="8"/>
  <c r="R44" i="12"/>
  <c r="AC20" i="13"/>
  <c r="H20" i="15"/>
  <c r="M20" i="8"/>
  <c r="E44" i="10"/>
  <c r="X44" i="12"/>
  <c r="R41" i="14"/>
  <c r="AA41" i="16"/>
  <c r="X41" i="14"/>
  <c r="AB41" i="16"/>
  <c r="P20" i="12"/>
  <c r="K20" i="13"/>
  <c r="Z20" i="13"/>
  <c r="L20" i="14"/>
  <c r="X20" i="15"/>
  <c r="Q20" i="15"/>
  <c r="F20" i="15"/>
  <c r="N20" i="16"/>
  <c r="R20" i="9"/>
  <c r="Z20" i="9"/>
  <c r="AB20" i="9"/>
  <c r="AF12" i="9"/>
  <c r="F5" i="17" s="1"/>
  <c r="Y41" i="9"/>
  <c r="AE20" i="8"/>
  <c r="O44" i="10"/>
  <c r="AC44" i="9"/>
  <c r="L44" i="9"/>
  <c r="V44" i="8"/>
  <c r="J8" i="8"/>
  <c r="W20" i="13"/>
  <c r="AF41" i="13"/>
  <c r="AD20" i="15"/>
  <c r="H44" i="10"/>
  <c r="AA41" i="13"/>
  <c r="AF44" i="10"/>
  <c r="AB41" i="11"/>
  <c r="U4" i="11"/>
  <c r="V4" i="11" s="1"/>
  <c r="W4" i="11" s="1"/>
  <c r="X4" i="11" s="1"/>
  <c r="Y4" i="11" s="1"/>
  <c r="Z4" i="11" s="1"/>
  <c r="AA4" i="11" s="1"/>
  <c r="AB4" i="11" s="1"/>
  <c r="AC4" i="11" s="1"/>
  <c r="AD4" i="11" s="1"/>
  <c r="AE4" i="11" s="1"/>
  <c r="N20" i="12"/>
  <c r="Q20" i="12"/>
  <c r="H20" i="13"/>
  <c r="Y20" i="13"/>
  <c r="S20" i="13"/>
  <c r="K4" i="13"/>
  <c r="L4" i="13" s="1"/>
  <c r="M4" i="13" s="1"/>
  <c r="N4" i="13" s="1"/>
  <c r="O4" i="13" s="1"/>
  <c r="P4" i="13" s="1"/>
  <c r="Q4" i="13" s="1"/>
  <c r="R4" i="13" s="1"/>
  <c r="S4" i="13" s="1"/>
  <c r="T4" i="13" s="1"/>
  <c r="U4" i="13" s="1"/>
  <c r="V4" i="13" s="1"/>
  <c r="W4" i="13" s="1"/>
  <c r="X4" i="13" s="1"/>
  <c r="Y4" i="13" s="1"/>
  <c r="Z4" i="13" s="1"/>
  <c r="AA4" i="13" s="1"/>
  <c r="AB4" i="13" s="1"/>
  <c r="AC4" i="13" s="1"/>
  <c r="AD4" i="13" s="1"/>
  <c r="AE4" i="13" s="1"/>
  <c r="P20" i="15"/>
  <c r="C41" i="16"/>
  <c r="Y20" i="15"/>
  <c r="AF20" i="15"/>
  <c r="K3" i="13"/>
  <c r="L3" i="13" s="1"/>
  <c r="M3" i="13" s="1"/>
  <c r="N3" i="13" s="1"/>
  <c r="O3" i="13" s="1"/>
  <c r="P3" i="13" s="1"/>
  <c r="Q3" i="13" s="1"/>
  <c r="R3" i="13" s="1"/>
  <c r="S3" i="13" s="1"/>
  <c r="T3" i="13" s="1"/>
  <c r="U3" i="13" s="1"/>
  <c r="V3" i="13" s="1"/>
  <c r="W3" i="13" s="1"/>
  <c r="X3" i="13" s="1"/>
  <c r="Y3" i="13" s="1"/>
  <c r="Z3" i="13" s="1"/>
  <c r="AA3" i="13" s="1"/>
  <c r="AB3" i="13" s="1"/>
  <c r="AC3" i="13" s="1"/>
  <c r="AD3" i="13" s="1"/>
  <c r="AE3" i="13" s="1"/>
  <c r="AF3" i="13" s="1"/>
  <c r="P41" i="13"/>
  <c r="N44" i="10"/>
  <c r="AF44" i="16"/>
  <c r="P8" i="8"/>
  <c r="Q20" i="13"/>
  <c r="C44" i="10"/>
  <c r="K44" i="9"/>
  <c r="T41" i="12"/>
  <c r="J41" i="16"/>
  <c r="V20" i="10"/>
  <c r="P20" i="10"/>
  <c r="D20" i="10"/>
  <c r="I20" i="13"/>
  <c r="F20" i="13"/>
  <c r="F20" i="14"/>
  <c r="AB20" i="15"/>
  <c r="G20" i="15"/>
  <c r="J20" i="15"/>
  <c r="S20" i="9"/>
  <c r="V20" i="11"/>
  <c r="AD20" i="8"/>
  <c r="B8" i="9"/>
  <c r="AC41" i="15"/>
  <c r="Q41" i="15"/>
  <c r="AE41" i="14"/>
  <c r="O20" i="15"/>
  <c r="C20" i="15"/>
  <c r="S20" i="15"/>
  <c r="B20" i="15"/>
  <c r="AF20" i="14"/>
  <c r="AA20" i="13"/>
  <c r="Z44" i="13"/>
  <c r="R44" i="13"/>
  <c r="L20" i="13"/>
  <c r="AF20" i="12"/>
  <c r="M20" i="12"/>
  <c r="T20" i="12"/>
  <c r="R20" i="12"/>
  <c r="N44" i="12"/>
  <c r="AC20" i="11"/>
  <c r="Q41" i="13"/>
  <c r="S41" i="12"/>
  <c r="AD41" i="10"/>
  <c r="H20" i="11"/>
  <c r="AF20" i="10"/>
  <c r="W41" i="11"/>
  <c r="X41" i="11"/>
  <c r="R41" i="11"/>
  <c r="Y41" i="10"/>
  <c r="AE20" i="11"/>
  <c r="K20" i="11"/>
  <c r="J20" i="11"/>
  <c r="G20" i="11"/>
  <c r="G44" i="11"/>
  <c r="H44" i="11"/>
  <c r="K44" i="11"/>
  <c r="I44" i="11"/>
  <c r="J44" i="11"/>
  <c r="M41" i="10"/>
  <c r="AD44" i="10"/>
  <c r="W44" i="10"/>
  <c r="V41" i="8"/>
  <c r="AF44" i="15"/>
  <c r="L44" i="13"/>
  <c r="M44" i="13"/>
  <c r="AE44" i="12"/>
  <c r="V44" i="12"/>
  <c r="O44" i="11"/>
  <c r="L44" i="11"/>
  <c r="F41" i="8"/>
  <c r="B15" i="17"/>
  <c r="M41" i="16"/>
  <c r="V41" i="16"/>
  <c r="AD41" i="16"/>
  <c r="E41" i="16"/>
  <c r="AC41" i="16"/>
  <c r="U41" i="16"/>
  <c r="F41" i="16"/>
  <c r="AB41" i="13"/>
  <c r="B12" i="17"/>
  <c r="C20" i="17"/>
  <c r="C12" i="17"/>
  <c r="B20" i="17"/>
  <c r="M20" i="16"/>
  <c r="H20" i="16"/>
  <c r="B20" i="16"/>
  <c r="AC20" i="14"/>
  <c r="AB20" i="14"/>
  <c r="X20" i="12"/>
  <c r="W20" i="12"/>
  <c r="V20" i="12"/>
  <c r="J20" i="12"/>
  <c r="I20" i="12"/>
  <c r="M20" i="11"/>
  <c r="AH12" i="10"/>
  <c r="I44" i="10"/>
  <c r="H20" i="10"/>
  <c r="AD20" i="10"/>
  <c r="U44" i="10"/>
  <c r="B44" i="10"/>
  <c r="AC20" i="10"/>
  <c r="Y20" i="10"/>
  <c r="E20" i="10"/>
  <c r="I20" i="10"/>
  <c r="W20" i="10"/>
  <c r="N20" i="13"/>
  <c r="Q41" i="16"/>
  <c r="Y41" i="16"/>
  <c r="I41" i="16"/>
  <c r="X41" i="16"/>
  <c r="AH34" i="16"/>
  <c r="P41" i="11"/>
  <c r="H41" i="16"/>
  <c r="P41" i="16"/>
  <c r="O41" i="9"/>
  <c r="C15" i="17"/>
  <c r="K20" i="9"/>
  <c r="P20" i="9"/>
  <c r="T44" i="9"/>
  <c r="AC20" i="9"/>
  <c r="AB44" i="9"/>
  <c r="M44" i="9"/>
  <c r="V44" i="9"/>
  <c r="C5" i="17"/>
  <c r="M12" i="17"/>
  <c r="B44" i="15"/>
  <c r="AF41" i="15"/>
  <c r="X41" i="15"/>
  <c r="M15" i="17"/>
  <c r="D41" i="14"/>
  <c r="L41" i="14"/>
  <c r="AB41" i="14"/>
  <c r="T41" i="14"/>
  <c r="AB41" i="15"/>
  <c r="V41" i="15"/>
  <c r="P41" i="15"/>
  <c r="AH12" i="15"/>
  <c r="K20" i="15"/>
  <c r="D20" i="15"/>
  <c r="I20" i="15"/>
  <c r="AD44" i="14"/>
  <c r="AH12" i="14"/>
  <c r="U41" i="15"/>
  <c r="Y41" i="14"/>
  <c r="Q41" i="14"/>
  <c r="I41" i="14"/>
  <c r="M20" i="17"/>
  <c r="W41" i="15"/>
  <c r="AH34" i="15"/>
  <c r="AE41" i="15"/>
  <c r="O41" i="15"/>
  <c r="K41" i="14"/>
  <c r="S41" i="14"/>
  <c r="AA41" i="14"/>
  <c r="C41" i="14"/>
  <c r="Y41" i="12"/>
  <c r="AD41" i="15"/>
  <c r="L12" i="17"/>
  <c r="N41" i="15"/>
  <c r="L15" i="17"/>
  <c r="M41" i="14"/>
  <c r="E41" i="14"/>
  <c r="N41" i="14"/>
  <c r="V41" i="14"/>
  <c r="U41" i="14"/>
  <c r="AD41" i="14"/>
  <c r="AC41" i="14"/>
  <c r="I44" i="13"/>
  <c r="F41" i="13"/>
  <c r="M41" i="13"/>
  <c r="U41" i="13"/>
  <c r="J12" i="17"/>
  <c r="T41" i="13"/>
  <c r="Z41" i="13"/>
  <c r="AA41" i="12"/>
  <c r="O41" i="12"/>
  <c r="F41" i="14"/>
  <c r="J20" i="17"/>
  <c r="AD41" i="13"/>
  <c r="V41" i="12"/>
  <c r="N41" i="12"/>
  <c r="AD41" i="12"/>
  <c r="I15" i="17"/>
  <c r="O41" i="11"/>
  <c r="AH12" i="13"/>
  <c r="S20" i="12"/>
  <c r="AA20" i="12"/>
  <c r="AC41" i="12"/>
  <c r="Y20" i="12"/>
  <c r="U41" i="12"/>
  <c r="AE20" i="12"/>
  <c r="M41" i="12"/>
  <c r="AB20" i="12"/>
  <c r="U20" i="12"/>
  <c r="H20" i="12"/>
  <c r="I12" i="17"/>
  <c r="Z44" i="12"/>
  <c r="M44" i="12"/>
  <c r="N41" i="13"/>
  <c r="V41" i="13"/>
  <c r="AH34" i="14"/>
  <c r="K12" i="17"/>
  <c r="J15" i="17"/>
  <c r="R41" i="12"/>
  <c r="Z41" i="12"/>
  <c r="V41" i="11"/>
  <c r="AD41" i="11"/>
  <c r="K15" i="17"/>
  <c r="B41" i="14"/>
  <c r="K20" i="17"/>
  <c r="Y41" i="13"/>
  <c r="AE41" i="13"/>
  <c r="W41" i="13"/>
  <c r="AH34" i="13"/>
  <c r="O41" i="13"/>
  <c r="X41" i="12"/>
  <c r="AF41" i="12"/>
  <c r="AG34" i="11"/>
  <c r="T41" i="11"/>
  <c r="U41" i="10"/>
  <c r="AA41" i="11"/>
  <c r="S41" i="11"/>
  <c r="U20" i="11"/>
  <c r="AB20" i="11"/>
  <c r="Z20" i="11"/>
  <c r="R20" i="11"/>
  <c r="W20" i="11"/>
  <c r="O20" i="11"/>
  <c r="Q20" i="11"/>
  <c r="AA20" i="11"/>
  <c r="Y20" i="11"/>
  <c r="S20" i="11"/>
  <c r="AH12" i="12"/>
  <c r="I20" i="17"/>
  <c r="AH34" i="12"/>
  <c r="Y41" i="11"/>
  <c r="AE41" i="11"/>
  <c r="Q41" i="11"/>
  <c r="Z41" i="10"/>
  <c r="AC41" i="10"/>
  <c r="AG12" i="11"/>
  <c r="O20" i="10"/>
  <c r="Z20" i="12"/>
  <c r="AE20" i="14"/>
  <c r="R20" i="10"/>
  <c r="AE20" i="10"/>
  <c r="M20" i="13"/>
  <c r="X20" i="10"/>
  <c r="AD20" i="12"/>
  <c r="R20" i="13"/>
  <c r="B20" i="8"/>
  <c r="J20" i="14"/>
  <c r="L20" i="12"/>
  <c r="AB20" i="13"/>
  <c r="AE20" i="15"/>
  <c r="Y20" i="9"/>
  <c r="J20" i="16"/>
  <c r="C20" i="16"/>
  <c r="T20" i="9"/>
  <c r="V20" i="9"/>
  <c r="R20" i="15"/>
  <c r="O20" i="9"/>
  <c r="AH12" i="16"/>
  <c r="L20" i="9"/>
  <c r="L20" i="17"/>
  <c r="T20" i="11"/>
  <c r="X20" i="9"/>
  <c r="U20" i="9"/>
  <c r="AC20" i="8"/>
  <c r="M44" i="15"/>
  <c r="V44" i="11"/>
  <c r="D41" i="8"/>
  <c r="D38" i="8"/>
  <c r="AC38" i="13"/>
  <c r="AC41" i="13"/>
  <c r="Y44" i="13"/>
  <c r="R44" i="9"/>
  <c r="G44" i="8"/>
  <c r="C20" i="11"/>
  <c r="F44" i="14"/>
  <c r="Q44" i="16"/>
  <c r="Q44" i="15"/>
  <c r="AF44" i="13"/>
  <c r="Z44" i="9"/>
  <c r="L20" i="11"/>
  <c r="Z20" i="8"/>
  <c r="I41" i="13"/>
  <c r="AC8" i="8"/>
  <c r="W8" i="8"/>
  <c r="Q8" i="8"/>
  <c r="K8" i="8"/>
  <c r="AA44" i="16"/>
  <c r="W44" i="14"/>
  <c r="Q44" i="14"/>
  <c r="K44" i="14"/>
  <c r="G44" i="14"/>
  <c r="Q44" i="13"/>
  <c r="C44" i="13"/>
  <c r="AB38" i="12"/>
  <c r="AB41" i="12"/>
  <c r="T41" i="8"/>
  <c r="T38" i="8"/>
  <c r="D44" i="16"/>
  <c r="P44" i="13"/>
  <c r="Q44" i="12"/>
  <c r="L41" i="13"/>
  <c r="Y44" i="15"/>
  <c r="C44" i="8"/>
  <c r="E41" i="8"/>
  <c r="E38" i="8"/>
  <c r="N41" i="11"/>
  <c r="X41" i="8"/>
  <c r="X38" i="8"/>
  <c r="S41" i="9"/>
  <c r="S38" i="9"/>
  <c r="M41" i="9"/>
  <c r="M38" i="9"/>
  <c r="K41" i="13"/>
  <c r="H41" i="13"/>
  <c r="D41" i="13"/>
  <c r="C41" i="8"/>
  <c r="C38" i="8"/>
  <c r="J41" i="10"/>
  <c r="L41" i="10"/>
  <c r="M41" i="11"/>
  <c r="AC41" i="8"/>
  <c r="AC38" i="8"/>
  <c r="K41" i="9"/>
  <c r="K38" i="9"/>
  <c r="E41" i="9"/>
  <c r="E38" i="9"/>
  <c r="J41" i="13"/>
  <c r="G41" i="13"/>
  <c r="C41" i="13"/>
  <c r="H12" i="17"/>
  <c r="H15" i="17"/>
  <c r="H20" i="17"/>
  <c r="Q41" i="10"/>
  <c r="H41" i="10"/>
  <c r="H38" i="10"/>
  <c r="D41" i="10"/>
  <c r="W41" i="10"/>
  <c r="AE41" i="10"/>
  <c r="X41" i="10"/>
  <c r="R41" i="10"/>
  <c r="G41" i="10"/>
  <c r="G38" i="10"/>
  <c r="C41" i="10"/>
  <c r="C38" i="10"/>
  <c r="AF41" i="10"/>
  <c r="S41" i="10"/>
  <c r="P41" i="10"/>
  <c r="AB41" i="10"/>
  <c r="T41" i="10"/>
  <c r="W41" i="9"/>
  <c r="W38" i="9"/>
  <c r="AB41" i="9"/>
  <c r="X41" i="9"/>
  <c r="AA41" i="9"/>
  <c r="AA38" i="9"/>
  <c r="Q41" i="9"/>
  <c r="T41" i="9"/>
  <c r="P41" i="9"/>
  <c r="G15" i="17"/>
  <c r="G20" i="17"/>
  <c r="F41" i="10"/>
  <c r="L41" i="9"/>
  <c r="U41" i="9"/>
  <c r="R41" i="9"/>
  <c r="N41" i="9"/>
  <c r="AC41" i="9"/>
  <c r="Z41" i="9"/>
  <c r="J41" i="9"/>
  <c r="G12" i="17"/>
  <c r="AH34" i="10"/>
  <c r="K41" i="10"/>
  <c r="I41" i="10"/>
  <c r="E41" i="10"/>
  <c r="W41" i="8"/>
  <c r="AA41" i="8"/>
  <c r="B41" i="9"/>
  <c r="C41" i="9"/>
  <c r="I41" i="9"/>
  <c r="F41" i="9"/>
  <c r="G41" i="9"/>
  <c r="AF34" i="9"/>
  <c r="Z41" i="8"/>
  <c r="N10" i="17"/>
  <c r="AD41" i="8"/>
  <c r="S41" i="8"/>
  <c r="AE41" i="8"/>
  <c r="B41" i="8"/>
  <c r="D12" i="17"/>
  <c r="F20" i="17"/>
  <c r="F15" i="17"/>
  <c r="D41" i="9"/>
  <c r="H41" i="9"/>
  <c r="AG34" i="9"/>
  <c r="AG38" i="9" s="1"/>
  <c r="E12" i="17"/>
  <c r="AB41" i="8"/>
  <c r="E15" i="17"/>
  <c r="N14" i="17"/>
  <c r="N17" i="17"/>
  <c r="E20" i="17"/>
  <c r="N19" i="17"/>
  <c r="AH34" i="8"/>
  <c r="U41" i="8"/>
  <c r="Y41" i="8"/>
  <c r="G41" i="8"/>
  <c r="N16" i="17"/>
  <c r="D15" i="17"/>
  <c r="N13" i="17"/>
  <c r="N18" i="17"/>
  <c r="D20" i="17"/>
  <c r="N11" i="17"/>
  <c r="AH12" i="8" l="1"/>
  <c r="E5" i="17" s="1"/>
  <c r="B5" i="17"/>
  <c r="M5" i="17"/>
  <c r="L5" i="17"/>
  <c r="K5" i="17"/>
  <c r="J5" i="17"/>
  <c r="I5" i="17"/>
  <c r="G5" i="17"/>
  <c r="H5" i="17"/>
  <c r="D8" i="17"/>
  <c r="AF20" i="9"/>
  <c r="B7" i="17"/>
  <c r="AH44" i="10"/>
  <c r="G7" i="17" s="1"/>
  <c r="C8" i="17"/>
  <c r="AH20" i="13"/>
  <c r="J8" i="17" s="1"/>
  <c r="AH20" i="12"/>
  <c r="AG44" i="11"/>
  <c r="H7" i="17" s="1"/>
  <c r="B22" i="17"/>
  <c r="C22" i="17"/>
  <c r="AH44" i="16"/>
  <c r="M7" i="17" s="1"/>
  <c r="AH20" i="10"/>
  <c r="AH44" i="8"/>
  <c r="E7" i="17" s="1"/>
  <c r="M22" i="17"/>
  <c r="AH20" i="15"/>
  <c r="L8" i="17" s="1"/>
  <c r="AH20" i="14"/>
  <c r="K8" i="17" s="1"/>
  <c r="L22" i="17"/>
  <c r="J22" i="17"/>
  <c r="K22" i="17"/>
  <c r="I22" i="17"/>
  <c r="AH44" i="12"/>
  <c r="I7" i="17" s="1"/>
  <c r="C7" i="17"/>
  <c r="H22" i="17"/>
  <c r="AH20" i="8"/>
  <c r="E8" i="17" s="1"/>
  <c r="AH44" i="14"/>
  <c r="K7" i="17" s="1"/>
  <c r="AH44" i="15"/>
  <c r="L7" i="17" s="1"/>
  <c r="AH20" i="16"/>
  <c r="M8" i="17" s="1"/>
  <c r="AH44" i="13"/>
  <c r="J7" i="17" s="1"/>
  <c r="AG20" i="11"/>
  <c r="AF44" i="9"/>
  <c r="F7" i="17" s="1"/>
  <c r="G22" i="17"/>
  <c r="N12" i="17"/>
  <c r="N15" i="17"/>
  <c r="F22" i="17"/>
  <c r="E22" i="17"/>
  <c r="N20" i="17"/>
  <c r="D22" i="17"/>
  <c r="B8" i="17" l="1"/>
  <c r="I8" i="17"/>
  <c r="H8" i="17"/>
  <c r="G8" i="17"/>
  <c r="F8" i="17"/>
  <c r="AH44" i="11"/>
  <c r="AH44" i="9"/>
  <c r="N22" i="17"/>
  <c r="N8" i="17" l="1"/>
  <c r="D5" i="17"/>
  <c r="N5" i="17" s="1"/>
  <c r="D7" i="17" l="1"/>
  <c r="N7" i="17" s="1"/>
</calcChain>
</file>

<file path=xl/sharedStrings.xml><?xml version="1.0" encoding="utf-8"?>
<sst xmlns="http://schemas.openxmlformats.org/spreadsheetml/2006/main" count="965" uniqueCount="140">
  <si>
    <t>Jour</t>
  </si>
  <si>
    <t>Date</t>
  </si>
  <si>
    <t>JF</t>
  </si>
  <si>
    <t>VAC</t>
  </si>
  <si>
    <t>ABC</t>
  </si>
  <si>
    <t>H.  Ouv.</t>
  </si>
  <si>
    <t>H. Ferm</t>
  </si>
  <si>
    <t>Ampl. Hor.</t>
  </si>
  <si>
    <t>1er show</t>
  </si>
  <si>
    <t>2nd show</t>
  </si>
  <si>
    <t>Nb 1er Show</t>
  </si>
  <si>
    <t>Nb 2eme Show</t>
  </si>
  <si>
    <t>Nb Spectacles</t>
  </si>
  <si>
    <t>Individuels</t>
  </si>
  <si>
    <t>Groupes</t>
  </si>
  <si>
    <t>Divers</t>
  </si>
  <si>
    <t>Fréquentation</t>
  </si>
  <si>
    <t>Crépuscule civil</t>
  </si>
  <si>
    <t>Type Fréquentation</t>
  </si>
  <si>
    <t>Show Privatisé</t>
  </si>
  <si>
    <t>Nb show privatisé</t>
  </si>
  <si>
    <t>Individuels cash</t>
  </si>
  <si>
    <t>Individuels résa</t>
  </si>
  <si>
    <t>Nocturnes</t>
  </si>
  <si>
    <t>Tourisme d'Affaires</t>
  </si>
  <si>
    <t>Invités</t>
  </si>
  <si>
    <t>Pass</t>
  </si>
  <si>
    <t>Mois</t>
  </si>
  <si>
    <t>Nbre heures ouverture</t>
  </si>
  <si>
    <t xml:space="preserve">Total Individuels </t>
  </si>
  <si>
    <t>Total Divers</t>
  </si>
  <si>
    <t>Pâques</t>
  </si>
  <si>
    <t>Fête Nat</t>
  </si>
  <si>
    <t>AC</t>
  </si>
  <si>
    <t>B</t>
  </si>
  <si>
    <t>C</t>
  </si>
  <si>
    <t>H. ouv. Entrée du Parc</t>
  </si>
  <si>
    <t>Sem</t>
  </si>
  <si>
    <t>Ind Cash</t>
  </si>
  <si>
    <t>Ind Rés</t>
  </si>
  <si>
    <t>Ind Brut</t>
  </si>
  <si>
    <t>Nocturne</t>
  </si>
  <si>
    <t>Pentecôte</t>
  </si>
  <si>
    <t>Groupes Adultes</t>
  </si>
  <si>
    <t>Groupes Jeunes</t>
  </si>
  <si>
    <t>Total Groupes</t>
  </si>
  <si>
    <t>Total</t>
  </si>
  <si>
    <t xml:space="preserve"> </t>
  </si>
  <si>
    <t xml:space="preserve">HORAIRES ET PREVISIONS DE FREQUENTATION </t>
  </si>
  <si>
    <t>% Ind Rés / Total Ind Brut</t>
  </si>
  <si>
    <t>G Adulte</t>
  </si>
  <si>
    <t>G Jeune</t>
  </si>
  <si>
    <t>Total Groupe</t>
  </si>
  <si>
    <t xml:space="preserve">Total </t>
  </si>
  <si>
    <t>BAC</t>
  </si>
  <si>
    <t>Noël</t>
  </si>
  <si>
    <t>BA</t>
  </si>
  <si>
    <t>Toussaint</t>
  </si>
  <si>
    <t>Armistice</t>
  </si>
  <si>
    <t>Indiv cash</t>
  </si>
  <si>
    <t>Travail</t>
  </si>
  <si>
    <t>Ascension</t>
  </si>
  <si>
    <t>1er Mai</t>
  </si>
  <si>
    <t xml:space="preserve">Assomption </t>
  </si>
  <si>
    <t>ven</t>
  </si>
  <si>
    <t>Fête nationale</t>
  </si>
  <si>
    <t>ANNEE SCOLAIRE 2009-2010</t>
  </si>
  <si>
    <t>ZONE A</t>
  </si>
  <si>
    <t>ZONE B</t>
  </si>
  <si>
    <t>ZONE C</t>
  </si>
  <si>
    <t>Rentrée des enseignants (*)</t>
  </si>
  <si>
    <r>
      <t>Mardi 1</t>
    </r>
    <r>
      <rPr>
        <vertAlign val="superscript"/>
        <sz val="10"/>
        <rFont val="Times"/>
        <family val="1"/>
      </rPr>
      <t>er</t>
    </r>
    <r>
      <rPr>
        <sz val="10"/>
        <rFont val="Times"/>
        <family val="1"/>
      </rPr>
      <t xml:space="preserve"> septembre 2009</t>
    </r>
  </si>
  <si>
    <t xml:space="preserve">Rentrée scolaire des élèves  </t>
  </si>
  <si>
    <t>Mercredi  2 septembre 2009</t>
  </si>
  <si>
    <t>Samedi 24 octobre 2009</t>
  </si>
  <si>
    <t>Jeudi 5 novembre 2009</t>
  </si>
  <si>
    <t>Samedi 19 décembre 2009</t>
  </si>
  <si>
    <t>Lundi 4 janvier 2010</t>
  </si>
  <si>
    <t>Hiver</t>
  </si>
  <si>
    <t>Samedi 13 février 2010</t>
  </si>
  <si>
    <t>Lundi 1 mars 2010</t>
  </si>
  <si>
    <t>Samedi 6 février 2010</t>
  </si>
  <si>
    <t>Lundi 22 février 2010</t>
  </si>
  <si>
    <t>Samedi 20 février 2010</t>
  </si>
  <si>
    <t>Lundi 8 mars 2010</t>
  </si>
  <si>
    <t>Printemps</t>
  </si>
  <si>
    <t>Samedi 10 avril 2010</t>
  </si>
  <si>
    <t>Lundi 26 avril 2010</t>
  </si>
  <si>
    <t>Samedi 3 avril 2010</t>
  </si>
  <si>
    <t>Lundi 19 avril 2010</t>
  </si>
  <si>
    <t>Samedi 17 avril 2010</t>
  </si>
  <si>
    <t>Lundi 3 mai 2010</t>
  </si>
  <si>
    <t>Début des vacances d'été (**)</t>
  </si>
  <si>
    <t>Vendredi 2 juillet  2010</t>
  </si>
  <si>
    <t>(*) Deux demi-journées (ou un horaire équivalent), prises en dehors des heures de cours, seront dégagées, avant les vacances de la Toussaint, afin de permettre de prolonger la réflexion engagée lors de la journée de prérentrée.</t>
  </si>
  <si>
    <t>(**) Les enseignants appelés à participer aux opérations liées aux examens sont en service jusqu'à la date fixée pour la clôture de ces examens par la note de service établissant le calendrier de la session.</t>
  </si>
  <si>
    <t>Le départ en vacances a lieu après la classe, la reprise des cours le matin des jours indiqués.</t>
  </si>
  <si>
    <t>Lorsque les vacances débutent un mercredi, pour les élèves qui n'ont pas cours ce jour-là, le départ a lieu le mardi après les cours et la rentrée le jeudi.</t>
  </si>
  <si>
    <t>Ind Résa</t>
  </si>
  <si>
    <t>G. AD</t>
  </si>
  <si>
    <t>TA + Cong</t>
  </si>
  <si>
    <t>France</t>
  </si>
  <si>
    <t>International</t>
  </si>
  <si>
    <t>Budget 2010</t>
  </si>
  <si>
    <t>Ind total</t>
  </si>
  <si>
    <t xml:space="preserve">Ind total </t>
  </si>
  <si>
    <t>Total cash</t>
  </si>
  <si>
    <t>Total résa</t>
  </si>
  <si>
    <t>TA CONG</t>
  </si>
  <si>
    <t>G J</t>
  </si>
  <si>
    <t xml:space="preserve">Cumul </t>
  </si>
  <si>
    <t>Dates</t>
  </si>
  <si>
    <t>Indiv résa</t>
  </si>
  <si>
    <t>Grpes Adultes</t>
  </si>
  <si>
    <t>Grpes Jeunes</t>
  </si>
  <si>
    <t>Fréquentat° Totale</t>
  </si>
  <si>
    <t>Indiv</t>
  </si>
  <si>
    <t>Groupe</t>
  </si>
  <si>
    <t>Prévi Fréq hors TA CONGRES</t>
  </si>
  <si>
    <t>Delta = TA + Congrés</t>
  </si>
  <si>
    <t>Sec</t>
  </si>
  <si>
    <t>1 Jour</t>
  </si>
  <si>
    <t>2 Jours &amp; +</t>
  </si>
  <si>
    <t>1 jour</t>
  </si>
  <si>
    <t>Jour An</t>
  </si>
  <si>
    <t>8 Mai 1945</t>
  </si>
  <si>
    <t>Assomption</t>
  </si>
  <si>
    <r>
      <t>A</t>
    </r>
    <r>
      <rPr>
        <b/>
        <sz val="12"/>
        <color indexed="13"/>
        <rFont val="Cambria"/>
        <family val="1"/>
      </rPr>
      <t>B</t>
    </r>
    <r>
      <rPr>
        <b/>
        <sz val="12"/>
        <color indexed="10"/>
        <rFont val="Cambria"/>
        <family val="1"/>
      </rPr>
      <t>C</t>
    </r>
  </si>
  <si>
    <t>Jours ouverture</t>
  </si>
  <si>
    <t>Nb spectacle</t>
  </si>
  <si>
    <r>
      <t>A</t>
    </r>
    <r>
      <rPr>
        <b/>
        <sz val="10"/>
        <color indexed="13"/>
        <rFont val="Cambria"/>
        <family val="1"/>
      </rPr>
      <t>B</t>
    </r>
    <r>
      <rPr>
        <b/>
        <sz val="10"/>
        <color indexed="10"/>
        <rFont val="Cambria"/>
        <family val="1"/>
      </rPr>
      <t>C</t>
    </r>
  </si>
  <si>
    <r>
      <rPr>
        <b/>
        <sz val="12"/>
        <color indexed="40"/>
        <rFont val="Cambria"/>
        <family val="1"/>
      </rPr>
      <t>A</t>
    </r>
    <r>
      <rPr>
        <b/>
        <sz val="12"/>
        <color indexed="13"/>
        <rFont val="Cambria"/>
        <family val="1"/>
      </rPr>
      <t>B</t>
    </r>
    <r>
      <rPr>
        <b/>
        <sz val="12"/>
        <color indexed="10"/>
        <rFont val="Cambria"/>
        <family val="1"/>
      </rPr>
      <t>C</t>
    </r>
  </si>
  <si>
    <t>H. ouv. Passerelle Hôtel</t>
  </si>
  <si>
    <t>Ouv Caisses</t>
  </si>
  <si>
    <t>Ouv Passerelle</t>
  </si>
  <si>
    <t>Nouvel An</t>
  </si>
  <si>
    <t>19:032</t>
  </si>
  <si>
    <t>AB</t>
  </si>
  <si>
    <t xml:space="preserve"> 2023  2024</t>
  </si>
  <si>
    <t>Early acces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</si>
</sst>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quot;€&quot;* #,##0.00_);_(&quot;€&quot;* \(#,##0.00\);_(&quot;€&quot;* &quot;-&quot;??_);_(@_)"/>
    <numFmt numFmtId="165" formatCode="_-* #,##0.00\ _F_-;\-* #,##0.00\ _F_-;_-* &quot;-&quot;??\ _F_-;_-@_-"/>
    <numFmt numFmtId="166" formatCode="ddd"/>
    <numFmt numFmtId="167" formatCode="dd"/>
    <numFmt numFmtId="168" formatCode="[h]:mm"/>
    <numFmt numFmtId="169" formatCode="_-* #,##0\ _F_-;\-* #,##0\ _F_-;_-* &quot;-&quot;??\ _F_-;_-@_-"/>
    <numFmt numFmtId="170" formatCode="mmmm\-yy"/>
    <numFmt numFmtId="171" formatCode="#,##0;[Red]#,##0"/>
    <numFmt numFmtId="172" formatCode="_-* #,##0\ _€_-;\-* #,##0\ _€_-;_-* &quot;-&quot;??\ _€_-;_-@_-"/>
    <numFmt numFmtId="173" formatCode="mmm"/>
    <numFmt numFmtId="174" formatCode="mmm\ yyyy"/>
  </numFmts>
  <fonts count="119" x14ac:knownFonts="1">
    <font>
      <sz val="10"/>
      <name val="Arial"/>
    </font>
    <font>
      <sz val="10"/>
      <name val="Arial"/>
      <family val="2"/>
    </font>
    <font>
      <b/>
      <sz val="12"/>
      <name val="Comic Sans MS"/>
      <family val="4"/>
    </font>
    <font>
      <sz val="10"/>
      <name val="MS Sans Serif"/>
      <family val="2"/>
    </font>
    <font>
      <b/>
      <sz val="9"/>
      <name val="Comic Sans MS"/>
      <family val="4"/>
    </font>
    <font>
      <sz val="10"/>
      <name val="Comic Sans MS"/>
      <family val="4"/>
    </font>
    <font>
      <sz val="9"/>
      <name val="Comic Sans MS"/>
      <family val="4"/>
    </font>
    <font>
      <b/>
      <sz val="10"/>
      <name val="Comic Sans MS"/>
      <family val="4"/>
    </font>
    <font>
      <sz val="8"/>
      <name val="Arial"/>
      <family val="2"/>
    </font>
    <font>
      <b/>
      <sz val="20"/>
      <color indexed="9"/>
      <name val="Comic Sans MS"/>
      <family val="4"/>
    </font>
    <font>
      <sz val="10"/>
      <name val="Arial"/>
      <family val="2"/>
    </font>
    <font>
      <b/>
      <sz val="12"/>
      <color indexed="9"/>
      <name val="Comic Sans MS"/>
      <family val="4"/>
    </font>
    <font>
      <sz val="10"/>
      <name val="Arial"/>
      <family val="2"/>
    </font>
    <font>
      <b/>
      <sz val="10"/>
      <name val="Arial"/>
      <family val="2"/>
    </font>
    <font>
      <sz val="11"/>
      <name val="Tahoma"/>
      <family val="2"/>
    </font>
    <font>
      <b/>
      <sz val="9"/>
      <name val="Trebuchet MS"/>
      <family val="2"/>
    </font>
    <font>
      <sz val="9"/>
      <name val="Trebuchet MS"/>
      <family val="2"/>
    </font>
    <font>
      <b/>
      <sz val="9"/>
      <color indexed="9"/>
      <name val="Trebuchet MS"/>
      <family val="2"/>
    </font>
    <font>
      <sz val="8"/>
      <name val="Trebuchet MS"/>
      <family val="2"/>
    </font>
    <font>
      <b/>
      <sz val="9"/>
      <color indexed="10"/>
      <name val="Trebuchet MS"/>
      <family val="2"/>
    </font>
    <font>
      <sz val="10"/>
      <name val="Verdana"/>
      <family val="2"/>
    </font>
    <font>
      <sz val="12"/>
      <name val="Comic Sans MS"/>
      <family val="4"/>
    </font>
    <font>
      <b/>
      <sz val="8"/>
      <name val="Trebuchet MS"/>
      <family val="2"/>
    </font>
    <font>
      <b/>
      <sz val="8"/>
      <name val="Arial"/>
      <family val="2"/>
    </font>
    <font>
      <b/>
      <sz val="12"/>
      <name val="Cambria"/>
      <family val="1"/>
    </font>
    <font>
      <sz val="10"/>
      <name val="Cambria"/>
      <family val="1"/>
    </font>
    <font>
      <b/>
      <sz val="10"/>
      <name val="Cambria"/>
      <family val="1"/>
    </font>
    <font>
      <b/>
      <sz val="22"/>
      <color indexed="13"/>
      <name val="Monotype Corsiva"/>
      <family val="4"/>
    </font>
    <font>
      <sz val="22"/>
      <color indexed="13"/>
      <name val="Monotype Corsiva"/>
      <family val="4"/>
    </font>
    <font>
      <b/>
      <sz val="9"/>
      <color indexed="18"/>
      <name val="Cambria"/>
      <family val="1"/>
    </font>
    <font>
      <b/>
      <sz val="12"/>
      <color indexed="20"/>
      <name val="Comic Sans MS"/>
      <family val="4"/>
    </font>
    <font>
      <b/>
      <sz val="9"/>
      <color indexed="20"/>
      <name val="Comic Sans MS"/>
      <family val="4"/>
    </font>
    <font>
      <b/>
      <sz val="12"/>
      <color indexed="21"/>
      <name val="Comic Sans MS"/>
      <family val="4"/>
    </font>
    <font>
      <b/>
      <sz val="9"/>
      <color indexed="21"/>
      <name val="Comic Sans MS"/>
      <family val="4"/>
    </font>
    <font>
      <sz val="9"/>
      <color indexed="9"/>
      <name val="Trebuchet MS"/>
      <family val="2"/>
    </font>
    <font>
      <sz val="9"/>
      <color indexed="12"/>
      <name val="Trebuchet MS"/>
      <family val="2"/>
    </font>
    <font>
      <b/>
      <sz val="9"/>
      <color indexed="12"/>
      <name val="Trebuchet MS"/>
      <family val="2"/>
    </font>
    <font>
      <sz val="9"/>
      <color indexed="10"/>
      <name val="Trebuchet MS"/>
      <family val="2"/>
    </font>
    <font>
      <sz val="10"/>
      <color indexed="16"/>
      <name val="Cambria"/>
      <family val="1"/>
    </font>
    <font>
      <sz val="8"/>
      <name val="Arial"/>
      <family val="2"/>
    </font>
    <font>
      <sz val="10"/>
      <name val="Times"/>
      <family val="1"/>
    </font>
    <font>
      <vertAlign val="superscript"/>
      <sz val="10"/>
      <name val="Times"/>
      <family val="1"/>
    </font>
    <font>
      <sz val="8"/>
      <name val="Times"/>
      <family val="1"/>
    </font>
    <font>
      <b/>
      <sz val="12"/>
      <color indexed="12"/>
      <name val="Cambria"/>
      <family val="1"/>
    </font>
    <font>
      <b/>
      <sz val="12"/>
      <color indexed="13"/>
      <name val="Cambria"/>
      <family val="1"/>
    </font>
    <font>
      <b/>
      <sz val="12"/>
      <color indexed="10"/>
      <name val="Cambria"/>
      <family val="1"/>
    </font>
    <font>
      <b/>
      <sz val="10"/>
      <color indexed="16"/>
      <name val="Cambria"/>
      <family val="1"/>
    </font>
    <font>
      <sz val="10"/>
      <color indexed="16"/>
      <name val="Comic Sans MS"/>
      <family val="4"/>
    </font>
    <font>
      <sz val="12"/>
      <name val="Cambria"/>
      <family val="1"/>
    </font>
    <font>
      <b/>
      <sz val="10"/>
      <name val="Arial"/>
      <family val="2"/>
    </font>
    <font>
      <b/>
      <sz val="8"/>
      <name val="Arial"/>
      <family val="2"/>
    </font>
    <font>
      <sz val="10"/>
      <color indexed="18"/>
      <name val="Comic Sans MS"/>
      <family val="4"/>
    </font>
    <font>
      <sz val="9"/>
      <color indexed="18"/>
      <name val="Comic Sans MS"/>
      <family val="4"/>
    </font>
    <font>
      <b/>
      <sz val="22"/>
      <color indexed="15"/>
      <name val="Monotype Corsiva"/>
      <family val="4"/>
    </font>
    <font>
      <sz val="22"/>
      <color indexed="15"/>
      <name val="Monotype Corsiva"/>
      <family val="4"/>
    </font>
    <font>
      <sz val="10"/>
      <color indexed="15"/>
      <name val="Comic Sans MS"/>
      <family val="4"/>
    </font>
    <font>
      <b/>
      <sz val="10"/>
      <color indexed="20"/>
      <name val="Comic Sans MS"/>
      <family val="4"/>
    </font>
    <font>
      <sz val="10"/>
      <color indexed="20"/>
      <name val="Comic Sans MS"/>
      <family val="4"/>
    </font>
    <font>
      <b/>
      <sz val="10"/>
      <color indexed="20"/>
      <name val="Cambria"/>
      <family val="1"/>
    </font>
    <font>
      <sz val="10"/>
      <color indexed="20"/>
      <name val="Cambria"/>
      <family val="1"/>
    </font>
    <font>
      <sz val="10"/>
      <name val="Arial"/>
      <family val="2"/>
    </font>
    <font>
      <i/>
      <sz val="9"/>
      <name val="Arial"/>
      <family val="2"/>
    </font>
    <font>
      <b/>
      <sz val="8"/>
      <color indexed="12"/>
      <name val="Arial"/>
      <family val="2"/>
    </font>
    <font>
      <b/>
      <sz val="12"/>
      <color indexed="13"/>
      <name val="Cambria"/>
      <family val="1"/>
    </font>
    <font>
      <b/>
      <sz val="10"/>
      <color indexed="13"/>
      <name val="Cambria"/>
      <family val="1"/>
    </font>
    <font>
      <b/>
      <sz val="10"/>
      <color indexed="10"/>
      <name val="Cambria"/>
      <family val="1"/>
    </font>
    <font>
      <b/>
      <sz val="12"/>
      <color indexed="40"/>
      <name val="Cambria"/>
      <family val="1"/>
    </font>
    <font>
      <sz val="10"/>
      <name val="Arial"/>
      <family val="2"/>
    </font>
    <font>
      <sz val="11"/>
      <name val="Calibri Light"/>
      <family val="2"/>
    </font>
    <font>
      <i/>
      <sz val="12"/>
      <name val="Calibri Light"/>
      <family val="2"/>
    </font>
    <font>
      <b/>
      <sz val="8"/>
      <color rgb="FF0000FF"/>
      <name val="Arial"/>
      <family val="2"/>
    </font>
    <font>
      <b/>
      <sz val="10"/>
      <color rgb="FF329664"/>
      <name val="Arial"/>
      <family val="2"/>
    </font>
    <font>
      <b/>
      <sz val="10"/>
      <color rgb="FF0000C0"/>
      <name val="Arial"/>
      <family val="2"/>
    </font>
    <font>
      <b/>
      <sz val="10"/>
      <color rgb="FF00B0F0"/>
      <name val="Cambria"/>
      <family val="1"/>
    </font>
    <font>
      <sz val="10"/>
      <color rgb="FF00FFFF"/>
      <name val="Comic Sans MS"/>
      <family val="4"/>
    </font>
    <font>
      <b/>
      <sz val="22"/>
      <color rgb="FF00FFFF"/>
      <name val="Monotype Corsiva"/>
      <family val="4"/>
    </font>
    <font>
      <sz val="22"/>
      <color rgb="FF00FFFF"/>
      <name val="Monotype Corsiva"/>
      <family val="4"/>
    </font>
    <font>
      <b/>
      <sz val="9"/>
      <color rgb="FFFF0000"/>
      <name val="Comic Sans MS"/>
      <family val="4"/>
    </font>
    <font>
      <sz val="9"/>
      <color rgb="FFFF0000"/>
      <name val="Comic Sans MS"/>
      <family val="4"/>
    </font>
    <font>
      <sz val="10"/>
      <color theme="1" tint="0.14999847407452621"/>
      <name val="Comic Sans MS"/>
      <family val="4"/>
    </font>
    <font>
      <b/>
      <sz val="13"/>
      <color theme="0"/>
      <name val="Cambria"/>
      <family val="1"/>
    </font>
    <font>
      <sz val="10"/>
      <color theme="0"/>
      <name val="Comic Sans MS"/>
      <family val="4"/>
    </font>
    <font>
      <b/>
      <sz val="10"/>
      <color theme="0"/>
      <name val="Comic Sans MS"/>
      <family val="4"/>
    </font>
    <font>
      <sz val="10"/>
      <color theme="0"/>
      <name val="Cambria"/>
      <family val="1"/>
    </font>
    <font>
      <b/>
      <i/>
      <sz val="12"/>
      <color rgb="FF004846"/>
      <name val="Cambria"/>
      <family val="1"/>
    </font>
    <font>
      <b/>
      <sz val="12"/>
      <color rgb="FF004846"/>
      <name val="Cambria"/>
      <family val="1"/>
    </font>
    <font>
      <sz val="10"/>
      <color rgb="FF004846"/>
      <name val="Comic Sans MS"/>
      <family val="4"/>
    </font>
    <font>
      <sz val="9"/>
      <color rgb="FF004846"/>
      <name val="Comic Sans MS"/>
      <family val="4"/>
    </font>
    <font>
      <sz val="12"/>
      <color rgb="FF004846"/>
      <name val="Cambria"/>
      <family val="1"/>
    </font>
    <font>
      <sz val="10"/>
      <color rgb="FF004846"/>
      <name val="Cambria"/>
      <family val="1"/>
    </font>
    <font>
      <sz val="12"/>
      <color rgb="FF7030A0"/>
      <name val="Cambria"/>
      <family val="1"/>
    </font>
    <font>
      <b/>
      <sz val="12"/>
      <color rgb="FF7030A0"/>
      <name val="Cambria"/>
      <family val="1"/>
    </font>
    <font>
      <sz val="9"/>
      <color rgb="FF7030A0"/>
      <name val="Cambria"/>
      <family val="1"/>
    </font>
    <font>
      <b/>
      <sz val="9"/>
      <color rgb="FF7030A0"/>
      <name val="Cambria"/>
      <family val="1"/>
    </font>
    <font>
      <sz val="10"/>
      <color rgb="FF7030A0"/>
      <name val="Cambria"/>
      <family val="1"/>
    </font>
    <font>
      <b/>
      <sz val="12"/>
      <color theme="7" tint="-0.249977111117893"/>
      <name val="Cambria"/>
      <family val="1"/>
    </font>
    <font>
      <sz val="9"/>
      <color theme="7" tint="-0.249977111117893"/>
      <name val="Comic Sans MS"/>
      <family val="4"/>
    </font>
    <font>
      <sz val="10"/>
      <color theme="7" tint="-0.249977111117893"/>
      <name val="Comic Sans MS"/>
      <family val="4"/>
    </font>
    <font>
      <sz val="10"/>
      <color theme="7" tint="-0.249977111117893"/>
      <name val="Arial"/>
      <family val="2"/>
    </font>
    <font>
      <b/>
      <sz val="12"/>
      <color theme="7" tint="-0.249977111117893"/>
      <name val="Comic Sans MS"/>
      <family val="4"/>
    </font>
    <font>
      <sz val="10"/>
      <color theme="7" tint="-0.249977111117893"/>
      <name val="Cambria"/>
      <family val="1"/>
    </font>
    <font>
      <b/>
      <sz val="22"/>
      <color theme="0"/>
      <name val="Monotype Corsiva"/>
      <family val="4"/>
    </font>
    <font>
      <b/>
      <sz val="10"/>
      <color rgb="FFFF0000"/>
      <name val="Comic Sans MS"/>
      <family val="4"/>
    </font>
    <font>
      <b/>
      <sz val="10"/>
      <color theme="1" tint="0.14999847407452621"/>
      <name val="Comic Sans MS"/>
      <family val="4"/>
    </font>
    <font>
      <b/>
      <sz val="10"/>
      <color theme="0"/>
      <name val="Arial"/>
      <family val="2"/>
    </font>
    <font>
      <sz val="9"/>
      <color rgb="FF004846"/>
      <name val="Cambria"/>
      <family val="1"/>
    </font>
    <font>
      <b/>
      <sz val="10"/>
      <color rgb="FFFF0000"/>
      <name val="Cambria"/>
      <family val="1"/>
    </font>
    <font>
      <b/>
      <sz val="10"/>
      <color rgb="FF7030A0"/>
      <name val="Cambria"/>
      <family val="1"/>
    </font>
    <font>
      <b/>
      <sz val="10"/>
      <color theme="8" tint="0.59999389629810485"/>
      <name val="Cambria"/>
      <family val="1"/>
    </font>
    <font>
      <b/>
      <sz val="10"/>
      <color theme="6" tint="0.39997558519241921"/>
      <name val="Cambria"/>
      <family val="1"/>
    </font>
    <font>
      <b/>
      <sz val="22"/>
      <color theme="1" tint="0.14999847407452621"/>
      <name val="Arial Black"/>
      <family val="2"/>
    </font>
    <font>
      <b/>
      <sz val="18"/>
      <color theme="1" tint="0.14999847407452621"/>
      <name val="Arial Black"/>
      <family val="2"/>
    </font>
    <font>
      <i/>
      <sz val="12"/>
      <color rgb="FF004846"/>
      <name val="Cambria"/>
      <family val="1"/>
    </font>
    <font>
      <i/>
      <sz val="12"/>
      <color indexed="21"/>
      <name val="Cambria"/>
      <family val="1"/>
    </font>
    <font>
      <b/>
      <i/>
      <sz val="12"/>
      <color indexed="21"/>
      <name val="Cambria"/>
      <family val="1"/>
    </font>
    <font>
      <b/>
      <sz val="22"/>
      <color theme="0"/>
      <name val="Arial Black"/>
      <family val="2"/>
    </font>
    <font>
      <b/>
      <sz val="14"/>
      <color indexed="18"/>
      <name val="Arial"/>
      <family val="2"/>
    </font>
    <font>
      <sz val="14"/>
      <name val="Arial"/>
      <family val="2"/>
    </font>
    <font>
      <b/>
      <sz val="9"/>
      <color theme="0"/>
      <name val="Comic Sans MS"/>
      <family val="4"/>
    </font>
  </fonts>
  <fills count="60">
    <fill>
      <patternFill patternType="none"/>
    </fill>
    <fill>
      <patternFill patternType="gray125"/>
    </fill>
    <fill>
      <patternFill patternType="solid">
        <fgColor indexed="44"/>
      </patternFill>
    </fill>
    <fill>
      <patternFill patternType="solid">
        <fgColor indexed="22"/>
      </patternFill>
    </fill>
    <fill>
      <patternFill patternType="solid">
        <fgColor indexed="44"/>
        <bgColor indexed="64"/>
      </patternFill>
    </fill>
    <fill>
      <patternFill patternType="solid">
        <fgColor indexed="47"/>
        <bgColor indexed="64"/>
      </patternFill>
    </fill>
    <fill>
      <patternFill patternType="solid">
        <fgColor indexed="22"/>
        <bgColor indexed="64"/>
      </patternFill>
    </fill>
    <fill>
      <patternFill patternType="solid">
        <fgColor indexed="9"/>
        <bgColor indexed="64"/>
      </patternFill>
    </fill>
    <fill>
      <patternFill patternType="mediumGray">
        <fgColor indexed="9"/>
        <bgColor indexed="9"/>
      </patternFill>
    </fill>
    <fill>
      <patternFill patternType="solid">
        <fgColor indexed="45"/>
        <bgColor indexed="64"/>
      </patternFill>
    </fill>
    <fill>
      <patternFill patternType="solid">
        <fgColor indexed="41"/>
        <bgColor indexed="64"/>
      </patternFill>
    </fill>
    <fill>
      <patternFill patternType="solid">
        <fgColor indexed="15"/>
        <bgColor indexed="64"/>
      </patternFill>
    </fill>
    <fill>
      <patternFill patternType="solid">
        <fgColor indexed="46"/>
        <bgColor indexed="64"/>
      </patternFill>
    </fill>
    <fill>
      <patternFill patternType="solid">
        <fgColor indexed="49"/>
        <bgColor indexed="31"/>
      </patternFill>
    </fill>
    <fill>
      <patternFill patternType="solid">
        <fgColor indexed="23"/>
        <bgColor indexed="64"/>
      </patternFill>
    </fill>
    <fill>
      <patternFill patternType="solid">
        <fgColor indexed="62"/>
        <bgColor indexed="64"/>
      </patternFill>
    </fill>
    <fill>
      <patternFill patternType="solid">
        <fgColor indexed="49"/>
        <bgColor indexed="64"/>
      </patternFill>
    </fill>
    <fill>
      <patternFill patternType="solid">
        <fgColor indexed="43"/>
        <bgColor indexed="64"/>
      </patternFill>
    </fill>
    <fill>
      <patternFill patternType="solid">
        <fgColor indexed="42"/>
        <bgColor indexed="64"/>
      </patternFill>
    </fill>
    <fill>
      <patternFill patternType="solid">
        <fgColor indexed="31"/>
        <bgColor indexed="64"/>
      </patternFill>
    </fill>
    <fill>
      <patternFill patternType="solid">
        <fgColor indexed="13"/>
        <bgColor indexed="64"/>
      </patternFill>
    </fill>
    <fill>
      <patternFill patternType="solid">
        <fgColor indexed="42"/>
        <bgColor indexed="12"/>
      </patternFill>
    </fill>
    <fill>
      <patternFill patternType="solid">
        <fgColor indexed="23"/>
        <bgColor indexed="46"/>
      </patternFill>
    </fill>
    <fill>
      <patternFill patternType="mediumGray">
        <fgColor indexed="9"/>
        <bgColor indexed="44"/>
      </patternFill>
    </fill>
    <fill>
      <patternFill patternType="solid">
        <fgColor indexed="54"/>
        <bgColor indexed="9"/>
      </patternFill>
    </fill>
    <fill>
      <patternFill patternType="solid">
        <fgColor indexed="54"/>
        <bgColor indexed="64"/>
      </patternFill>
    </fill>
    <fill>
      <patternFill patternType="solid">
        <fgColor rgb="FFBDD6E7"/>
        <bgColor indexed="64"/>
      </patternFill>
    </fill>
    <fill>
      <patternFill patternType="lightTrellis">
        <fgColor rgb="FFAFAFAF"/>
        <bgColor rgb="FFEBEBEB"/>
      </patternFill>
    </fill>
    <fill>
      <patternFill patternType="solid">
        <fgColor rgb="FFEBEBEB"/>
        <bgColor indexed="64"/>
      </patternFill>
    </fill>
    <fill>
      <patternFill patternType="solid">
        <fgColor rgb="FFFFFACD"/>
        <bgColor indexed="64"/>
      </patternFill>
    </fill>
    <fill>
      <patternFill patternType="solid">
        <fgColor rgb="FFDFDFDF"/>
        <bgColor indexed="64"/>
      </patternFill>
    </fill>
    <fill>
      <patternFill patternType="solid">
        <fgColor rgb="FFE5F2FF"/>
        <bgColor indexed="64"/>
      </patternFill>
    </fill>
    <fill>
      <patternFill patternType="solid">
        <fgColor theme="1" tint="0.499984740745262"/>
        <bgColor indexed="64"/>
      </patternFill>
    </fill>
    <fill>
      <patternFill patternType="solid">
        <fgColor rgb="FFFF99FF"/>
        <bgColor indexed="64"/>
      </patternFill>
    </fill>
    <fill>
      <patternFill patternType="solid">
        <fgColor rgb="FFFF33CC"/>
        <bgColor indexed="64"/>
      </patternFill>
    </fill>
    <fill>
      <patternFill patternType="solid">
        <fgColor rgb="FFFF33CC"/>
        <bgColor indexed="12"/>
      </patternFill>
    </fill>
    <fill>
      <patternFill patternType="solid">
        <fgColor rgb="FFFF99FF"/>
        <bgColor indexed="12"/>
      </patternFill>
    </fill>
    <fill>
      <patternFill patternType="solid">
        <fgColor theme="3" tint="0.59999389629810485"/>
        <bgColor indexed="12"/>
      </patternFill>
    </fill>
    <fill>
      <patternFill patternType="gray125">
        <fgColor rgb="FF99FFCC"/>
        <bgColor indexed="9"/>
      </patternFill>
    </fill>
    <fill>
      <patternFill patternType="gray0625">
        <fgColor rgb="FF99FFCC"/>
      </patternFill>
    </fill>
    <fill>
      <patternFill patternType="solid">
        <fgColor rgb="FFCCFFCC"/>
        <bgColor rgb="FF99FFCC"/>
      </patternFill>
    </fill>
    <fill>
      <patternFill patternType="solid">
        <fgColor rgb="FF33CCCC"/>
        <bgColor indexed="64"/>
      </patternFill>
    </fill>
    <fill>
      <patternFill patternType="solid">
        <fgColor rgb="FF008080"/>
        <bgColor indexed="64"/>
      </patternFill>
    </fill>
    <fill>
      <patternFill patternType="solid">
        <fgColor rgb="FFCCFFCC"/>
        <bgColor indexed="64"/>
      </patternFill>
    </fill>
    <fill>
      <patternFill patternType="gray125">
        <fgColor rgb="FF66FFCC"/>
        <bgColor theme="0"/>
      </patternFill>
    </fill>
    <fill>
      <patternFill patternType="solid">
        <fgColor theme="7" tint="-0.249977111117893"/>
        <bgColor indexed="64"/>
      </patternFill>
    </fill>
    <fill>
      <patternFill patternType="solid">
        <fgColor theme="7" tint="-0.249977111117893"/>
        <bgColor indexed="9"/>
      </patternFill>
    </fill>
    <fill>
      <patternFill patternType="solid">
        <fgColor rgb="FFFF0000"/>
        <bgColor indexed="64"/>
      </patternFill>
    </fill>
    <fill>
      <gradientFill degree="90">
        <stop position="0">
          <color theme="0"/>
        </stop>
        <stop position="1">
          <color theme="4" tint="0.40000610370189521"/>
        </stop>
      </gradient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9"/>
      </patternFill>
    </fill>
    <fill>
      <patternFill patternType="solid">
        <fgColor theme="8" tint="-0.249977111117893"/>
        <bgColor indexed="64"/>
      </patternFill>
    </fill>
    <fill>
      <patternFill patternType="solid">
        <fgColor theme="3" tint="0.39997558519241921"/>
        <bgColor indexed="64"/>
      </patternFill>
    </fill>
    <fill>
      <patternFill patternType="solid">
        <fgColor theme="5" tint="0.59999389629810485"/>
        <bgColor indexed="64"/>
      </patternFill>
    </fill>
    <fill>
      <patternFill patternType="gray125">
        <fgColor rgb="FF66FFCC"/>
        <bgColor theme="4" tint="0.79998168889431442"/>
      </patternFill>
    </fill>
    <fill>
      <patternFill patternType="solid">
        <fgColor theme="4" tint="0.79998168889431442"/>
        <bgColor indexed="64"/>
      </patternFill>
    </fill>
    <fill>
      <patternFill patternType="solid">
        <fgColor theme="5" tint="0.59999389629810485"/>
        <bgColor indexed="50"/>
      </patternFill>
    </fill>
    <fill>
      <patternFill patternType="solid">
        <fgColor theme="4" tint="0.79998168889431442"/>
        <bgColor rgb="FF99FFCC"/>
      </patternFill>
    </fill>
    <fill>
      <patternFill patternType="solid">
        <fgColor theme="3" tint="0.39997558519241921"/>
        <bgColor indexed="12"/>
      </patternFill>
    </fill>
  </fills>
  <borders count="106">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dashed">
        <color indexed="64"/>
      </left>
      <right style="dashed">
        <color indexed="64"/>
      </right>
      <top style="medium">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medium">
        <color indexed="64"/>
      </right>
      <top style="dashed">
        <color indexed="64"/>
      </top>
      <bottom style="dashed">
        <color indexed="64"/>
      </bottom>
      <diagonal/>
    </border>
    <border>
      <left style="medium">
        <color indexed="64"/>
      </left>
      <right style="dashed">
        <color indexed="64"/>
      </right>
      <top style="dashed">
        <color indexed="64"/>
      </top>
      <bottom style="dashed">
        <color indexed="64"/>
      </bottom>
      <diagonal/>
    </border>
    <border>
      <left style="medium">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medium">
        <color indexed="64"/>
      </left>
      <right style="dotted">
        <color indexed="64"/>
      </right>
      <top style="dashed">
        <color indexed="64"/>
      </top>
      <bottom style="dashed">
        <color indexed="64"/>
      </bottom>
      <diagonal/>
    </border>
    <border>
      <left style="dotted">
        <color indexed="64"/>
      </left>
      <right style="dotted">
        <color indexed="64"/>
      </right>
      <top style="dashed">
        <color indexed="64"/>
      </top>
      <bottom style="dashed">
        <color indexed="64"/>
      </bottom>
      <diagonal/>
    </border>
    <border>
      <left style="medium">
        <color indexed="64"/>
      </left>
      <right style="dotted">
        <color indexed="64"/>
      </right>
      <top style="dashed">
        <color indexed="64"/>
      </top>
      <bottom style="medium">
        <color indexed="64"/>
      </bottom>
      <diagonal/>
    </border>
    <border>
      <left style="dotted">
        <color indexed="64"/>
      </left>
      <right style="dotted">
        <color indexed="64"/>
      </right>
      <top style="dashed">
        <color indexed="64"/>
      </top>
      <bottom style="medium">
        <color indexed="64"/>
      </bottom>
      <diagonal/>
    </border>
    <border>
      <left style="medium">
        <color indexed="64"/>
      </left>
      <right style="dashed">
        <color indexed="64"/>
      </right>
      <top/>
      <bottom style="dashed">
        <color indexed="64"/>
      </bottom>
      <diagonal/>
    </border>
    <border>
      <left style="dashed">
        <color indexed="64"/>
      </left>
      <right style="dashed">
        <color indexed="64"/>
      </right>
      <top/>
      <bottom style="dashed">
        <color indexed="64"/>
      </bottom>
      <diagonal/>
    </border>
    <border>
      <left style="medium">
        <color indexed="64"/>
      </left>
      <right style="dashed">
        <color indexed="64"/>
      </right>
      <top style="medium">
        <color indexed="64"/>
      </top>
      <bottom style="dashed">
        <color indexed="64"/>
      </bottom>
      <diagonal/>
    </border>
    <border>
      <left style="medium">
        <color indexed="64"/>
      </left>
      <right style="dashed">
        <color indexed="64"/>
      </right>
      <top style="dashed">
        <color indexed="64"/>
      </top>
      <bottom style="medium">
        <color indexed="64"/>
      </bottom>
      <diagonal/>
    </border>
    <border>
      <left style="dashed">
        <color indexed="64"/>
      </left>
      <right style="dashed">
        <color indexed="64"/>
      </right>
      <top style="dashed">
        <color indexed="64"/>
      </top>
      <bottom style="medium">
        <color indexed="64"/>
      </bottom>
      <diagonal/>
    </border>
    <border>
      <left style="medium">
        <color indexed="9"/>
      </left>
      <right style="medium">
        <color indexed="9"/>
      </right>
      <top style="medium">
        <color indexed="9"/>
      </top>
      <bottom/>
      <diagonal/>
    </border>
    <border>
      <left style="medium">
        <color indexed="9"/>
      </left>
      <right style="medium">
        <color indexed="9"/>
      </right>
      <top/>
      <bottom style="medium">
        <color indexed="9"/>
      </bottom>
      <diagonal/>
    </border>
    <border>
      <left style="thin">
        <color indexed="8"/>
      </left>
      <right style="medium">
        <color indexed="9"/>
      </right>
      <top style="thin">
        <color indexed="8"/>
      </top>
      <bottom style="medium">
        <color indexed="9"/>
      </bottom>
      <diagonal/>
    </border>
    <border>
      <left style="medium">
        <color indexed="9"/>
      </left>
      <right style="medium">
        <color indexed="9"/>
      </right>
      <top style="thin">
        <color indexed="8"/>
      </top>
      <bottom style="medium">
        <color indexed="9"/>
      </bottom>
      <diagonal/>
    </border>
    <border>
      <left style="medium">
        <color indexed="9"/>
      </left>
      <right style="thin">
        <color indexed="8"/>
      </right>
      <top style="thin">
        <color indexed="8"/>
      </top>
      <bottom style="medium">
        <color indexed="9"/>
      </bottom>
      <diagonal/>
    </border>
    <border>
      <left style="thin">
        <color indexed="8"/>
      </left>
      <right style="medium">
        <color indexed="9"/>
      </right>
      <top style="medium">
        <color indexed="9"/>
      </top>
      <bottom style="medium">
        <color indexed="9"/>
      </bottom>
      <diagonal/>
    </border>
    <border>
      <left style="medium">
        <color indexed="9"/>
      </left>
      <right style="thin">
        <color indexed="8"/>
      </right>
      <top style="medium">
        <color indexed="9"/>
      </top>
      <bottom/>
      <diagonal/>
    </border>
    <border>
      <left style="medium">
        <color indexed="9"/>
      </left>
      <right style="thin">
        <color indexed="8"/>
      </right>
      <top/>
      <bottom style="medium">
        <color indexed="9"/>
      </bottom>
      <diagonal/>
    </border>
    <border>
      <left style="medium">
        <color indexed="22"/>
      </left>
      <right style="medium">
        <color indexed="22"/>
      </right>
      <top style="medium">
        <color indexed="22"/>
      </top>
      <bottom style="medium">
        <color indexed="22"/>
      </bottom>
      <diagonal/>
    </border>
    <border>
      <left style="medium">
        <color indexed="64"/>
      </left>
      <right/>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bottom/>
      <diagonal/>
    </border>
    <border>
      <left style="dashed">
        <color indexed="64"/>
      </left>
      <right style="medium">
        <color indexed="64"/>
      </right>
      <top style="dashed">
        <color indexed="64"/>
      </top>
      <bottom/>
      <diagonal/>
    </border>
    <border>
      <left style="dashed">
        <color indexed="64"/>
      </left>
      <right style="medium">
        <color indexed="64"/>
      </right>
      <top style="medium">
        <color indexed="64"/>
      </top>
      <bottom style="dashed">
        <color indexed="64"/>
      </bottom>
      <diagonal/>
    </border>
    <border>
      <left style="dashed">
        <color indexed="64"/>
      </left>
      <right style="dashed">
        <color indexed="64"/>
      </right>
      <top/>
      <bottom style="medium">
        <color indexed="64"/>
      </bottom>
      <diagonal/>
    </border>
    <border>
      <left style="dashed">
        <color indexed="64"/>
      </left>
      <right style="medium">
        <color indexed="64"/>
      </right>
      <top style="dashed">
        <color indexed="64"/>
      </top>
      <bottom style="medium">
        <color indexed="64"/>
      </bottom>
      <diagonal/>
    </border>
    <border>
      <left style="dashed">
        <color indexed="64"/>
      </left>
      <right style="medium">
        <color indexed="64"/>
      </right>
      <top/>
      <bottom style="dashed">
        <color indexed="64"/>
      </bottom>
      <diagonal/>
    </border>
    <border>
      <left style="medium">
        <color indexed="64"/>
      </left>
      <right style="dotted">
        <color indexed="64"/>
      </right>
      <top style="dotted">
        <color indexed="64"/>
      </top>
      <bottom style="dashed">
        <color indexed="64"/>
      </bottom>
      <diagonal/>
    </border>
    <border>
      <left style="dotted">
        <color indexed="64"/>
      </left>
      <right style="dotted">
        <color indexed="64"/>
      </right>
      <top style="dotted">
        <color indexed="64"/>
      </top>
      <bottom style="dashed">
        <color indexed="64"/>
      </bottom>
      <diagonal/>
    </border>
    <border>
      <left style="dashed">
        <color indexed="64"/>
      </left>
      <right style="dashed">
        <color indexed="64"/>
      </right>
      <top style="dotted">
        <color indexed="64"/>
      </top>
      <bottom style="dashed">
        <color indexed="64"/>
      </bottom>
      <diagonal/>
    </border>
    <border>
      <left style="dotted">
        <color indexed="64"/>
      </left>
      <right style="dashed">
        <color indexed="64"/>
      </right>
      <top style="dotted">
        <color indexed="64"/>
      </top>
      <bottom style="dashed">
        <color indexed="64"/>
      </bottom>
      <diagonal/>
    </border>
    <border>
      <left style="dotted">
        <color indexed="64"/>
      </left>
      <right style="dashed">
        <color indexed="64"/>
      </right>
      <top style="dashed">
        <color indexed="64"/>
      </top>
      <bottom style="dashed">
        <color indexed="64"/>
      </bottom>
      <diagonal/>
    </border>
    <border>
      <left style="medium">
        <color indexed="64"/>
      </left>
      <right style="dotted">
        <color indexed="64"/>
      </right>
      <top style="dashed">
        <color indexed="64"/>
      </top>
      <bottom style="dotted">
        <color indexed="64"/>
      </bottom>
      <diagonal/>
    </border>
    <border>
      <left style="dotted">
        <color indexed="64"/>
      </left>
      <right style="dotted">
        <color indexed="64"/>
      </right>
      <top style="dashed">
        <color indexed="64"/>
      </top>
      <bottom style="dotted">
        <color indexed="64"/>
      </bottom>
      <diagonal/>
    </border>
    <border>
      <left style="dashed">
        <color indexed="64"/>
      </left>
      <right style="dashed">
        <color indexed="64"/>
      </right>
      <top/>
      <bottom style="dotted">
        <color indexed="64"/>
      </bottom>
      <diagonal/>
    </border>
    <border>
      <left style="dotted">
        <color indexed="64"/>
      </left>
      <right style="dashed">
        <color indexed="64"/>
      </right>
      <top style="dashed">
        <color indexed="64"/>
      </top>
      <bottom style="dotted">
        <color indexed="64"/>
      </bottom>
      <diagonal/>
    </border>
    <border>
      <left style="dashed">
        <color indexed="64"/>
      </left>
      <right style="dashed">
        <color indexed="64"/>
      </right>
      <top style="dashed">
        <color indexed="64"/>
      </top>
      <bottom style="dotted">
        <color indexed="64"/>
      </bottom>
      <diagonal/>
    </border>
    <border>
      <left style="medium">
        <color indexed="64"/>
      </left>
      <right style="dashed">
        <color indexed="64"/>
      </right>
      <top style="dotted">
        <color indexed="64"/>
      </top>
      <bottom style="dotted">
        <color indexed="64"/>
      </bottom>
      <diagonal/>
    </border>
    <border>
      <left style="dashed">
        <color indexed="64"/>
      </left>
      <right style="dashed">
        <color indexed="64"/>
      </right>
      <top style="dotted">
        <color indexed="64"/>
      </top>
      <bottom style="dotted">
        <color indexed="64"/>
      </bottom>
      <diagonal/>
    </border>
    <border>
      <left/>
      <right style="dashed">
        <color indexed="64"/>
      </right>
      <top style="dashed">
        <color indexed="64"/>
      </top>
      <bottom style="dashed">
        <color indexed="64"/>
      </bottom>
      <diagonal/>
    </border>
    <border>
      <left style="medium">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dashed">
        <color indexed="64"/>
      </right>
      <top style="dotted">
        <color indexed="64"/>
      </top>
      <bottom style="dotted">
        <color indexed="64"/>
      </bottom>
      <diagonal/>
    </border>
    <border>
      <left/>
      <right style="medium">
        <color indexed="64"/>
      </right>
      <top style="dashed">
        <color indexed="64"/>
      </top>
      <bottom style="dashed">
        <color indexed="64"/>
      </bottom>
      <diagonal/>
    </border>
    <border>
      <left style="medium">
        <color indexed="64"/>
      </left>
      <right style="dashed">
        <color indexed="64"/>
      </right>
      <top style="dashed">
        <color indexed="64"/>
      </top>
      <bottom style="dotted">
        <color indexed="64"/>
      </bottom>
      <diagonal/>
    </border>
    <border>
      <left style="medium">
        <color indexed="64"/>
      </left>
      <right style="dotted">
        <color indexed="64"/>
      </right>
      <top/>
      <bottom style="dashed">
        <color indexed="64"/>
      </bottom>
      <diagonal/>
    </border>
    <border>
      <left style="dotted">
        <color indexed="64"/>
      </left>
      <right style="dotted">
        <color indexed="64"/>
      </right>
      <top/>
      <bottom style="dashed">
        <color indexed="64"/>
      </bottom>
      <diagonal/>
    </border>
    <border>
      <left style="dashed">
        <color indexed="64"/>
      </left>
      <right/>
      <top style="dashed">
        <color indexed="64"/>
      </top>
      <bottom style="dashed">
        <color indexed="64"/>
      </bottom>
      <diagonal/>
    </border>
    <border>
      <left/>
      <right/>
      <top style="thin">
        <color indexed="13"/>
      </top>
      <bottom style="thin">
        <color indexed="13"/>
      </bottom>
      <diagonal/>
    </border>
    <border>
      <left/>
      <right/>
      <top style="thin">
        <color indexed="35"/>
      </top>
      <bottom style="thin">
        <color indexed="35"/>
      </bottom>
      <diagonal/>
    </border>
    <border>
      <left style="thin">
        <color indexed="35"/>
      </left>
      <right/>
      <top style="thin">
        <color indexed="35"/>
      </top>
      <bottom style="thin">
        <color indexed="35"/>
      </bottom>
      <diagonal/>
    </border>
    <border>
      <left/>
      <right/>
      <top style="thin">
        <color indexed="20"/>
      </top>
      <bottom style="thin">
        <color indexed="20"/>
      </bottom>
      <diagonal/>
    </border>
    <border>
      <left/>
      <right/>
      <top style="medium">
        <color indexed="20"/>
      </top>
      <bottom style="medium">
        <color indexed="20"/>
      </bottom>
      <diagonal/>
    </border>
    <border>
      <left/>
      <right/>
      <top style="medium">
        <color indexed="13"/>
      </top>
      <bottom/>
      <diagonal/>
    </border>
    <border>
      <left/>
      <right/>
      <top style="thin">
        <color indexed="11"/>
      </top>
      <bottom style="thin">
        <color indexed="1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9"/>
      </right>
      <top style="medium">
        <color indexed="9"/>
      </top>
      <bottom/>
      <diagonal/>
    </border>
    <border>
      <left style="thin">
        <color indexed="8"/>
      </left>
      <right style="medium">
        <color indexed="9"/>
      </right>
      <top/>
      <bottom style="medium">
        <color indexed="9"/>
      </bottom>
      <diagonal/>
    </border>
    <border>
      <left style="medium">
        <color indexed="9"/>
      </left>
      <right/>
      <top style="medium">
        <color indexed="9"/>
      </top>
      <bottom/>
      <diagonal/>
    </border>
    <border>
      <left/>
      <right/>
      <top style="medium">
        <color indexed="9"/>
      </top>
      <bottom/>
      <diagonal/>
    </border>
    <border>
      <left/>
      <right style="thin">
        <color indexed="8"/>
      </right>
      <top style="medium">
        <color indexed="9"/>
      </top>
      <bottom/>
      <diagonal/>
    </border>
    <border>
      <left style="medium">
        <color indexed="9"/>
      </left>
      <right/>
      <top/>
      <bottom style="medium">
        <color indexed="9"/>
      </bottom>
      <diagonal/>
    </border>
    <border>
      <left/>
      <right/>
      <top/>
      <bottom style="medium">
        <color indexed="9"/>
      </bottom>
      <diagonal/>
    </border>
    <border>
      <left/>
      <right style="thin">
        <color indexed="8"/>
      </right>
      <top/>
      <bottom style="medium">
        <color indexed="9"/>
      </bottom>
      <diagonal/>
    </border>
    <border>
      <left style="medium">
        <color indexed="9"/>
      </left>
      <right/>
      <top style="medium">
        <color indexed="9"/>
      </top>
      <bottom style="medium">
        <color indexed="9"/>
      </bottom>
      <diagonal/>
    </border>
    <border>
      <left/>
      <right/>
      <top style="medium">
        <color indexed="9"/>
      </top>
      <bottom style="medium">
        <color indexed="9"/>
      </bottom>
      <diagonal/>
    </border>
    <border>
      <left/>
      <right style="thin">
        <color indexed="8"/>
      </right>
      <top style="medium">
        <color indexed="9"/>
      </top>
      <bottom style="medium">
        <color indexed="9"/>
      </bottom>
      <diagonal/>
    </border>
    <border>
      <left style="thin">
        <color indexed="8"/>
      </left>
      <right/>
      <top style="medium">
        <color indexed="9"/>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66FFCC"/>
      </top>
      <bottom style="thin">
        <color rgb="FF66FF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20"/>
      </left>
      <right/>
      <top style="medium">
        <color indexed="20"/>
      </top>
      <bottom style="medium">
        <color indexed="20"/>
      </bottom>
      <diagonal/>
    </border>
    <border>
      <left/>
      <right style="medium">
        <color indexed="20"/>
      </right>
      <top style="medium">
        <color indexed="20"/>
      </top>
      <bottom style="medium">
        <color indexed="20"/>
      </bottom>
      <diagonal/>
    </border>
    <border>
      <left style="thin">
        <color theme="0"/>
      </left>
      <right/>
      <top style="thin">
        <color theme="0"/>
      </top>
      <bottom style="thin">
        <color theme="0"/>
      </bottom>
      <diagonal/>
    </border>
    <border>
      <left/>
      <right/>
      <top style="thin">
        <color theme="0"/>
      </top>
      <bottom style="thin">
        <color theme="0"/>
      </bottom>
      <diagonal/>
    </border>
    <border>
      <left/>
      <right/>
      <top/>
      <bottom style="thin">
        <color theme="0"/>
      </bottom>
      <diagonal/>
    </border>
  </borders>
  <cellStyleXfs count="55">
    <xf numFmtId="0" fontId="0" fillId="0" borderId="0"/>
    <xf numFmtId="0" fontId="8" fillId="0" borderId="1">
      <alignment horizontal="right" vertical="center"/>
    </xf>
    <xf numFmtId="0" fontId="10" fillId="26" borderId="1">
      <alignment horizontal="center" vertical="center"/>
    </xf>
    <xf numFmtId="0" fontId="8" fillId="0" borderId="1">
      <alignment horizontal="right" vertical="center"/>
    </xf>
    <xf numFmtId="0" fontId="10" fillId="26" borderId="1">
      <alignment horizontal="left" vertical="center"/>
    </xf>
    <xf numFmtId="0" fontId="10" fillId="26" borderId="93">
      <alignment horizontal="center" vertical="center"/>
    </xf>
    <xf numFmtId="0" fontId="61" fillId="26" borderId="1">
      <alignment horizontal="center" vertical="center"/>
    </xf>
    <xf numFmtId="0" fontId="8" fillId="5" borderId="1"/>
    <xf numFmtId="164" fontId="1" fillId="0" borderId="0" applyFont="0" applyFill="0" applyBorder="0" applyAlignment="0" applyProtection="0"/>
    <xf numFmtId="0" fontId="10" fillId="0" borderId="93">
      <alignment horizontal="left" vertical="top"/>
    </xf>
    <xf numFmtId="0" fontId="67" fillId="27" borderId="1"/>
    <xf numFmtId="0" fontId="8" fillId="0" borderId="1">
      <alignment horizontal="right" vertical="center"/>
    </xf>
    <xf numFmtId="0" fontId="60" fillId="4" borderId="1">
      <alignment horizontal="center" vertical="center"/>
    </xf>
    <xf numFmtId="0" fontId="8" fillId="0" borderId="1">
      <alignment horizontal="right" vertical="center"/>
    </xf>
    <xf numFmtId="0" fontId="60" fillId="4" borderId="1">
      <alignment horizontal="left" vertical="center"/>
    </xf>
    <xf numFmtId="0" fontId="1" fillId="2" borderId="2">
      <alignment horizontal="center" vertical="center"/>
    </xf>
    <xf numFmtId="0" fontId="61" fillId="4" borderId="1">
      <alignment horizontal="center" vertical="center"/>
    </xf>
    <xf numFmtId="0" fontId="1" fillId="0" borderId="2">
      <alignment horizontal="left" vertical="top"/>
    </xf>
    <xf numFmtId="0" fontId="1" fillId="0" borderId="2">
      <alignment horizontal="left" vertical="center"/>
    </xf>
    <xf numFmtId="0" fontId="8" fillId="0" borderId="2">
      <alignment horizontal="right" vertical="center"/>
    </xf>
    <xf numFmtId="0" fontId="8" fillId="0" borderId="2">
      <alignment horizontal="center" vertical="center"/>
    </xf>
    <xf numFmtId="0" fontId="61" fillId="6" borderId="1"/>
    <xf numFmtId="0" fontId="61" fillId="0" borderId="1">
      <alignment horizontal="center" vertical="center" wrapText="1"/>
    </xf>
    <xf numFmtId="0" fontId="62" fillId="4" borderId="1">
      <alignment horizontal="left" vertical="center" indent="1"/>
    </xf>
    <xf numFmtId="0" fontId="1" fillId="0" borderId="0"/>
    <xf numFmtId="0" fontId="61" fillId="4" borderId="1">
      <alignment horizontal="center" vertical="center"/>
    </xf>
    <xf numFmtId="0" fontId="50" fillId="3" borderId="2">
      <alignment horizontal="right" vertical="center"/>
    </xf>
    <xf numFmtId="0" fontId="49" fillId="3" borderId="2">
      <alignment horizontal="center" vertical="center"/>
    </xf>
    <xf numFmtId="0" fontId="50" fillId="3" borderId="2">
      <alignment horizontal="right" vertical="center"/>
    </xf>
    <xf numFmtId="0" fontId="49" fillId="3" borderId="2">
      <alignment horizontal="left" vertical="center"/>
    </xf>
    <xf numFmtId="0" fontId="10" fillId="0" borderId="93">
      <alignment horizontal="left" vertical="center"/>
    </xf>
    <xf numFmtId="0" fontId="8" fillId="28" borderId="1"/>
    <xf numFmtId="0" fontId="8" fillId="0" borderId="93">
      <alignment horizontal="right" vertical="center"/>
    </xf>
    <xf numFmtId="0" fontId="8" fillId="29" borderId="1">
      <alignment horizontal="right" vertical="center"/>
    </xf>
    <xf numFmtId="0" fontId="8" fillId="0" borderId="93">
      <alignment horizontal="center" vertical="center"/>
    </xf>
    <xf numFmtId="0" fontId="61" fillId="30" borderId="1"/>
    <xf numFmtId="0" fontId="61" fillId="31" borderId="1"/>
    <xf numFmtId="0" fontId="61" fillId="0" borderId="1">
      <alignment horizontal="center" vertical="center" wrapText="1"/>
    </xf>
    <xf numFmtId="165" fontId="1"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70" fillId="26" borderId="1">
      <alignment horizontal="left" vertical="center"/>
    </xf>
    <xf numFmtId="0" fontId="14" fillId="0" borderId="0"/>
    <xf numFmtId="0" fontId="3" fillId="0" borderId="0"/>
    <xf numFmtId="0" fontId="8" fillId="0" borderId="0"/>
    <xf numFmtId="0" fontId="71" fillId="0" borderId="1"/>
    <xf numFmtId="9" fontId="1" fillId="0" borderId="0" applyFont="0" applyFill="0" applyBorder="0" applyAlignment="0" applyProtection="0"/>
    <xf numFmtId="0" fontId="10" fillId="0" borderId="0"/>
    <xf numFmtId="0" fontId="61" fillId="26" borderId="1">
      <alignment horizontal="center" vertical="center"/>
    </xf>
    <xf numFmtId="0" fontId="13" fillId="30" borderId="93">
      <alignment horizontal="center" vertical="center"/>
    </xf>
    <xf numFmtId="0" fontId="13" fillId="31" borderId="1">
      <alignment horizontal="center" vertical="center"/>
    </xf>
    <xf numFmtId="0" fontId="13" fillId="30" borderId="93">
      <alignment horizontal="left" vertical="center"/>
    </xf>
    <xf numFmtId="0" fontId="13" fillId="31" borderId="1">
      <alignment horizontal="left" vertical="center"/>
    </xf>
    <xf numFmtId="0" fontId="72" fillId="0" borderId="1"/>
    <xf numFmtId="43" fontId="1" fillId="0" borderId="0" applyFont="0" applyFill="0" applyBorder="0" applyAlignment="0" applyProtection="0"/>
  </cellStyleXfs>
  <cellXfs count="696">
    <xf numFmtId="0" fontId="0" fillId="0" borderId="0" xfId="0"/>
    <xf numFmtId="0" fontId="5" fillId="0" borderId="0" xfId="0" applyFont="1" applyAlignment="1">
      <alignment vertical="center"/>
    </xf>
    <xf numFmtId="0" fontId="5" fillId="0" borderId="0" xfId="0" applyFont="1" applyAlignment="1">
      <alignment horizontal="center" vertical="center"/>
    </xf>
    <xf numFmtId="0" fontId="5" fillId="7" borderId="0" xfId="0" applyFont="1" applyFill="1" applyAlignment="1">
      <alignment vertical="center"/>
    </xf>
    <xf numFmtId="4" fontId="6" fillId="7" borderId="0" xfId="43" applyNumberFormat="1" applyFont="1" applyFill="1" applyAlignment="1">
      <alignment horizontal="center" vertical="center"/>
    </xf>
    <xf numFmtId="3" fontId="7" fillId="7" borderId="0" xfId="44" applyNumberFormat="1" applyFont="1" applyFill="1" applyAlignment="1">
      <alignment horizontal="center" vertical="center" textRotation="90" wrapText="1"/>
    </xf>
    <xf numFmtId="0" fontId="2" fillId="7" borderId="0" xfId="0" applyFont="1" applyFill="1" applyAlignment="1">
      <alignment vertical="center"/>
    </xf>
    <xf numFmtId="169" fontId="6" fillId="7" borderId="0" xfId="38" applyNumberFormat="1" applyFont="1" applyFill="1" applyBorder="1" applyAlignment="1">
      <alignment horizontal="center" vertical="center"/>
    </xf>
    <xf numFmtId="0" fontId="5" fillId="0" borderId="0" xfId="0" applyFont="1"/>
    <xf numFmtId="0" fontId="7" fillId="7" borderId="0" xfId="0" applyFont="1" applyFill="1" applyAlignment="1">
      <alignment vertical="center" wrapText="1"/>
    </xf>
    <xf numFmtId="0" fontId="7" fillId="0" borderId="0" xfId="0" applyFont="1" applyAlignment="1">
      <alignment vertical="center"/>
    </xf>
    <xf numFmtId="0" fontId="7" fillId="0" borderId="0" xfId="0" applyFont="1" applyAlignment="1">
      <alignment vertical="center" wrapText="1"/>
    </xf>
    <xf numFmtId="0" fontId="5" fillId="0" borderId="0" xfId="0" applyFont="1" applyAlignment="1">
      <alignment horizontal="center" vertical="center" wrapText="1"/>
    </xf>
    <xf numFmtId="0" fontId="2" fillId="0" borderId="0" xfId="0" applyFont="1" applyAlignment="1">
      <alignment vertical="center"/>
    </xf>
    <xf numFmtId="169" fontId="6" fillId="0" borderId="0" xfId="38" applyNumberFormat="1" applyFont="1" applyFill="1" applyBorder="1" applyAlignment="1">
      <alignment horizontal="center" vertical="center"/>
    </xf>
    <xf numFmtId="0" fontId="0" fillId="7" borderId="0" xfId="0" applyFill="1"/>
    <xf numFmtId="3" fontId="5" fillId="8" borderId="0" xfId="44" applyNumberFormat="1" applyFont="1" applyFill="1" applyAlignment="1">
      <alignment horizontal="center" vertical="center" wrapText="1"/>
    </xf>
    <xf numFmtId="20" fontId="0" fillId="0" borderId="0" xfId="0" applyNumberFormat="1"/>
    <xf numFmtId="20" fontId="0" fillId="7" borderId="0" xfId="0" applyNumberFormat="1" applyFill="1"/>
    <xf numFmtId="3" fontId="5" fillId="0" borderId="0" xfId="0" applyNumberFormat="1" applyFont="1"/>
    <xf numFmtId="0" fontId="0" fillId="0" borderId="0" xfId="0" applyAlignment="1">
      <alignment horizontal="left"/>
    </xf>
    <xf numFmtId="20" fontId="6" fillId="0" borderId="0" xfId="43" applyNumberFormat="1" applyFont="1" applyAlignment="1">
      <alignment horizontal="center" vertical="center"/>
    </xf>
    <xf numFmtId="16" fontId="7" fillId="0" borderId="0" xfId="0" applyNumberFormat="1" applyFont="1" applyAlignment="1">
      <alignment vertical="center" wrapText="1"/>
    </xf>
    <xf numFmtId="16" fontId="21" fillId="0" borderId="0" xfId="0" applyNumberFormat="1" applyFont="1" applyAlignment="1">
      <alignment vertical="center"/>
    </xf>
    <xf numFmtId="20" fontId="5" fillId="0" borderId="0" xfId="0" applyNumberFormat="1" applyFont="1"/>
    <xf numFmtId="3" fontId="7" fillId="9" borderId="0" xfId="43" applyNumberFormat="1" applyFont="1" applyFill="1" applyAlignment="1">
      <alignment horizontal="center" vertical="center"/>
    </xf>
    <xf numFmtId="1" fontId="2" fillId="9" borderId="0" xfId="43" applyNumberFormat="1" applyFont="1" applyFill="1" applyAlignment="1">
      <alignment horizontal="left" vertical="center" wrapText="1"/>
    </xf>
    <xf numFmtId="0" fontId="0" fillId="10" borderId="0" xfId="0" applyFill="1"/>
    <xf numFmtId="168" fontId="24" fillId="7" borderId="0" xfId="43" applyNumberFormat="1" applyFont="1" applyFill="1" applyAlignment="1">
      <alignment vertical="center" wrapText="1"/>
    </xf>
    <xf numFmtId="168" fontId="24" fillId="8" borderId="0" xfId="43" applyNumberFormat="1" applyFont="1" applyFill="1" applyAlignment="1">
      <alignment vertical="center" wrapText="1"/>
    </xf>
    <xf numFmtId="0" fontId="25" fillId="0" borderId="0" xfId="0" applyFont="1"/>
    <xf numFmtId="0" fontId="25" fillId="0" borderId="0" xfId="0" applyFont="1" applyAlignment="1">
      <alignment vertical="center"/>
    </xf>
    <xf numFmtId="0" fontId="25" fillId="7" borderId="0" xfId="0" applyFont="1" applyFill="1" applyAlignment="1">
      <alignment vertical="center"/>
    </xf>
    <xf numFmtId="4" fontId="25" fillId="7" borderId="0" xfId="43" applyNumberFormat="1" applyFont="1" applyFill="1" applyAlignment="1">
      <alignment horizontal="center" vertical="center"/>
    </xf>
    <xf numFmtId="0" fontId="25" fillId="7" borderId="0" xfId="0" applyFont="1" applyFill="1" applyAlignment="1">
      <alignment horizontal="center" vertical="center"/>
    </xf>
    <xf numFmtId="3" fontId="25" fillId="8" borderId="0" xfId="44" applyNumberFormat="1" applyFont="1" applyFill="1" applyAlignment="1">
      <alignment horizontal="center" vertical="center" wrapText="1"/>
    </xf>
    <xf numFmtId="20" fontId="25" fillId="0" borderId="0" xfId="0" applyNumberFormat="1" applyFont="1"/>
    <xf numFmtId="3" fontId="26" fillId="7" borderId="0" xfId="44" applyNumberFormat="1" applyFont="1" applyFill="1" applyAlignment="1">
      <alignment horizontal="center" vertical="center" textRotation="90" wrapText="1"/>
    </xf>
    <xf numFmtId="3" fontId="25" fillId="7" borderId="0" xfId="0" applyNumberFormat="1" applyFont="1" applyFill="1" applyAlignment="1">
      <alignment vertical="center"/>
    </xf>
    <xf numFmtId="0" fontId="18" fillId="0" borderId="0" xfId="42" applyFont="1" applyAlignment="1">
      <alignment vertical="center"/>
    </xf>
    <xf numFmtId="0" fontId="22" fillId="0" borderId="0" xfId="42" applyFont="1" applyAlignment="1">
      <alignment vertical="center"/>
    </xf>
    <xf numFmtId="3" fontId="0" fillId="0" borderId="0" xfId="0" applyNumberFormat="1"/>
    <xf numFmtId="0" fontId="5" fillId="11" borderId="0" xfId="0" applyFont="1" applyFill="1" applyAlignment="1">
      <alignment vertical="center"/>
    </xf>
    <xf numFmtId="0" fontId="5" fillId="11" borderId="0" xfId="0" applyFont="1" applyFill="1"/>
    <xf numFmtId="168" fontId="30" fillId="12" borderId="0" xfId="43" applyNumberFormat="1" applyFont="1" applyFill="1" applyAlignment="1">
      <alignment horizontal="left" vertical="center" wrapText="1"/>
    </xf>
    <xf numFmtId="168" fontId="31" fillId="12" borderId="0" xfId="43" applyNumberFormat="1" applyFont="1" applyFill="1" applyAlignment="1">
      <alignment horizontal="center" vertical="center"/>
    </xf>
    <xf numFmtId="167" fontId="2" fillId="7" borderId="0" xfId="43" applyNumberFormat="1" applyFont="1" applyFill="1" applyAlignment="1">
      <alignment horizontal="left" vertical="center"/>
    </xf>
    <xf numFmtId="167" fontId="4" fillId="7" borderId="0" xfId="43" applyNumberFormat="1" applyFont="1" applyFill="1" applyAlignment="1">
      <alignment horizontal="center" vertical="center"/>
    </xf>
    <xf numFmtId="168" fontId="2" fillId="7" borderId="0" xfId="43" applyNumberFormat="1" applyFont="1" applyFill="1" applyAlignment="1">
      <alignment horizontal="left" vertical="center" wrapText="1"/>
    </xf>
    <xf numFmtId="170" fontId="9" fillId="7" borderId="0" xfId="0" applyNumberFormat="1" applyFont="1" applyFill="1" applyAlignment="1">
      <alignment horizontal="center" vertical="center"/>
    </xf>
    <xf numFmtId="17" fontId="11" fillId="7" borderId="0" xfId="43" applyNumberFormat="1" applyFont="1" applyFill="1" applyAlignment="1">
      <alignment horizontal="left" vertical="center" wrapText="1"/>
    </xf>
    <xf numFmtId="167" fontId="6" fillId="7" borderId="0" xfId="43" applyNumberFormat="1" applyFont="1" applyFill="1" applyAlignment="1">
      <alignment horizontal="center" vertical="center"/>
    </xf>
    <xf numFmtId="167" fontId="32" fillId="6" borderId="0" xfId="43" applyNumberFormat="1" applyFont="1" applyFill="1" applyAlignment="1">
      <alignment horizontal="left" vertical="center"/>
    </xf>
    <xf numFmtId="17" fontId="33" fillId="6" borderId="0" xfId="43" applyNumberFormat="1" applyFont="1" applyFill="1" applyAlignment="1">
      <alignment horizontal="center" vertical="center"/>
    </xf>
    <xf numFmtId="167" fontId="33" fillId="6" borderId="0" xfId="43" applyNumberFormat="1" applyFont="1" applyFill="1" applyAlignment="1">
      <alignment horizontal="center" vertical="center"/>
    </xf>
    <xf numFmtId="0" fontId="20" fillId="7" borderId="0" xfId="0" applyFont="1" applyFill="1" applyAlignment="1">
      <alignment horizontal="left"/>
    </xf>
    <xf numFmtId="0" fontId="20" fillId="7" borderId="0" xfId="0" applyFont="1" applyFill="1" applyAlignment="1">
      <alignment horizontal="right"/>
    </xf>
    <xf numFmtId="0" fontId="0" fillId="7" borderId="0" xfId="0" applyFill="1" applyAlignment="1">
      <alignment horizontal="left"/>
    </xf>
    <xf numFmtId="0" fontId="2" fillId="7" borderId="0" xfId="0" applyFont="1" applyFill="1" applyAlignment="1">
      <alignment horizontal="left"/>
    </xf>
    <xf numFmtId="0" fontId="16" fillId="0" borderId="0" xfId="42" applyFont="1" applyAlignment="1">
      <alignment vertical="center"/>
    </xf>
    <xf numFmtId="171" fontId="17" fillId="13" borderId="3" xfId="39" applyNumberFormat="1" applyFont="1" applyFill="1" applyBorder="1" applyAlignment="1">
      <alignment horizontal="center" vertical="center" wrapText="1"/>
    </xf>
    <xf numFmtId="0" fontId="15" fillId="0" borderId="3" xfId="43" applyFont="1" applyBorder="1" applyAlignment="1">
      <alignment horizontal="center" vertical="center" textRotation="90"/>
    </xf>
    <xf numFmtId="167" fontId="15" fillId="0" borderId="3" xfId="43" applyNumberFormat="1" applyFont="1" applyBorder="1" applyAlignment="1">
      <alignment horizontal="center" vertical="center" textRotation="90"/>
    </xf>
    <xf numFmtId="1" fontId="15" fillId="0" borderId="3" xfId="43" applyNumberFormat="1" applyFont="1" applyBorder="1" applyAlignment="1">
      <alignment horizontal="center" vertical="center" textRotation="90"/>
    </xf>
    <xf numFmtId="167" fontId="15" fillId="0" borderId="3" xfId="43" applyNumberFormat="1" applyFont="1" applyBorder="1" applyAlignment="1">
      <alignment horizontal="center" vertical="center" textRotation="90" wrapText="1"/>
    </xf>
    <xf numFmtId="1" fontId="19" fillId="0" borderId="4" xfId="43" applyNumberFormat="1" applyFont="1" applyBorder="1" applyAlignment="1">
      <alignment horizontal="center" vertical="center"/>
    </xf>
    <xf numFmtId="3" fontId="34" fillId="14" borderId="5" xfId="42" applyNumberFormat="1" applyFont="1" applyFill="1" applyBorder="1" applyAlignment="1">
      <alignment vertical="center"/>
    </xf>
    <xf numFmtId="3" fontId="17" fillId="15" borderId="6" xfId="42" applyNumberFormat="1" applyFont="1" applyFill="1" applyBorder="1" applyAlignment="1">
      <alignment vertical="center"/>
    </xf>
    <xf numFmtId="14" fontId="16" fillId="7" borderId="7" xfId="42" applyNumberFormat="1" applyFont="1" applyFill="1" applyBorder="1" applyAlignment="1">
      <alignment vertical="center"/>
    </xf>
    <xf numFmtId="166" fontId="16" fillId="0" borderId="5" xfId="43" applyNumberFormat="1" applyFont="1" applyBorder="1" applyAlignment="1">
      <alignment horizontal="center" vertical="center"/>
    </xf>
    <xf numFmtId="167" fontId="16" fillId="0" borderId="5" xfId="43" applyNumberFormat="1" applyFont="1" applyBorder="1" applyAlignment="1">
      <alignment horizontal="center" vertical="center"/>
    </xf>
    <xf numFmtId="1" fontId="16" fillId="0" borderId="5" xfId="43" applyNumberFormat="1" applyFont="1" applyBorder="1" applyAlignment="1">
      <alignment horizontal="center" vertical="center"/>
    </xf>
    <xf numFmtId="1" fontId="19" fillId="0" borderId="5" xfId="43" applyNumberFormat="1" applyFont="1" applyBorder="1" applyAlignment="1">
      <alignment horizontal="center" vertical="center"/>
    </xf>
    <xf numFmtId="20" fontId="19" fillId="7" borderId="5" xfId="43" applyNumberFormat="1" applyFont="1" applyFill="1" applyBorder="1" applyAlignment="1">
      <alignment horizontal="center" vertical="center"/>
    </xf>
    <xf numFmtId="3" fontId="35" fillId="0" borderId="5" xfId="42" applyNumberFormat="1" applyFont="1" applyBorder="1" applyAlignment="1">
      <alignment vertical="center"/>
    </xf>
    <xf numFmtId="3" fontId="16" fillId="7" borderId="5" xfId="42" applyNumberFormat="1" applyFont="1" applyFill="1" applyBorder="1" applyAlignment="1">
      <alignment vertical="center"/>
    </xf>
    <xf numFmtId="166" fontId="36" fillId="16" borderId="5" xfId="43" applyNumberFormat="1" applyFont="1" applyFill="1" applyBorder="1" applyAlignment="1">
      <alignment horizontal="center" vertical="center"/>
    </xf>
    <xf numFmtId="167" fontId="36" fillId="16" borderId="5" xfId="43" applyNumberFormat="1" applyFont="1" applyFill="1" applyBorder="1" applyAlignment="1">
      <alignment horizontal="center" vertical="center"/>
    </xf>
    <xf numFmtId="1" fontId="36" fillId="16" borderId="5" xfId="43" applyNumberFormat="1" applyFont="1" applyFill="1" applyBorder="1" applyAlignment="1">
      <alignment horizontal="center" vertical="center"/>
    </xf>
    <xf numFmtId="1" fontId="19" fillId="16" borderId="5" xfId="43" applyNumberFormat="1" applyFont="1" applyFill="1" applyBorder="1" applyAlignment="1">
      <alignment horizontal="center" vertical="center"/>
    </xf>
    <xf numFmtId="20" fontId="19" fillId="16" borderId="5" xfId="43" applyNumberFormat="1" applyFont="1" applyFill="1" applyBorder="1" applyAlignment="1">
      <alignment horizontal="center" vertical="center"/>
    </xf>
    <xf numFmtId="14" fontId="16" fillId="6" borderId="7" xfId="42" applyNumberFormat="1" applyFont="1" applyFill="1" applyBorder="1" applyAlignment="1">
      <alignment vertical="center"/>
    </xf>
    <xf numFmtId="20" fontId="19" fillId="0" borderId="5" xfId="43" applyNumberFormat="1" applyFont="1" applyBorder="1" applyAlignment="1">
      <alignment horizontal="center" vertical="center"/>
    </xf>
    <xf numFmtId="3" fontId="16" fillId="6" borderId="5" xfId="42" applyNumberFormat="1" applyFont="1" applyFill="1" applyBorder="1" applyAlignment="1">
      <alignment vertical="center"/>
    </xf>
    <xf numFmtId="9" fontId="16" fillId="6" borderId="5" xfId="46" applyFont="1" applyFill="1" applyBorder="1" applyAlignment="1">
      <alignment vertical="center"/>
    </xf>
    <xf numFmtId="14" fontId="15" fillId="7" borderId="7" xfId="42" applyNumberFormat="1" applyFont="1" applyFill="1" applyBorder="1" applyAlignment="1">
      <alignment vertical="center"/>
    </xf>
    <xf numFmtId="3" fontId="36" fillId="7" borderId="5" xfId="42" applyNumberFormat="1" applyFont="1" applyFill="1" applyBorder="1" applyAlignment="1">
      <alignment vertical="center"/>
    </xf>
    <xf numFmtId="3" fontId="35" fillId="7" borderId="5" xfId="42" applyNumberFormat="1" applyFont="1" applyFill="1" applyBorder="1" applyAlignment="1">
      <alignment vertical="center"/>
    </xf>
    <xf numFmtId="14" fontId="16" fillId="7" borderId="8" xfId="42" applyNumberFormat="1" applyFont="1" applyFill="1" applyBorder="1" applyAlignment="1">
      <alignment vertical="center"/>
    </xf>
    <xf numFmtId="166" fontId="16" fillId="0" borderId="9" xfId="43" applyNumberFormat="1" applyFont="1" applyBorder="1" applyAlignment="1">
      <alignment horizontal="center" vertical="center"/>
    </xf>
    <xf numFmtId="167" fontId="16" fillId="0" borderId="9" xfId="43" applyNumberFormat="1" applyFont="1" applyBorder="1" applyAlignment="1">
      <alignment horizontal="center" vertical="center"/>
    </xf>
    <xf numFmtId="1" fontId="16" fillId="0" borderId="9" xfId="43" applyNumberFormat="1" applyFont="1" applyBorder="1" applyAlignment="1">
      <alignment horizontal="center" vertical="center"/>
    </xf>
    <xf numFmtId="1" fontId="19" fillId="0" borderId="9" xfId="43" applyNumberFormat="1" applyFont="1" applyBorder="1" applyAlignment="1">
      <alignment horizontal="center" vertical="center"/>
    </xf>
    <xf numFmtId="20" fontId="19" fillId="0" borderId="9" xfId="43" applyNumberFormat="1" applyFont="1" applyBorder="1" applyAlignment="1">
      <alignment horizontal="center" vertical="center"/>
    </xf>
    <xf numFmtId="3" fontId="35" fillId="7" borderId="9" xfId="42" applyNumberFormat="1" applyFont="1" applyFill="1" applyBorder="1" applyAlignment="1">
      <alignment vertical="center"/>
    </xf>
    <xf numFmtId="14" fontId="16" fillId="7" borderId="10" xfId="42" applyNumberFormat="1" applyFont="1" applyFill="1" applyBorder="1" applyAlignment="1">
      <alignment vertical="center"/>
    </xf>
    <xf numFmtId="166" fontId="36" fillId="16" borderId="11" xfId="43" applyNumberFormat="1" applyFont="1" applyFill="1" applyBorder="1" applyAlignment="1">
      <alignment horizontal="center" vertical="center"/>
    </xf>
    <xf numFmtId="167" fontId="36" fillId="16" borderId="11" xfId="43" applyNumberFormat="1" applyFont="1" applyFill="1" applyBorder="1" applyAlignment="1">
      <alignment horizontal="center" vertical="center"/>
    </xf>
    <xf numFmtId="1" fontId="36" fillId="16" borderId="11" xfId="43" applyNumberFormat="1" applyFont="1" applyFill="1" applyBorder="1" applyAlignment="1">
      <alignment horizontal="center" vertical="center"/>
    </xf>
    <xf numFmtId="1" fontId="19" fillId="16" borderId="11" xfId="43" applyNumberFormat="1" applyFont="1" applyFill="1" applyBorder="1" applyAlignment="1">
      <alignment horizontal="center" vertical="center"/>
    </xf>
    <xf numFmtId="20" fontId="19" fillId="16" borderId="11" xfId="43" applyNumberFormat="1" applyFont="1" applyFill="1" applyBorder="1" applyAlignment="1">
      <alignment horizontal="center" vertical="center"/>
    </xf>
    <xf numFmtId="3" fontId="35" fillId="7" borderId="11" xfId="42" applyNumberFormat="1" applyFont="1" applyFill="1" applyBorder="1" applyAlignment="1">
      <alignment vertical="center"/>
    </xf>
    <xf numFmtId="14" fontId="16" fillId="7" borderId="12" xfId="42" applyNumberFormat="1" applyFont="1" applyFill="1" applyBorder="1" applyAlignment="1">
      <alignment vertical="center"/>
    </xf>
    <xf numFmtId="166" fontId="16" fillId="0" borderId="13" xfId="43" applyNumberFormat="1" applyFont="1" applyBorder="1" applyAlignment="1">
      <alignment horizontal="center" vertical="center"/>
    </xf>
    <xf numFmtId="167" fontId="16" fillId="0" borderId="13" xfId="43" applyNumberFormat="1" applyFont="1" applyBorder="1" applyAlignment="1">
      <alignment horizontal="center" vertical="center"/>
    </xf>
    <xf numFmtId="1" fontId="16" fillId="0" borderId="13" xfId="43" applyNumberFormat="1" applyFont="1" applyBorder="1" applyAlignment="1">
      <alignment horizontal="center" vertical="center"/>
    </xf>
    <xf numFmtId="1" fontId="19" fillId="0" borderId="13" xfId="43" applyNumberFormat="1" applyFont="1" applyBorder="1" applyAlignment="1">
      <alignment horizontal="center" vertical="center"/>
    </xf>
    <xf numFmtId="20" fontId="19" fillId="0" borderId="13" xfId="43" applyNumberFormat="1" applyFont="1" applyBorder="1" applyAlignment="1">
      <alignment horizontal="center" vertical="center"/>
    </xf>
    <xf numFmtId="3" fontId="35" fillId="7" borderId="13" xfId="42" applyNumberFormat="1" applyFont="1" applyFill="1" applyBorder="1" applyAlignment="1">
      <alignment vertical="center"/>
    </xf>
    <xf numFmtId="14" fontId="16" fillId="7" borderId="14" xfId="42" applyNumberFormat="1" applyFont="1" applyFill="1" applyBorder="1" applyAlignment="1">
      <alignment vertical="center"/>
    </xf>
    <xf numFmtId="166" fontId="16" fillId="0" borderId="15" xfId="43" applyNumberFormat="1" applyFont="1" applyBorder="1" applyAlignment="1">
      <alignment horizontal="center" vertical="center"/>
    </xf>
    <xf numFmtId="167" fontId="16" fillId="0" borderId="15" xfId="43" applyNumberFormat="1" applyFont="1" applyBorder="1" applyAlignment="1">
      <alignment horizontal="center" vertical="center"/>
    </xf>
    <xf numFmtId="1" fontId="16" fillId="0" borderId="15" xfId="43" applyNumberFormat="1" applyFont="1" applyBorder="1" applyAlignment="1">
      <alignment horizontal="center" vertical="center"/>
    </xf>
    <xf numFmtId="1" fontId="19" fillId="0" borderId="15" xfId="43" applyNumberFormat="1" applyFont="1" applyBorder="1" applyAlignment="1">
      <alignment horizontal="center" vertical="center"/>
    </xf>
    <xf numFmtId="20" fontId="19" fillId="0" borderId="15" xfId="43" applyNumberFormat="1" applyFont="1" applyBorder="1" applyAlignment="1">
      <alignment horizontal="center" vertical="center"/>
    </xf>
    <xf numFmtId="3" fontId="35" fillId="7" borderId="15" xfId="42" applyNumberFormat="1" applyFont="1" applyFill="1" applyBorder="1" applyAlignment="1">
      <alignment vertical="center"/>
    </xf>
    <xf numFmtId="1" fontId="19" fillId="0" borderId="9" xfId="43" applyNumberFormat="1" applyFont="1" applyBorder="1" applyAlignment="1">
      <alignment horizontal="center" vertical="center" wrapText="1"/>
    </xf>
    <xf numFmtId="14" fontId="16" fillId="7" borderId="16" xfId="42" applyNumberFormat="1" applyFont="1" applyFill="1" applyBorder="1" applyAlignment="1">
      <alignment vertical="center"/>
    </xf>
    <xf numFmtId="166" fontId="16" fillId="0" borderId="4" xfId="43" applyNumberFormat="1" applyFont="1" applyBorder="1" applyAlignment="1">
      <alignment horizontal="center" vertical="center"/>
    </xf>
    <xf numFmtId="167" fontId="16" fillId="0" borderId="4" xfId="43" applyNumberFormat="1" applyFont="1" applyBorder="1" applyAlignment="1">
      <alignment horizontal="center" vertical="center"/>
    </xf>
    <xf numFmtId="1" fontId="16" fillId="0" borderId="4" xfId="43" applyNumberFormat="1" applyFont="1" applyBorder="1" applyAlignment="1">
      <alignment horizontal="center" vertical="center"/>
    </xf>
    <xf numFmtId="20" fontId="19" fillId="0" borderId="4" xfId="43" applyNumberFormat="1" applyFont="1" applyBorder="1" applyAlignment="1">
      <alignment horizontal="center" vertical="center"/>
    </xf>
    <xf numFmtId="3" fontId="35" fillId="7" borderId="4" xfId="42" applyNumberFormat="1" applyFont="1" applyFill="1" applyBorder="1" applyAlignment="1">
      <alignment vertical="center"/>
    </xf>
    <xf numFmtId="14" fontId="16" fillId="7" borderId="17" xfId="42" applyNumberFormat="1" applyFont="1" applyFill="1" applyBorder="1" applyAlignment="1">
      <alignment vertical="center"/>
    </xf>
    <xf numFmtId="166" fontId="36" fillId="16" borderId="18" xfId="43" applyNumberFormat="1" applyFont="1" applyFill="1" applyBorder="1" applyAlignment="1">
      <alignment horizontal="center" vertical="center"/>
    </xf>
    <xf numFmtId="167" fontId="36" fillId="16" borderId="18" xfId="43" applyNumberFormat="1" applyFont="1" applyFill="1" applyBorder="1" applyAlignment="1">
      <alignment horizontal="center" vertical="center"/>
    </xf>
    <xf numFmtId="1" fontId="36" fillId="16" borderId="18" xfId="43" applyNumberFormat="1" applyFont="1" applyFill="1" applyBorder="1" applyAlignment="1">
      <alignment horizontal="center" vertical="center"/>
    </xf>
    <xf numFmtId="1" fontId="19" fillId="16" borderId="18" xfId="43" applyNumberFormat="1" applyFont="1" applyFill="1" applyBorder="1" applyAlignment="1">
      <alignment horizontal="center" vertical="center"/>
    </xf>
    <xf numFmtId="20" fontId="19" fillId="16" borderId="18" xfId="43" applyNumberFormat="1" applyFont="1" applyFill="1" applyBorder="1" applyAlignment="1">
      <alignment horizontal="center" vertical="center"/>
    </xf>
    <xf numFmtId="3" fontId="35" fillId="7" borderId="18" xfId="42" applyNumberFormat="1" applyFont="1" applyFill="1" applyBorder="1" applyAlignment="1">
      <alignment vertical="center"/>
    </xf>
    <xf numFmtId="1" fontId="37" fillId="0" borderId="5" xfId="43" applyNumberFormat="1" applyFont="1" applyBorder="1" applyAlignment="1">
      <alignment horizontal="center" vertical="center"/>
    </xf>
    <xf numFmtId="20" fontId="37" fillId="0" borderId="5" xfId="43" applyNumberFormat="1" applyFont="1" applyBorder="1" applyAlignment="1">
      <alignment horizontal="center" vertical="center"/>
    </xf>
    <xf numFmtId="14" fontId="15" fillId="7" borderId="10" xfId="42" applyNumberFormat="1" applyFont="1" applyFill="1" applyBorder="1" applyAlignment="1">
      <alignment vertical="center"/>
    </xf>
    <xf numFmtId="166" fontId="16" fillId="0" borderId="11" xfId="43" applyNumberFormat="1" applyFont="1" applyBorder="1" applyAlignment="1">
      <alignment horizontal="center" vertical="center"/>
    </xf>
    <xf numFmtId="167" fontId="16" fillId="0" borderId="11" xfId="43" applyNumberFormat="1" applyFont="1" applyBorder="1" applyAlignment="1">
      <alignment horizontal="center" vertical="center"/>
    </xf>
    <xf numFmtId="1" fontId="16" fillId="0" borderId="11" xfId="43" applyNumberFormat="1" applyFont="1" applyBorder="1" applyAlignment="1">
      <alignment horizontal="center" vertical="center"/>
    </xf>
    <xf numFmtId="1" fontId="19" fillId="0" borderId="11" xfId="43" applyNumberFormat="1" applyFont="1" applyBorder="1" applyAlignment="1">
      <alignment horizontal="center" vertical="center"/>
    </xf>
    <xf numFmtId="20" fontId="19" fillId="0" borderId="11" xfId="43" applyNumberFormat="1" applyFont="1" applyBorder="1" applyAlignment="1">
      <alignment horizontal="center" vertical="center"/>
    </xf>
    <xf numFmtId="166" fontId="16" fillId="0" borderId="18" xfId="43" applyNumberFormat="1" applyFont="1" applyBorder="1" applyAlignment="1">
      <alignment horizontal="center" vertical="center"/>
    </xf>
    <xf numFmtId="1" fontId="16" fillId="0" borderId="18" xfId="43" applyNumberFormat="1" applyFont="1" applyBorder="1" applyAlignment="1">
      <alignment horizontal="center" vertical="center"/>
    </xf>
    <xf numFmtId="20" fontId="19" fillId="0" borderId="18" xfId="43" applyNumberFormat="1" applyFont="1" applyBorder="1" applyAlignment="1">
      <alignment horizontal="center" vertical="center"/>
    </xf>
    <xf numFmtId="9" fontId="16" fillId="7" borderId="5" xfId="46" applyFont="1" applyFill="1" applyBorder="1" applyAlignment="1">
      <alignment vertical="center"/>
    </xf>
    <xf numFmtId="3" fontId="16" fillId="0" borderId="0" xfId="42" applyNumberFormat="1" applyFont="1" applyAlignment="1">
      <alignment vertical="center"/>
    </xf>
    <xf numFmtId="0" fontId="13" fillId="0" borderId="0" xfId="0" applyFont="1" applyAlignment="1">
      <alignment horizontal="left" indent="13"/>
    </xf>
    <xf numFmtId="0" fontId="23" fillId="7" borderId="0" xfId="0" applyFont="1" applyFill="1" applyAlignment="1">
      <alignment horizontal="left" indent="13"/>
    </xf>
    <xf numFmtId="0" fontId="40" fillId="7" borderId="19" xfId="0" applyFont="1" applyFill="1" applyBorder="1" applyAlignment="1">
      <alignment horizontal="center" vertical="top" wrapText="1"/>
    </xf>
    <xf numFmtId="0" fontId="40" fillId="7" borderId="20" xfId="0" applyFont="1" applyFill="1" applyBorder="1" applyAlignment="1">
      <alignment horizontal="center" vertical="top" wrapText="1"/>
    </xf>
    <xf numFmtId="0" fontId="12" fillId="7" borderId="21" xfId="0" applyFont="1" applyFill="1" applyBorder="1" applyAlignment="1">
      <alignment horizontal="left" vertical="top" wrapText="1"/>
    </xf>
    <xf numFmtId="0" fontId="40" fillId="7" borderId="22" xfId="0" applyFont="1" applyFill="1" applyBorder="1" applyAlignment="1">
      <alignment horizontal="center" vertical="top" wrapText="1"/>
    </xf>
    <xf numFmtId="0" fontId="40" fillId="7" borderId="23" xfId="0" applyFont="1" applyFill="1" applyBorder="1" applyAlignment="1">
      <alignment horizontal="center" vertical="top" wrapText="1"/>
    </xf>
    <xf numFmtId="0" fontId="40" fillId="7" borderId="24" xfId="0" applyFont="1" applyFill="1" applyBorder="1" applyAlignment="1">
      <alignment horizontal="left" vertical="top" wrapText="1"/>
    </xf>
    <xf numFmtId="0" fontId="40" fillId="7" borderId="25" xfId="0" applyFont="1" applyFill="1" applyBorder="1" applyAlignment="1">
      <alignment horizontal="center" vertical="top" wrapText="1"/>
    </xf>
    <xf numFmtId="0" fontId="40" fillId="7" borderId="26" xfId="0" applyFont="1" applyFill="1" applyBorder="1" applyAlignment="1">
      <alignment horizontal="center" vertical="top" wrapText="1"/>
    </xf>
    <xf numFmtId="0" fontId="42" fillId="7" borderId="0" xfId="0" applyFont="1" applyFill="1" applyAlignment="1">
      <alignment horizontal="left" indent="13"/>
    </xf>
    <xf numFmtId="0" fontId="39" fillId="0" borderId="0" xfId="0" applyFont="1" applyAlignment="1">
      <alignment horizontal="left" indent="13"/>
    </xf>
    <xf numFmtId="0" fontId="28" fillId="0" borderId="0" xfId="0" applyFont="1" applyAlignment="1" applyProtection="1">
      <alignment vertical="center"/>
      <protection hidden="1"/>
    </xf>
    <xf numFmtId="0" fontId="28" fillId="7" borderId="0" xfId="0" applyFont="1" applyFill="1" applyAlignment="1" applyProtection="1">
      <alignment vertical="center"/>
      <protection hidden="1"/>
    </xf>
    <xf numFmtId="0" fontId="38" fillId="0" borderId="0" xfId="0" applyFont="1" applyProtection="1">
      <protection hidden="1"/>
    </xf>
    <xf numFmtId="0" fontId="38" fillId="0" borderId="0" xfId="0" applyFont="1" applyAlignment="1" applyProtection="1">
      <alignment vertical="center"/>
      <protection hidden="1"/>
    </xf>
    <xf numFmtId="0" fontId="38" fillId="7" borderId="0" xfId="0" applyFont="1" applyFill="1" applyAlignment="1" applyProtection="1">
      <alignment vertical="center"/>
      <protection hidden="1"/>
    </xf>
    <xf numFmtId="167" fontId="26" fillId="0" borderId="0" xfId="43" applyNumberFormat="1" applyFont="1" applyAlignment="1" applyProtection="1">
      <alignment horizontal="center" vertical="center"/>
      <protection hidden="1"/>
    </xf>
    <xf numFmtId="167" fontId="25" fillId="0" borderId="0" xfId="43" applyNumberFormat="1" applyFont="1" applyAlignment="1" applyProtection="1">
      <alignment horizontal="center" vertical="center"/>
      <protection hidden="1"/>
    </xf>
    <xf numFmtId="0" fontId="25" fillId="0" borderId="0" xfId="0" applyFont="1" applyProtection="1">
      <protection hidden="1"/>
    </xf>
    <xf numFmtId="0" fontId="25" fillId="0" borderId="0" xfId="0" applyFont="1" applyAlignment="1" applyProtection="1">
      <alignment vertical="center"/>
      <protection hidden="1"/>
    </xf>
    <xf numFmtId="0" fontId="25" fillId="7" borderId="0" xfId="0" applyFont="1" applyFill="1" applyAlignment="1" applyProtection="1">
      <alignment vertical="center"/>
      <protection hidden="1"/>
    </xf>
    <xf numFmtId="20" fontId="26" fillId="0" borderId="0" xfId="43" applyNumberFormat="1" applyFont="1" applyAlignment="1" applyProtection="1">
      <alignment horizontal="center" vertical="center"/>
      <protection hidden="1"/>
    </xf>
    <xf numFmtId="168" fontId="24" fillId="7" borderId="0" xfId="43" applyNumberFormat="1" applyFont="1" applyFill="1" applyAlignment="1" applyProtection="1">
      <alignment vertical="center" wrapText="1"/>
      <protection hidden="1"/>
    </xf>
    <xf numFmtId="3" fontId="26" fillId="17" borderId="0" xfId="43" applyNumberFormat="1" applyFont="1" applyFill="1" applyAlignment="1" applyProtection="1">
      <alignment horizontal="center" vertical="center"/>
      <protection hidden="1"/>
    </xf>
    <xf numFmtId="3" fontId="26" fillId="18" borderId="0" xfId="43" applyNumberFormat="1" applyFont="1" applyFill="1" applyAlignment="1" applyProtection="1">
      <alignment horizontal="center" vertical="center"/>
      <protection hidden="1"/>
    </xf>
    <xf numFmtId="167" fontId="4" fillId="0" borderId="0" xfId="43" applyNumberFormat="1" applyFont="1" applyAlignment="1" applyProtection="1">
      <alignment horizontal="center" vertical="center"/>
      <protection hidden="1"/>
    </xf>
    <xf numFmtId="167" fontId="6" fillId="0" borderId="0" xfId="43" applyNumberFormat="1" applyFont="1" applyAlignment="1" applyProtection="1">
      <alignment horizontal="center" vertical="center"/>
      <protection hidden="1"/>
    </xf>
    <xf numFmtId="0" fontId="5" fillId="0" borderId="0" xfId="0" applyFont="1" applyAlignment="1" applyProtection="1">
      <alignment vertical="center"/>
      <protection hidden="1"/>
    </xf>
    <xf numFmtId="0" fontId="5" fillId="7" borderId="0" xfId="0" applyFont="1" applyFill="1" applyAlignment="1" applyProtection="1">
      <alignment vertical="center"/>
      <protection hidden="1"/>
    </xf>
    <xf numFmtId="20" fontId="7" fillId="0" borderId="0" xfId="43" applyNumberFormat="1" applyFont="1" applyAlignment="1" applyProtection="1">
      <alignment horizontal="center" vertical="center"/>
      <protection hidden="1"/>
    </xf>
    <xf numFmtId="4" fontId="7" fillId="7" borderId="0" xfId="43" applyNumberFormat="1" applyFont="1" applyFill="1" applyAlignment="1" applyProtection="1">
      <alignment horizontal="center" vertical="center"/>
      <protection hidden="1"/>
    </xf>
    <xf numFmtId="4" fontId="5" fillId="7" borderId="0" xfId="43" applyNumberFormat="1" applyFont="1" applyFill="1" applyAlignment="1" applyProtection="1">
      <alignment horizontal="center" vertical="center"/>
      <protection hidden="1"/>
    </xf>
    <xf numFmtId="20" fontId="7" fillId="5" borderId="0" xfId="43" applyNumberFormat="1" applyFont="1" applyFill="1" applyAlignment="1" applyProtection="1">
      <alignment horizontal="center" vertical="center"/>
      <protection hidden="1"/>
    </xf>
    <xf numFmtId="20" fontId="5" fillId="5" borderId="0" xfId="43" applyNumberFormat="1" applyFont="1" applyFill="1" applyAlignment="1" applyProtection="1">
      <alignment horizontal="center" vertical="center"/>
      <protection hidden="1"/>
    </xf>
    <xf numFmtId="3" fontId="4" fillId="17" borderId="0" xfId="43" applyNumberFormat="1" applyFont="1" applyFill="1" applyAlignment="1" applyProtection="1">
      <alignment horizontal="center" vertical="center"/>
      <protection hidden="1"/>
    </xf>
    <xf numFmtId="3" fontId="4" fillId="18" borderId="0" xfId="43" applyNumberFormat="1" applyFont="1" applyFill="1" applyAlignment="1" applyProtection="1">
      <alignment horizontal="center" vertical="center"/>
      <protection hidden="1"/>
    </xf>
    <xf numFmtId="0" fontId="5" fillId="0" borderId="0" xfId="0" applyFont="1" applyProtection="1">
      <protection hidden="1"/>
    </xf>
    <xf numFmtId="172" fontId="16" fillId="0" borderId="0" xfId="40" applyNumberFormat="1" applyFont="1" applyBorder="1" applyAlignment="1">
      <alignment vertical="center"/>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167" fontId="15" fillId="0" borderId="29" xfId="43" applyNumberFormat="1" applyFont="1" applyBorder="1" applyAlignment="1">
      <alignment horizontal="center" vertical="center" textRotation="90"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32"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34" xfId="39" applyNumberFormat="1" applyFont="1" applyFill="1" applyBorder="1" applyAlignment="1">
      <alignment horizontal="center" vertical="center" wrapText="1"/>
    </xf>
    <xf numFmtId="171" fontId="17" fillId="13" borderId="35" xfId="39" applyNumberFormat="1" applyFont="1" applyFill="1" applyBorder="1" applyAlignment="1">
      <alignment horizontal="center" vertical="center" wrapText="1"/>
    </xf>
    <xf numFmtId="0" fontId="15" fillId="0" borderId="0" xfId="43" applyFont="1" applyAlignment="1">
      <alignment horizontal="center" vertical="center" textRotation="90"/>
    </xf>
    <xf numFmtId="167" fontId="15" fillId="0" borderId="0" xfId="43" applyNumberFormat="1" applyFont="1" applyAlignment="1">
      <alignment horizontal="center" vertical="center" textRotation="90"/>
    </xf>
    <xf numFmtId="1" fontId="15" fillId="0" borderId="0" xfId="43" applyNumberFormat="1" applyFont="1" applyAlignment="1">
      <alignment horizontal="center" vertical="center" textRotation="90"/>
    </xf>
    <xf numFmtId="167" fontId="15" fillId="0" borderId="0" xfId="43" applyNumberFormat="1" applyFont="1" applyAlignment="1">
      <alignment horizontal="center" vertical="center" textRotation="90" wrapText="1"/>
    </xf>
    <xf numFmtId="171" fontId="17" fillId="13" borderId="36" xfId="39" applyNumberFormat="1" applyFont="1" applyFill="1" applyBorder="1" applyAlignment="1">
      <alignment horizontal="center" vertical="center" wrapText="1"/>
    </xf>
    <xf numFmtId="171" fontId="17" fillId="13" borderId="37" xfId="39" applyNumberFormat="1" applyFont="1" applyFill="1" applyBorder="1" applyAlignment="1">
      <alignment horizontal="center" vertical="center" wrapText="1"/>
    </xf>
    <xf numFmtId="173" fontId="16" fillId="0" borderId="5" xfId="43" applyNumberFormat="1" applyFont="1" applyBorder="1" applyAlignment="1">
      <alignment horizontal="center" vertical="center"/>
    </xf>
    <xf numFmtId="20" fontId="19" fillId="6" borderId="5" xfId="43" applyNumberFormat="1" applyFont="1" applyFill="1" applyBorder="1" applyAlignment="1">
      <alignment horizontal="center" vertical="center"/>
    </xf>
    <xf numFmtId="3" fontId="35" fillId="0" borderId="15" xfId="42" applyNumberFormat="1" applyFont="1" applyBorder="1" applyAlignment="1">
      <alignment vertical="center"/>
    </xf>
    <xf numFmtId="9" fontId="16" fillId="0" borderId="5" xfId="46" applyFont="1" applyFill="1" applyBorder="1" applyAlignment="1">
      <alignment vertical="center"/>
    </xf>
    <xf numFmtId="3" fontId="16" fillId="19" borderId="5" xfId="42" applyNumberFormat="1" applyFont="1" applyFill="1" applyBorder="1" applyAlignment="1">
      <alignment vertical="center"/>
    </xf>
    <xf numFmtId="173" fontId="36" fillId="16" borderId="5" xfId="43" applyNumberFormat="1" applyFont="1" applyFill="1" applyBorder="1" applyAlignment="1">
      <alignment horizontal="center" vertical="center"/>
    </xf>
    <xf numFmtId="3" fontId="36" fillId="0" borderId="5" xfId="42" applyNumberFormat="1" applyFont="1" applyBorder="1" applyAlignment="1">
      <alignment vertical="center"/>
    </xf>
    <xf numFmtId="3" fontId="36" fillId="0" borderId="15" xfId="42" applyNumberFormat="1" applyFont="1" applyBorder="1" applyAlignment="1">
      <alignment vertical="center"/>
    </xf>
    <xf numFmtId="9" fontId="15" fillId="0" borderId="5" xfId="46" applyFont="1" applyFill="1" applyBorder="1" applyAlignment="1">
      <alignment vertical="center"/>
    </xf>
    <xf numFmtId="3" fontId="15" fillId="7" borderId="5" xfId="42" applyNumberFormat="1" applyFont="1" applyFill="1" applyBorder="1" applyAlignment="1">
      <alignment vertical="center"/>
    </xf>
    <xf numFmtId="3" fontId="15" fillId="19" borderId="5" xfId="42" applyNumberFormat="1" applyFont="1" applyFill="1" applyBorder="1" applyAlignment="1">
      <alignment vertical="center"/>
    </xf>
    <xf numFmtId="3" fontId="17" fillId="14" borderId="5" xfId="42" applyNumberFormat="1" applyFont="1" applyFill="1" applyBorder="1" applyAlignment="1">
      <alignment vertical="center"/>
    </xf>
    <xf numFmtId="20" fontId="16" fillId="0" borderId="5" xfId="43" applyNumberFormat="1" applyFont="1" applyBorder="1" applyAlignment="1">
      <alignment horizontal="center" vertical="center"/>
    </xf>
    <xf numFmtId="14" fontId="15" fillId="6" borderId="7" xfId="42" applyNumberFormat="1" applyFont="1" applyFill="1" applyBorder="1" applyAlignment="1">
      <alignment vertical="center"/>
    </xf>
    <xf numFmtId="20" fontId="36" fillId="17" borderId="5" xfId="43" applyNumberFormat="1" applyFont="1" applyFill="1" applyBorder="1" applyAlignment="1">
      <alignment horizontal="center" vertical="center"/>
    </xf>
    <xf numFmtId="3" fontId="15" fillId="6" borderId="5" xfId="42" applyNumberFormat="1" applyFont="1" applyFill="1" applyBorder="1" applyAlignment="1">
      <alignment vertical="center"/>
    </xf>
    <xf numFmtId="9" fontId="15" fillId="6" borderId="5" xfId="46" applyFont="1" applyFill="1" applyBorder="1" applyAlignment="1">
      <alignment vertical="center"/>
    </xf>
    <xf numFmtId="3" fontId="16" fillId="20" borderId="0" xfId="42" applyNumberFormat="1" applyFont="1" applyFill="1" applyAlignment="1">
      <alignment vertical="center"/>
    </xf>
    <xf numFmtId="14" fontId="15" fillId="20" borderId="7" xfId="42" applyNumberFormat="1" applyFont="1" applyFill="1" applyBorder="1" applyAlignment="1">
      <alignment vertical="center"/>
    </xf>
    <xf numFmtId="173" fontId="36" fillId="20" borderId="5" xfId="43" applyNumberFormat="1" applyFont="1" applyFill="1" applyBorder="1" applyAlignment="1">
      <alignment horizontal="center" vertical="center"/>
    </xf>
    <xf numFmtId="166" fontId="36" fillId="20" borderId="5" xfId="43" applyNumberFormat="1" applyFont="1" applyFill="1" applyBorder="1" applyAlignment="1">
      <alignment horizontal="center" vertical="center"/>
    </xf>
    <xf numFmtId="167" fontId="36" fillId="20" borderId="5" xfId="43" applyNumberFormat="1" applyFont="1" applyFill="1" applyBorder="1" applyAlignment="1">
      <alignment horizontal="center" vertical="center"/>
    </xf>
    <xf numFmtId="1" fontId="36" fillId="20" borderId="5" xfId="43" applyNumberFormat="1" applyFont="1" applyFill="1" applyBorder="1" applyAlignment="1">
      <alignment horizontal="center" vertical="center"/>
    </xf>
    <xf numFmtId="1" fontId="19" fillId="20" borderId="5" xfId="43" applyNumberFormat="1" applyFont="1" applyFill="1" applyBorder="1" applyAlignment="1">
      <alignment horizontal="center" vertical="center"/>
    </xf>
    <xf numFmtId="20" fontId="19" fillId="20" borderId="5" xfId="43" applyNumberFormat="1" applyFont="1" applyFill="1" applyBorder="1" applyAlignment="1">
      <alignment horizontal="center" vertical="center"/>
    </xf>
    <xf numFmtId="20" fontId="36" fillId="20" borderId="5" xfId="43" applyNumberFormat="1" applyFont="1" applyFill="1" applyBorder="1" applyAlignment="1">
      <alignment horizontal="center" vertical="center"/>
    </xf>
    <xf numFmtId="3" fontId="15" fillId="20" borderId="5" xfId="42" applyNumberFormat="1" applyFont="1" applyFill="1" applyBorder="1" applyAlignment="1">
      <alignment vertical="center"/>
    </xf>
    <xf numFmtId="9" fontId="15" fillId="20" borderId="5" xfId="46" applyFont="1" applyFill="1" applyBorder="1" applyAlignment="1">
      <alignment vertical="center"/>
    </xf>
    <xf numFmtId="3" fontId="35" fillId="20" borderId="15" xfId="42" applyNumberFormat="1" applyFont="1" applyFill="1" applyBorder="1" applyAlignment="1">
      <alignment vertical="center"/>
    </xf>
    <xf numFmtId="3" fontId="16" fillId="20" borderId="5" xfId="42" applyNumberFormat="1" applyFont="1" applyFill="1" applyBorder="1" applyAlignment="1">
      <alignment vertical="center"/>
    </xf>
    <xf numFmtId="3" fontId="17" fillId="20" borderId="5" xfId="42" applyNumberFormat="1" applyFont="1" applyFill="1" applyBorder="1" applyAlignment="1">
      <alignment vertical="center"/>
    </xf>
    <xf numFmtId="3" fontId="17" fillId="20" borderId="6" xfId="42" applyNumberFormat="1" applyFont="1" applyFill="1" applyBorder="1" applyAlignment="1">
      <alignment vertical="center"/>
    </xf>
    <xf numFmtId="0" fontId="18" fillId="20" borderId="0" xfId="42" applyFont="1" applyFill="1" applyAlignment="1">
      <alignment vertical="center"/>
    </xf>
    <xf numFmtId="172" fontId="36" fillId="7" borderId="5" xfId="40" applyNumberFormat="1" applyFont="1" applyFill="1" applyBorder="1" applyAlignment="1">
      <alignment vertical="center"/>
    </xf>
    <xf numFmtId="9" fontId="15" fillId="7" borderId="5" xfId="46" applyFont="1" applyFill="1" applyBorder="1" applyAlignment="1">
      <alignment vertical="center"/>
    </xf>
    <xf numFmtId="3" fontId="19" fillId="7" borderId="5" xfId="42" applyNumberFormat="1" applyFont="1" applyFill="1" applyBorder="1" applyAlignment="1">
      <alignment vertical="center"/>
    </xf>
    <xf numFmtId="3" fontId="37" fillId="14" borderId="5" xfId="42" applyNumberFormat="1" applyFont="1" applyFill="1" applyBorder="1" applyAlignment="1">
      <alignment vertical="center"/>
    </xf>
    <xf numFmtId="172" fontId="35" fillId="7" borderId="5" xfId="40" applyNumberFormat="1" applyFont="1" applyFill="1" applyBorder="1" applyAlignment="1">
      <alignment vertical="center"/>
    </xf>
    <xf numFmtId="173" fontId="16" fillId="0" borderId="9" xfId="43" applyNumberFormat="1" applyFont="1" applyBorder="1" applyAlignment="1">
      <alignment horizontal="center" vertical="center"/>
    </xf>
    <xf numFmtId="20" fontId="16" fillId="0" borderId="9" xfId="43" applyNumberFormat="1" applyFont="1" applyBorder="1" applyAlignment="1">
      <alignment horizontal="center" vertical="center"/>
    </xf>
    <xf numFmtId="172" fontId="35" fillId="7" borderId="9" xfId="40" applyNumberFormat="1" applyFont="1" applyFill="1" applyBorder="1" applyAlignment="1">
      <alignment vertical="center"/>
    </xf>
    <xf numFmtId="3" fontId="35" fillId="0" borderId="38" xfId="42" applyNumberFormat="1" applyFont="1" applyBorder="1" applyAlignment="1">
      <alignment vertical="center"/>
    </xf>
    <xf numFmtId="9" fontId="16" fillId="7" borderId="9" xfId="46" applyFont="1" applyFill="1" applyBorder="1" applyAlignment="1">
      <alignment vertical="center"/>
    </xf>
    <xf numFmtId="3" fontId="16" fillId="19" borderId="9" xfId="42" applyNumberFormat="1" applyFont="1" applyFill="1" applyBorder="1" applyAlignment="1">
      <alignment vertical="center"/>
    </xf>
    <xf numFmtId="3" fontId="34" fillId="14" borderId="9" xfId="42" applyNumberFormat="1" applyFont="1" applyFill="1" applyBorder="1" applyAlignment="1">
      <alignment vertical="center"/>
    </xf>
    <xf numFmtId="3" fontId="17" fillId="15" borderId="39" xfId="42" applyNumberFormat="1" applyFont="1" applyFill="1" applyBorder="1" applyAlignment="1">
      <alignment vertical="center"/>
    </xf>
    <xf numFmtId="14" fontId="15" fillId="7" borderId="16" xfId="42" applyNumberFormat="1" applyFont="1" applyFill="1" applyBorder="1" applyAlignment="1">
      <alignment vertical="center"/>
    </xf>
    <xf numFmtId="173" fontId="36" fillId="16" borderId="4" xfId="43" applyNumberFormat="1" applyFont="1" applyFill="1" applyBorder="1" applyAlignment="1">
      <alignment horizontal="center" vertical="center"/>
    </xf>
    <xf numFmtId="166" fontId="36" fillId="16" borderId="4" xfId="43" applyNumberFormat="1" applyFont="1" applyFill="1" applyBorder="1" applyAlignment="1">
      <alignment horizontal="center" vertical="center"/>
    </xf>
    <xf numFmtId="167" fontId="36" fillId="16" borderId="4" xfId="43" applyNumberFormat="1" applyFont="1" applyFill="1" applyBorder="1" applyAlignment="1">
      <alignment horizontal="center" vertical="center"/>
    </xf>
    <xf numFmtId="1" fontId="36" fillId="16" borderId="4" xfId="43" applyNumberFormat="1" applyFont="1" applyFill="1" applyBorder="1" applyAlignment="1">
      <alignment horizontal="center" vertical="center"/>
    </xf>
    <xf numFmtId="1" fontId="19" fillId="16" borderId="4" xfId="43" applyNumberFormat="1" applyFont="1" applyFill="1" applyBorder="1" applyAlignment="1">
      <alignment horizontal="center" vertical="center"/>
    </xf>
    <xf numFmtId="20" fontId="19" fillId="16" borderId="4" xfId="43" applyNumberFormat="1" applyFont="1" applyFill="1" applyBorder="1" applyAlignment="1">
      <alignment horizontal="center" vertical="center"/>
    </xf>
    <xf numFmtId="20" fontId="36" fillId="17" borderId="4" xfId="43" applyNumberFormat="1" applyFont="1" applyFill="1" applyBorder="1" applyAlignment="1">
      <alignment horizontal="center" vertical="center"/>
    </xf>
    <xf numFmtId="172" fontId="36" fillId="7" borderId="4" xfId="40" applyNumberFormat="1" applyFont="1" applyFill="1" applyBorder="1" applyAlignment="1">
      <alignment vertical="center"/>
    </xf>
    <xf numFmtId="3" fontId="36" fillId="0" borderId="4" xfId="42" applyNumberFormat="1" applyFont="1" applyBorder="1" applyAlignment="1">
      <alignment vertical="center"/>
    </xf>
    <xf numFmtId="9" fontId="15" fillId="7" borderId="4" xfId="46" applyFont="1" applyFill="1" applyBorder="1" applyAlignment="1">
      <alignment vertical="center"/>
    </xf>
    <xf numFmtId="3" fontId="37" fillId="7" borderId="5" xfId="42" applyNumberFormat="1" applyFont="1" applyFill="1" applyBorder="1" applyAlignment="1">
      <alignment vertical="center"/>
    </xf>
    <xf numFmtId="3" fontId="15" fillId="19" borderId="4" xfId="42" applyNumberFormat="1" applyFont="1" applyFill="1" applyBorder="1" applyAlignment="1">
      <alignment vertical="center"/>
    </xf>
    <xf numFmtId="3" fontId="36" fillId="7" borderId="4" xfId="42" applyNumberFormat="1" applyFont="1" applyFill="1" applyBorder="1" applyAlignment="1">
      <alignment vertical="center"/>
    </xf>
    <xf numFmtId="3" fontId="17" fillId="14" borderId="4" xfId="42" applyNumberFormat="1" applyFont="1" applyFill="1" applyBorder="1" applyAlignment="1">
      <alignment vertical="center"/>
    </xf>
    <xf numFmtId="3" fontId="17" fillId="15" borderId="40" xfId="42" applyNumberFormat="1" applyFont="1" applyFill="1" applyBorder="1" applyAlignment="1">
      <alignment vertical="center"/>
    </xf>
    <xf numFmtId="173" fontId="16" fillId="0" borderId="18" xfId="43" applyNumberFormat="1" applyFont="1" applyBorder="1" applyAlignment="1">
      <alignment horizontal="center" vertical="center"/>
    </xf>
    <xf numFmtId="167" fontId="16" fillId="0" borderId="18" xfId="43" applyNumberFormat="1" applyFont="1" applyBorder="1" applyAlignment="1">
      <alignment horizontal="center" vertical="center"/>
    </xf>
    <xf numFmtId="1" fontId="19" fillId="0" borderId="18" xfId="43" applyNumberFormat="1" applyFont="1" applyBorder="1" applyAlignment="1">
      <alignment horizontal="center" vertical="center"/>
    </xf>
    <xf numFmtId="20" fontId="16" fillId="0" borderId="18" xfId="43" applyNumberFormat="1" applyFont="1" applyBorder="1" applyAlignment="1">
      <alignment horizontal="center" vertical="center"/>
    </xf>
    <xf numFmtId="172" fontId="35" fillId="7" borderId="18" xfId="40" applyNumberFormat="1" applyFont="1" applyFill="1" applyBorder="1" applyAlignment="1">
      <alignment vertical="center"/>
    </xf>
    <xf numFmtId="3" fontId="35" fillId="0" borderId="41" xfId="42" applyNumberFormat="1" applyFont="1" applyBorder="1" applyAlignment="1">
      <alignment vertical="center"/>
    </xf>
    <xf numFmtId="9" fontId="16" fillId="7" borderId="18" xfId="46" applyFont="1" applyFill="1" applyBorder="1" applyAlignment="1">
      <alignment vertical="center"/>
    </xf>
    <xf numFmtId="172" fontId="36" fillId="7" borderId="18" xfId="40" applyNumberFormat="1" applyFont="1" applyFill="1" applyBorder="1" applyAlignment="1">
      <alignment vertical="center"/>
    </xf>
    <xf numFmtId="3" fontId="16" fillId="19" borderId="18" xfId="42" applyNumberFormat="1" applyFont="1" applyFill="1" applyBorder="1" applyAlignment="1">
      <alignment vertical="center"/>
    </xf>
    <xf numFmtId="3" fontId="34" fillId="14" borderId="18" xfId="42" applyNumberFormat="1" applyFont="1" applyFill="1" applyBorder="1" applyAlignment="1">
      <alignment vertical="center"/>
    </xf>
    <xf numFmtId="3" fontId="17" fillId="15" borderId="42" xfId="42" applyNumberFormat="1" applyFont="1" applyFill="1" applyBorder="1" applyAlignment="1">
      <alignment vertical="center"/>
    </xf>
    <xf numFmtId="173" fontId="16" fillId="0" borderId="15" xfId="43" applyNumberFormat="1" applyFont="1" applyBorder="1" applyAlignment="1">
      <alignment horizontal="center" vertical="center"/>
    </xf>
    <xf numFmtId="20" fontId="16" fillId="0" borderId="15" xfId="43" applyNumberFormat="1" applyFont="1" applyBorder="1" applyAlignment="1">
      <alignment horizontal="center" vertical="center"/>
    </xf>
    <xf numFmtId="172" fontId="35" fillId="7" borderId="15" xfId="40" applyNumberFormat="1" applyFont="1" applyFill="1" applyBorder="1" applyAlignment="1">
      <alignment vertical="center"/>
    </xf>
    <xf numFmtId="9" fontId="16" fillId="7" borderId="15" xfId="46" applyFont="1" applyFill="1" applyBorder="1" applyAlignment="1">
      <alignment vertical="center"/>
    </xf>
    <xf numFmtId="3" fontId="16" fillId="19" borderId="15" xfId="42" applyNumberFormat="1" applyFont="1" applyFill="1" applyBorder="1" applyAlignment="1">
      <alignment vertical="center"/>
    </xf>
    <xf numFmtId="3" fontId="34" fillId="14" borderId="15" xfId="42" applyNumberFormat="1" applyFont="1" applyFill="1" applyBorder="1" applyAlignment="1">
      <alignment vertical="center"/>
    </xf>
    <xf numFmtId="3" fontId="17" fillId="15" borderId="43" xfId="42" applyNumberFormat="1" applyFont="1" applyFill="1" applyBorder="1" applyAlignment="1">
      <alignment vertical="center"/>
    </xf>
    <xf numFmtId="14" fontId="15" fillId="7" borderId="44" xfId="42" applyNumberFormat="1" applyFont="1" applyFill="1" applyBorder="1" applyAlignment="1">
      <alignment vertical="center"/>
    </xf>
    <xf numFmtId="173" fontId="36" fillId="16" borderId="45" xfId="43" applyNumberFormat="1" applyFont="1" applyFill="1" applyBorder="1" applyAlignment="1">
      <alignment horizontal="center" vertical="center"/>
    </xf>
    <xf numFmtId="166" fontId="36" fillId="16" borderId="45" xfId="43" applyNumberFormat="1" applyFont="1" applyFill="1" applyBorder="1" applyAlignment="1">
      <alignment horizontal="center" vertical="center"/>
    </xf>
    <xf numFmtId="167" fontId="36" fillId="16" borderId="45" xfId="43" applyNumberFormat="1" applyFont="1" applyFill="1" applyBorder="1" applyAlignment="1">
      <alignment horizontal="center" vertical="center"/>
    </xf>
    <xf numFmtId="1" fontId="36" fillId="16" borderId="45" xfId="43" applyNumberFormat="1" applyFont="1" applyFill="1" applyBorder="1" applyAlignment="1">
      <alignment horizontal="center" vertical="center"/>
    </xf>
    <xf numFmtId="1" fontId="19" fillId="16" borderId="45" xfId="43" applyNumberFormat="1" applyFont="1" applyFill="1" applyBorder="1" applyAlignment="1">
      <alignment horizontal="center" vertical="center"/>
    </xf>
    <xf numFmtId="20" fontId="19" fillId="16" borderId="45" xfId="43" applyNumberFormat="1" applyFont="1" applyFill="1" applyBorder="1" applyAlignment="1">
      <alignment horizontal="center" vertical="center"/>
    </xf>
    <xf numFmtId="20" fontId="36" fillId="17" borderId="45" xfId="43" applyNumberFormat="1" applyFont="1" applyFill="1" applyBorder="1" applyAlignment="1">
      <alignment horizontal="center" vertical="center"/>
    </xf>
    <xf numFmtId="172" fontId="36" fillId="7" borderId="45" xfId="40" applyNumberFormat="1" applyFont="1" applyFill="1" applyBorder="1" applyAlignment="1">
      <alignment vertical="center"/>
    </xf>
    <xf numFmtId="3" fontId="36" fillId="0" borderId="46" xfId="42" applyNumberFormat="1" applyFont="1" applyBorder="1" applyAlignment="1">
      <alignment vertical="center"/>
    </xf>
    <xf numFmtId="9" fontId="15" fillId="7" borderId="45" xfId="46" applyFont="1" applyFill="1" applyBorder="1" applyAlignment="1">
      <alignment vertical="center"/>
    </xf>
    <xf numFmtId="3" fontId="15" fillId="19" borderId="45" xfId="42" applyNumberFormat="1" applyFont="1" applyFill="1" applyBorder="1" applyAlignment="1">
      <alignment vertical="center"/>
    </xf>
    <xf numFmtId="3" fontId="36" fillId="7" borderId="45" xfId="42" applyNumberFormat="1" applyFont="1" applyFill="1" applyBorder="1" applyAlignment="1">
      <alignment vertical="center"/>
    </xf>
    <xf numFmtId="3" fontId="36" fillId="7" borderId="47" xfId="42" applyNumberFormat="1" applyFont="1" applyFill="1" applyBorder="1" applyAlignment="1">
      <alignment vertical="center"/>
    </xf>
    <xf numFmtId="173" fontId="36" fillId="16" borderId="11" xfId="43" applyNumberFormat="1" applyFont="1" applyFill="1" applyBorder="1" applyAlignment="1">
      <alignment horizontal="center" vertical="center"/>
    </xf>
    <xf numFmtId="20" fontId="36" fillId="17" borderId="11" xfId="43" applyNumberFormat="1" applyFont="1" applyFill="1" applyBorder="1" applyAlignment="1">
      <alignment horizontal="center" vertical="center"/>
    </xf>
    <xf numFmtId="172" fontId="36" fillId="7" borderId="11" xfId="40" applyNumberFormat="1" applyFont="1" applyFill="1" applyBorder="1" applyAlignment="1">
      <alignment vertical="center"/>
    </xf>
    <xf numFmtId="9" fontId="15" fillId="7" borderId="11" xfId="46" applyFont="1" applyFill="1" applyBorder="1" applyAlignment="1">
      <alignment vertical="center"/>
    </xf>
    <xf numFmtId="3" fontId="15" fillId="19" borderId="11" xfId="42" applyNumberFormat="1" applyFont="1" applyFill="1" applyBorder="1" applyAlignment="1">
      <alignment vertical="center"/>
    </xf>
    <xf numFmtId="3" fontId="36" fillId="7" borderId="11" xfId="42" applyNumberFormat="1" applyFont="1" applyFill="1" applyBorder="1" applyAlignment="1">
      <alignment vertical="center"/>
    </xf>
    <xf numFmtId="3" fontId="36" fillId="7" borderId="48" xfId="42" applyNumberFormat="1" applyFont="1" applyFill="1" applyBorder="1" applyAlignment="1">
      <alignment vertical="center"/>
    </xf>
    <xf numFmtId="14" fontId="16" fillId="7" borderId="49" xfId="42" applyNumberFormat="1" applyFont="1" applyFill="1" applyBorder="1" applyAlignment="1">
      <alignment vertical="center"/>
    </xf>
    <xf numFmtId="173" fontId="16" fillId="0" borderId="50" xfId="43" applyNumberFormat="1" applyFont="1" applyBorder="1" applyAlignment="1">
      <alignment horizontal="center" vertical="center"/>
    </xf>
    <xf numFmtId="166" fontId="16" fillId="0" borderId="50" xfId="43" applyNumberFormat="1" applyFont="1" applyBorder="1" applyAlignment="1">
      <alignment horizontal="center" vertical="center"/>
    </xf>
    <xf numFmtId="167" fontId="16" fillId="0" borderId="50" xfId="43" applyNumberFormat="1" applyFont="1" applyBorder="1" applyAlignment="1">
      <alignment horizontal="center" vertical="center"/>
    </xf>
    <xf numFmtId="1" fontId="16" fillId="0" borderId="50" xfId="43" applyNumberFormat="1" applyFont="1" applyBorder="1" applyAlignment="1">
      <alignment horizontal="center" vertical="center"/>
    </xf>
    <xf numFmtId="1" fontId="19" fillId="0" borderId="50" xfId="43" applyNumberFormat="1" applyFont="1" applyBorder="1" applyAlignment="1">
      <alignment horizontal="center" vertical="center"/>
    </xf>
    <xf numFmtId="20" fontId="19" fillId="0" borderId="50" xfId="43" applyNumberFormat="1" applyFont="1" applyBorder="1" applyAlignment="1">
      <alignment horizontal="center" vertical="center"/>
    </xf>
    <xf numFmtId="20" fontId="16" fillId="0" borderId="50" xfId="43" applyNumberFormat="1" applyFont="1" applyBorder="1" applyAlignment="1">
      <alignment horizontal="center" vertical="center"/>
    </xf>
    <xf numFmtId="172" fontId="35" fillId="7" borderId="50" xfId="40" applyNumberFormat="1" applyFont="1" applyFill="1" applyBorder="1" applyAlignment="1">
      <alignment vertical="center"/>
    </xf>
    <xf numFmtId="3" fontId="35" fillId="0" borderId="51" xfId="42" applyNumberFormat="1" applyFont="1" applyBorder="1" applyAlignment="1">
      <alignment vertical="center"/>
    </xf>
    <xf numFmtId="9" fontId="16" fillId="7" borderId="50" xfId="46" applyFont="1" applyFill="1" applyBorder="1" applyAlignment="1">
      <alignment vertical="center"/>
    </xf>
    <xf numFmtId="3" fontId="16" fillId="19" borderId="50" xfId="42" applyNumberFormat="1" applyFont="1" applyFill="1" applyBorder="1" applyAlignment="1">
      <alignment vertical="center"/>
    </xf>
    <xf numFmtId="3" fontId="35" fillId="7" borderId="50" xfId="42" applyNumberFormat="1" applyFont="1" applyFill="1" applyBorder="1" applyAlignment="1">
      <alignment vertical="center"/>
    </xf>
    <xf numFmtId="3" fontId="35" fillId="7" borderId="52" xfId="42" applyNumberFormat="1" applyFont="1" applyFill="1" applyBorder="1" applyAlignment="1">
      <alignment vertical="center"/>
    </xf>
    <xf numFmtId="14" fontId="16" fillId="7" borderId="44" xfId="42" applyNumberFormat="1" applyFont="1" applyFill="1" applyBorder="1" applyAlignment="1">
      <alignment vertical="center"/>
    </xf>
    <xf numFmtId="173" fontId="16" fillId="0" borderId="45" xfId="43" applyNumberFormat="1" applyFont="1" applyBorder="1" applyAlignment="1">
      <alignment horizontal="center" vertical="center"/>
    </xf>
    <xf numFmtId="166" fontId="16" fillId="0" borderId="45" xfId="43" applyNumberFormat="1" applyFont="1" applyBorder="1" applyAlignment="1">
      <alignment horizontal="center" vertical="center"/>
    </xf>
    <xf numFmtId="167" fontId="16" fillId="0" borderId="45" xfId="43" applyNumberFormat="1" applyFont="1" applyBorder="1" applyAlignment="1">
      <alignment horizontal="center" vertical="center"/>
    </xf>
    <xf numFmtId="1" fontId="16" fillId="0" borderId="45" xfId="43" applyNumberFormat="1" applyFont="1" applyBorder="1" applyAlignment="1">
      <alignment horizontal="center" vertical="center"/>
    </xf>
    <xf numFmtId="1" fontId="19" fillId="0" borderId="45" xfId="43" applyNumberFormat="1" applyFont="1" applyBorder="1" applyAlignment="1">
      <alignment horizontal="center" vertical="center"/>
    </xf>
    <xf numFmtId="20" fontId="19" fillId="0" borderId="45" xfId="43" applyNumberFormat="1" applyFont="1" applyBorder="1" applyAlignment="1">
      <alignment horizontal="center" vertical="center"/>
    </xf>
    <xf numFmtId="20" fontId="16" fillId="0" borderId="45" xfId="43" applyNumberFormat="1" applyFont="1" applyBorder="1" applyAlignment="1">
      <alignment horizontal="center" vertical="center"/>
    </xf>
    <xf numFmtId="172" fontId="35" fillId="7" borderId="45" xfId="40" applyNumberFormat="1" applyFont="1" applyFill="1" applyBorder="1" applyAlignment="1">
      <alignment vertical="center"/>
    </xf>
    <xf numFmtId="3" fontId="35" fillId="0" borderId="46" xfId="42" applyNumberFormat="1" applyFont="1" applyBorder="1" applyAlignment="1">
      <alignment vertical="center"/>
    </xf>
    <xf numFmtId="9" fontId="16" fillId="7" borderId="45" xfId="46" applyFont="1" applyFill="1" applyBorder="1" applyAlignment="1">
      <alignment vertical="center"/>
    </xf>
    <xf numFmtId="3" fontId="16" fillId="19" borderId="45" xfId="42" applyNumberFormat="1" applyFont="1" applyFill="1" applyBorder="1" applyAlignment="1">
      <alignment vertical="center"/>
    </xf>
    <xf numFmtId="3" fontId="35" fillId="7" borderId="45" xfId="42" applyNumberFormat="1" applyFont="1" applyFill="1" applyBorder="1" applyAlignment="1">
      <alignment vertical="center"/>
    </xf>
    <xf numFmtId="3" fontId="35" fillId="7" borderId="47" xfId="42" applyNumberFormat="1" applyFont="1" applyFill="1" applyBorder="1" applyAlignment="1">
      <alignment vertical="center"/>
    </xf>
    <xf numFmtId="14" fontId="15" fillId="7" borderId="49" xfId="42" applyNumberFormat="1" applyFont="1" applyFill="1" applyBorder="1" applyAlignment="1">
      <alignment vertical="center"/>
    </xf>
    <xf numFmtId="173" fontId="36" fillId="16" borderId="50" xfId="43" applyNumberFormat="1" applyFont="1" applyFill="1" applyBorder="1" applyAlignment="1">
      <alignment horizontal="center" vertical="center"/>
    </xf>
    <xf numFmtId="166" fontId="36" fillId="16" borderId="50" xfId="43" applyNumberFormat="1" applyFont="1" applyFill="1" applyBorder="1" applyAlignment="1">
      <alignment horizontal="center" vertical="center"/>
    </xf>
    <xf numFmtId="167" fontId="36" fillId="16" borderId="50" xfId="43" applyNumberFormat="1" applyFont="1" applyFill="1" applyBorder="1" applyAlignment="1">
      <alignment horizontal="center" vertical="center"/>
    </xf>
    <xf numFmtId="1" fontId="36" fillId="16" borderId="50" xfId="43" applyNumberFormat="1" applyFont="1" applyFill="1" applyBorder="1" applyAlignment="1">
      <alignment horizontal="center" vertical="center"/>
    </xf>
    <xf numFmtId="1" fontId="19" fillId="16" borderId="50" xfId="43" applyNumberFormat="1" applyFont="1" applyFill="1" applyBorder="1" applyAlignment="1">
      <alignment horizontal="center" vertical="center"/>
    </xf>
    <xf numFmtId="20" fontId="19" fillId="16" borderId="50" xfId="43" applyNumberFormat="1" applyFont="1" applyFill="1" applyBorder="1" applyAlignment="1">
      <alignment horizontal="center" vertical="center"/>
    </xf>
    <xf numFmtId="20" fontId="36" fillId="17" borderId="50" xfId="43" applyNumberFormat="1" applyFont="1" applyFill="1" applyBorder="1" applyAlignment="1">
      <alignment horizontal="center" vertical="center"/>
    </xf>
    <xf numFmtId="172" fontId="36" fillId="7" borderId="50" xfId="40" applyNumberFormat="1" applyFont="1" applyFill="1" applyBorder="1" applyAlignment="1">
      <alignment vertical="center"/>
    </xf>
    <xf numFmtId="3" fontId="36" fillId="0" borderId="53" xfId="42" applyNumberFormat="1" applyFont="1" applyBorder="1" applyAlignment="1">
      <alignment vertical="center"/>
    </xf>
    <xf numFmtId="9" fontId="15" fillId="7" borderId="50" xfId="46" applyFont="1" applyFill="1" applyBorder="1" applyAlignment="1">
      <alignment vertical="center"/>
    </xf>
    <xf numFmtId="3" fontId="15" fillId="19" borderId="50" xfId="42" applyNumberFormat="1" applyFont="1" applyFill="1" applyBorder="1" applyAlignment="1">
      <alignment vertical="center"/>
    </xf>
    <xf numFmtId="3" fontId="36" fillId="7" borderId="50" xfId="42" applyNumberFormat="1" applyFont="1" applyFill="1" applyBorder="1" applyAlignment="1">
      <alignment vertical="center"/>
    </xf>
    <xf numFmtId="3" fontId="36" fillId="7" borderId="52" xfId="42" applyNumberFormat="1" applyFont="1" applyFill="1" applyBorder="1" applyAlignment="1">
      <alignment vertical="center"/>
    </xf>
    <xf numFmtId="14" fontId="16" fillId="7" borderId="54" xfId="42" applyNumberFormat="1" applyFont="1" applyFill="1" applyBorder="1" applyAlignment="1">
      <alignment vertical="center"/>
    </xf>
    <xf numFmtId="173" fontId="16" fillId="0" borderId="55" xfId="43" applyNumberFormat="1" applyFont="1" applyBorder="1" applyAlignment="1">
      <alignment horizontal="center" vertical="center"/>
    </xf>
    <xf numFmtId="166" fontId="16" fillId="0" borderId="55" xfId="43" applyNumberFormat="1" applyFont="1" applyBorder="1" applyAlignment="1">
      <alignment horizontal="center" vertical="center"/>
    </xf>
    <xf numFmtId="167" fontId="16" fillId="0" borderId="55" xfId="43" applyNumberFormat="1" applyFont="1" applyBorder="1" applyAlignment="1">
      <alignment horizontal="center" vertical="center"/>
    </xf>
    <xf numFmtId="1" fontId="16" fillId="0" borderId="55" xfId="43" applyNumberFormat="1" applyFont="1" applyBorder="1" applyAlignment="1">
      <alignment horizontal="center" vertical="center"/>
    </xf>
    <xf numFmtId="1" fontId="19" fillId="0" borderId="55" xfId="43" applyNumberFormat="1" applyFont="1" applyBorder="1" applyAlignment="1">
      <alignment horizontal="center" vertical="center"/>
    </xf>
    <xf numFmtId="20" fontId="19" fillId="0" borderId="55" xfId="43" applyNumberFormat="1" applyFont="1" applyBorder="1" applyAlignment="1">
      <alignment horizontal="center" vertical="center"/>
    </xf>
    <xf numFmtId="20" fontId="16" fillId="0" borderId="55" xfId="43" applyNumberFormat="1" applyFont="1" applyBorder="1" applyAlignment="1">
      <alignment horizontal="center" vertical="center"/>
    </xf>
    <xf numFmtId="172" fontId="35" fillId="7" borderId="55" xfId="40" applyNumberFormat="1" applyFont="1" applyFill="1" applyBorder="1" applyAlignment="1">
      <alignment vertical="center"/>
    </xf>
    <xf numFmtId="3" fontId="35" fillId="0" borderId="55" xfId="42" applyNumberFormat="1" applyFont="1" applyBorder="1" applyAlignment="1">
      <alignment vertical="center"/>
    </xf>
    <xf numFmtId="9" fontId="16" fillId="7" borderId="55" xfId="46" applyFont="1" applyFill="1" applyBorder="1" applyAlignment="1">
      <alignment vertical="center"/>
    </xf>
    <xf numFmtId="3" fontId="16" fillId="19" borderId="55" xfId="42" applyNumberFormat="1" applyFont="1" applyFill="1" applyBorder="1" applyAlignment="1">
      <alignment vertical="center"/>
    </xf>
    <xf numFmtId="3" fontId="35" fillId="7" borderId="55" xfId="42" applyNumberFormat="1" applyFont="1" applyFill="1" applyBorder="1" applyAlignment="1">
      <alignment vertical="center"/>
    </xf>
    <xf numFmtId="1" fontId="19" fillId="16" borderId="11" xfId="43" quotePrefix="1" applyNumberFormat="1" applyFont="1" applyFill="1" applyBorder="1" applyAlignment="1">
      <alignment horizontal="center" vertical="center"/>
    </xf>
    <xf numFmtId="172" fontId="35" fillId="7" borderId="38" xfId="40" applyNumberFormat="1" applyFont="1" applyFill="1" applyBorder="1" applyAlignment="1">
      <alignment vertical="center"/>
    </xf>
    <xf numFmtId="173" fontId="16" fillId="0" borderId="4" xfId="43" applyNumberFormat="1" applyFont="1" applyBorder="1" applyAlignment="1">
      <alignment horizontal="center" vertical="center"/>
    </xf>
    <xf numFmtId="172" fontId="35" fillId="7" borderId="4" xfId="40" applyNumberFormat="1" applyFont="1" applyFill="1" applyBorder="1" applyAlignment="1">
      <alignment vertical="center"/>
    </xf>
    <xf numFmtId="3" fontId="35" fillId="0" borderId="4" xfId="42" applyNumberFormat="1" applyFont="1" applyBorder="1" applyAlignment="1">
      <alignment vertical="center"/>
    </xf>
    <xf numFmtId="9" fontId="16" fillId="7" borderId="4" xfId="46" applyFont="1" applyFill="1" applyBorder="1" applyAlignment="1">
      <alignment vertical="center"/>
    </xf>
    <xf numFmtId="3" fontId="16" fillId="19" borderId="4" xfId="42" applyNumberFormat="1" applyFont="1" applyFill="1" applyBorder="1" applyAlignment="1">
      <alignment vertical="center"/>
    </xf>
    <xf numFmtId="3" fontId="35" fillId="7" borderId="40" xfId="42" applyNumberFormat="1" applyFont="1" applyFill="1" applyBorder="1" applyAlignment="1">
      <alignment vertical="center"/>
    </xf>
    <xf numFmtId="3" fontId="34" fillId="14" borderId="56" xfId="42" applyNumberFormat="1" applyFont="1" applyFill="1" applyBorder="1" applyAlignment="1">
      <alignment vertical="center"/>
    </xf>
    <xf numFmtId="3" fontId="35" fillId="7" borderId="6" xfId="42" applyNumberFormat="1" applyFont="1" applyFill="1" applyBorder="1" applyAlignment="1">
      <alignment vertical="center"/>
    </xf>
    <xf numFmtId="20" fontId="36" fillId="17" borderId="15" xfId="43" applyNumberFormat="1" applyFont="1" applyFill="1" applyBorder="1" applyAlignment="1">
      <alignment horizontal="center" vertical="center"/>
    </xf>
    <xf numFmtId="172" fontId="36" fillId="7" borderId="15" xfId="40" applyNumberFormat="1" applyFont="1" applyFill="1" applyBorder="1" applyAlignment="1">
      <alignment vertical="center"/>
    </xf>
    <xf numFmtId="3" fontId="36" fillId="7" borderId="6" xfId="42" applyNumberFormat="1" applyFont="1" applyFill="1" applyBorder="1" applyAlignment="1">
      <alignment vertical="center"/>
    </xf>
    <xf numFmtId="3" fontId="17" fillId="14" borderId="56" xfId="42" applyNumberFormat="1" applyFont="1" applyFill="1" applyBorder="1" applyAlignment="1">
      <alignment vertical="center"/>
    </xf>
    <xf numFmtId="14" fontId="15" fillId="7" borderId="17" xfId="42" applyNumberFormat="1" applyFont="1" applyFill="1" applyBorder="1" applyAlignment="1">
      <alignment vertical="center"/>
    </xf>
    <xf numFmtId="173" fontId="36" fillId="16" borderId="18" xfId="43" applyNumberFormat="1" applyFont="1" applyFill="1" applyBorder="1" applyAlignment="1">
      <alignment horizontal="center" vertical="center"/>
    </xf>
    <xf numFmtId="172" fontId="36" fillId="7" borderId="41" xfId="40" applyNumberFormat="1" applyFont="1" applyFill="1" applyBorder="1" applyAlignment="1">
      <alignment vertical="center"/>
    </xf>
    <xf numFmtId="3" fontId="36" fillId="0" borderId="41" xfId="42" applyNumberFormat="1" applyFont="1" applyBorder="1" applyAlignment="1">
      <alignment vertical="center"/>
    </xf>
    <xf numFmtId="9" fontId="15" fillId="7" borderId="18" xfId="46" applyFont="1" applyFill="1" applyBorder="1" applyAlignment="1">
      <alignment vertical="center"/>
    </xf>
    <xf numFmtId="3" fontId="15" fillId="19" borderId="18" xfId="42" applyNumberFormat="1" applyFont="1" applyFill="1" applyBorder="1" applyAlignment="1">
      <alignment vertical="center"/>
    </xf>
    <xf numFmtId="3" fontId="36" fillId="7" borderId="18" xfId="42" applyNumberFormat="1" applyFont="1" applyFill="1" applyBorder="1" applyAlignment="1">
      <alignment vertical="center"/>
    </xf>
    <xf numFmtId="3" fontId="36" fillId="7" borderId="42" xfId="42" applyNumberFormat="1" applyFont="1" applyFill="1" applyBorder="1" applyAlignment="1">
      <alignment vertical="center"/>
    </xf>
    <xf numFmtId="3" fontId="36" fillId="7" borderId="40" xfId="42" applyNumberFormat="1" applyFont="1" applyFill="1" applyBorder="1" applyAlignment="1">
      <alignment vertical="center"/>
    </xf>
    <xf numFmtId="14" fontId="16" fillId="7" borderId="57" xfId="42" applyNumberFormat="1" applyFont="1" applyFill="1" applyBorder="1" applyAlignment="1">
      <alignment vertical="center"/>
    </xf>
    <xf numFmtId="173" fontId="16" fillId="0" borderId="41" xfId="43" applyNumberFormat="1" applyFont="1" applyBorder="1" applyAlignment="1">
      <alignment horizontal="center" vertical="center"/>
    </xf>
    <xf numFmtId="166" fontId="16" fillId="0" borderId="41" xfId="43" applyNumberFormat="1" applyFont="1" applyBorder="1" applyAlignment="1">
      <alignment horizontal="center" vertical="center"/>
    </xf>
    <xf numFmtId="167" fontId="16" fillId="0" borderId="41" xfId="43" applyNumberFormat="1" applyFont="1" applyBorder="1" applyAlignment="1">
      <alignment horizontal="center" vertical="center"/>
    </xf>
    <xf numFmtId="1" fontId="16" fillId="0" borderId="41" xfId="43" applyNumberFormat="1" applyFont="1" applyBorder="1" applyAlignment="1">
      <alignment horizontal="center" vertical="center"/>
    </xf>
    <xf numFmtId="1" fontId="19" fillId="0" borderId="41" xfId="43" applyNumberFormat="1" applyFont="1" applyBorder="1" applyAlignment="1">
      <alignment horizontal="center" vertical="center"/>
    </xf>
    <xf numFmtId="20" fontId="19" fillId="0" borderId="41" xfId="43" applyNumberFormat="1" applyFont="1" applyBorder="1" applyAlignment="1">
      <alignment horizontal="center" vertical="center"/>
    </xf>
    <xf numFmtId="172" fontId="35" fillId="7" borderId="41" xfId="40" applyNumberFormat="1" applyFont="1" applyFill="1" applyBorder="1" applyAlignment="1">
      <alignment vertical="center"/>
    </xf>
    <xf numFmtId="9" fontId="16" fillId="7" borderId="41" xfId="46" applyFont="1" applyFill="1" applyBorder="1" applyAlignment="1">
      <alignment vertical="center"/>
    </xf>
    <xf numFmtId="3" fontId="16" fillId="19" borderId="41" xfId="42" applyNumberFormat="1" applyFont="1" applyFill="1" applyBorder="1" applyAlignment="1">
      <alignment vertical="center"/>
    </xf>
    <xf numFmtId="3" fontId="35" fillId="7" borderId="41" xfId="42" applyNumberFormat="1" applyFont="1" applyFill="1" applyBorder="1" applyAlignment="1">
      <alignment vertical="center"/>
    </xf>
    <xf numFmtId="3" fontId="35" fillId="7" borderId="58" xfId="42" applyNumberFormat="1" applyFont="1" applyFill="1" applyBorder="1" applyAlignment="1">
      <alignment vertical="center"/>
    </xf>
    <xf numFmtId="172" fontId="35" fillId="7" borderId="56" xfId="40" applyNumberFormat="1" applyFont="1" applyFill="1" applyBorder="1" applyAlignment="1">
      <alignment vertical="center"/>
    </xf>
    <xf numFmtId="9" fontId="16" fillId="7" borderId="56" xfId="46" applyFont="1" applyFill="1" applyBorder="1" applyAlignment="1">
      <alignment vertical="center"/>
    </xf>
    <xf numFmtId="3" fontId="15" fillId="19" borderId="9" xfId="42" applyNumberFormat="1" applyFont="1" applyFill="1" applyBorder="1" applyAlignment="1">
      <alignment vertical="center"/>
    </xf>
    <xf numFmtId="14" fontId="15" fillId="7" borderId="59" xfId="42" applyNumberFormat="1" applyFont="1" applyFill="1" applyBorder="1" applyAlignment="1">
      <alignment vertical="center"/>
    </xf>
    <xf numFmtId="173" fontId="36" fillId="16" borderId="60" xfId="43" applyNumberFormat="1" applyFont="1" applyFill="1" applyBorder="1" applyAlignment="1">
      <alignment horizontal="center" vertical="center"/>
    </xf>
    <xf numFmtId="166" fontId="36" fillId="16" borderId="60" xfId="43" applyNumberFormat="1" applyFont="1" applyFill="1" applyBorder="1" applyAlignment="1">
      <alignment horizontal="center" vertical="center"/>
    </xf>
    <xf numFmtId="167" fontId="36" fillId="16" borderId="60" xfId="43" applyNumberFormat="1" applyFont="1" applyFill="1" applyBorder="1" applyAlignment="1">
      <alignment horizontal="center" vertical="center"/>
    </xf>
    <xf numFmtId="1" fontId="36" fillId="16" borderId="60" xfId="43" applyNumberFormat="1" applyFont="1" applyFill="1" applyBorder="1" applyAlignment="1">
      <alignment horizontal="center" vertical="center"/>
    </xf>
    <xf numFmtId="1" fontId="19" fillId="16" borderId="60" xfId="43" applyNumberFormat="1" applyFont="1" applyFill="1" applyBorder="1" applyAlignment="1">
      <alignment horizontal="center" vertical="center"/>
    </xf>
    <xf numFmtId="20" fontId="19" fillId="16" borderId="60" xfId="43" applyNumberFormat="1" applyFont="1" applyFill="1" applyBorder="1" applyAlignment="1">
      <alignment horizontal="center" vertical="center"/>
    </xf>
    <xf numFmtId="20" fontId="36" fillId="17" borderId="60" xfId="43" applyNumberFormat="1" applyFont="1" applyFill="1" applyBorder="1" applyAlignment="1">
      <alignment horizontal="center" vertical="center"/>
    </xf>
    <xf numFmtId="172" fontId="36" fillId="7" borderId="60" xfId="40" applyNumberFormat="1" applyFont="1" applyFill="1" applyBorder="1" applyAlignment="1">
      <alignment vertical="center"/>
    </xf>
    <xf numFmtId="3" fontId="35" fillId="0" borderId="60" xfId="42" applyNumberFormat="1" applyFont="1" applyBorder="1" applyAlignment="1">
      <alignment vertical="center"/>
    </xf>
    <xf numFmtId="9" fontId="16" fillId="7" borderId="60" xfId="46" applyFont="1" applyFill="1" applyBorder="1" applyAlignment="1">
      <alignment vertical="center"/>
    </xf>
    <xf numFmtId="3" fontId="15" fillId="19" borderId="60" xfId="42" applyNumberFormat="1" applyFont="1" applyFill="1" applyBorder="1" applyAlignment="1">
      <alignment vertical="center"/>
    </xf>
    <xf numFmtId="3" fontId="35" fillId="7" borderId="60" xfId="42" applyNumberFormat="1" applyFont="1" applyFill="1" applyBorder="1" applyAlignment="1">
      <alignment vertical="center"/>
    </xf>
    <xf numFmtId="3" fontId="35" fillId="7" borderId="61" xfId="42" applyNumberFormat="1" applyFont="1" applyFill="1" applyBorder="1" applyAlignment="1">
      <alignment vertical="center"/>
    </xf>
    <xf numFmtId="3" fontId="15" fillId="19" borderId="15" xfId="42" applyNumberFormat="1" applyFont="1" applyFill="1" applyBorder="1" applyAlignment="1">
      <alignment vertical="center"/>
    </xf>
    <xf numFmtId="3" fontId="34" fillId="14" borderId="40" xfId="42" applyNumberFormat="1" applyFont="1" applyFill="1" applyBorder="1" applyAlignment="1">
      <alignment vertical="center"/>
    </xf>
    <xf numFmtId="3" fontId="17" fillId="15" borderId="62" xfId="42" applyNumberFormat="1" applyFont="1" applyFill="1" applyBorder="1" applyAlignment="1">
      <alignment vertical="center"/>
    </xf>
    <xf numFmtId="3" fontId="34" fillId="14" borderId="6" xfId="42" applyNumberFormat="1" applyFont="1" applyFill="1" applyBorder="1" applyAlignment="1">
      <alignment vertical="center"/>
    </xf>
    <xf numFmtId="3" fontId="34" fillId="14" borderId="42" xfId="42" applyNumberFormat="1" applyFont="1" applyFill="1" applyBorder="1" applyAlignment="1">
      <alignment vertical="center"/>
    </xf>
    <xf numFmtId="14" fontId="16" fillId="7" borderId="63" xfId="42" applyNumberFormat="1" applyFont="1" applyFill="1" applyBorder="1" applyAlignment="1">
      <alignment vertical="center"/>
    </xf>
    <xf numFmtId="173" fontId="16" fillId="0" borderId="53" xfId="43" applyNumberFormat="1" applyFont="1" applyBorder="1" applyAlignment="1">
      <alignment horizontal="center" vertical="center"/>
    </xf>
    <xf numFmtId="166" fontId="16" fillId="0" borderId="53" xfId="43" applyNumberFormat="1" applyFont="1" applyBorder="1" applyAlignment="1">
      <alignment horizontal="center" vertical="center"/>
    </xf>
    <xf numFmtId="167" fontId="16" fillId="0" borderId="53" xfId="43" applyNumberFormat="1" applyFont="1" applyBorder="1" applyAlignment="1">
      <alignment horizontal="center" vertical="center"/>
    </xf>
    <xf numFmtId="1" fontId="16" fillId="0" borderId="53" xfId="43" applyNumberFormat="1" applyFont="1" applyBorder="1" applyAlignment="1">
      <alignment horizontal="center" vertical="center"/>
    </xf>
    <xf numFmtId="1" fontId="19" fillId="0" borderId="53" xfId="43" applyNumberFormat="1" applyFont="1" applyBorder="1" applyAlignment="1">
      <alignment horizontal="center" vertical="center"/>
    </xf>
    <xf numFmtId="20" fontId="19" fillId="0" borderId="53" xfId="43" applyNumberFormat="1" applyFont="1" applyBorder="1" applyAlignment="1">
      <alignment horizontal="center" vertical="center"/>
    </xf>
    <xf numFmtId="20" fontId="16" fillId="0" borderId="53" xfId="43" applyNumberFormat="1" applyFont="1" applyBorder="1" applyAlignment="1">
      <alignment horizontal="center" vertical="center"/>
    </xf>
    <xf numFmtId="172" fontId="35" fillId="7" borderId="53" xfId="40" applyNumberFormat="1" applyFont="1" applyFill="1" applyBorder="1" applyAlignment="1">
      <alignment vertical="center"/>
    </xf>
    <xf numFmtId="3" fontId="35" fillId="0" borderId="53" xfId="42" applyNumberFormat="1" applyFont="1" applyBorder="1" applyAlignment="1">
      <alignment vertical="center"/>
    </xf>
    <xf numFmtId="9" fontId="16" fillId="7" borderId="53" xfId="46" applyFont="1" applyFill="1" applyBorder="1" applyAlignment="1">
      <alignment vertical="center"/>
    </xf>
    <xf numFmtId="3" fontId="16" fillId="19" borderId="53" xfId="42" applyNumberFormat="1" applyFont="1" applyFill="1" applyBorder="1" applyAlignment="1">
      <alignment vertical="center"/>
    </xf>
    <xf numFmtId="3" fontId="35" fillId="7" borderId="53" xfId="42" applyNumberFormat="1" applyFont="1" applyFill="1" applyBorder="1" applyAlignment="1">
      <alignment vertical="center"/>
    </xf>
    <xf numFmtId="3" fontId="34" fillId="14" borderId="53" xfId="42" applyNumberFormat="1" applyFont="1" applyFill="1" applyBorder="1" applyAlignment="1">
      <alignment vertical="center"/>
    </xf>
    <xf numFmtId="14" fontId="15" fillId="7" borderId="64" xfId="42" applyNumberFormat="1" applyFont="1" applyFill="1" applyBorder="1" applyAlignment="1">
      <alignment vertical="center"/>
    </xf>
    <xf numFmtId="173" fontId="36" fillId="16" borderId="65" xfId="43" applyNumberFormat="1" applyFont="1" applyFill="1" applyBorder="1" applyAlignment="1">
      <alignment horizontal="center" vertical="center"/>
    </xf>
    <xf numFmtId="166" fontId="36" fillId="16" borderId="65" xfId="43" applyNumberFormat="1" applyFont="1" applyFill="1" applyBorder="1" applyAlignment="1">
      <alignment horizontal="center" vertical="center"/>
    </xf>
    <xf numFmtId="167" fontId="36" fillId="16" borderId="65" xfId="43" applyNumberFormat="1" applyFont="1" applyFill="1" applyBorder="1" applyAlignment="1">
      <alignment horizontal="center" vertical="center"/>
    </xf>
    <xf numFmtId="1" fontId="36" fillId="16" borderId="65" xfId="43" applyNumberFormat="1" applyFont="1" applyFill="1" applyBorder="1" applyAlignment="1">
      <alignment horizontal="center" vertical="center"/>
    </xf>
    <xf numFmtId="1" fontId="19" fillId="16" borderId="65" xfId="43" applyNumberFormat="1" applyFont="1" applyFill="1" applyBorder="1" applyAlignment="1">
      <alignment horizontal="center" vertical="center"/>
    </xf>
    <xf numFmtId="20" fontId="19" fillId="16" borderId="65" xfId="43" applyNumberFormat="1" applyFont="1" applyFill="1" applyBorder="1" applyAlignment="1">
      <alignment horizontal="center" vertical="center"/>
    </xf>
    <xf numFmtId="20" fontId="36" fillId="17" borderId="65" xfId="43" applyNumberFormat="1" applyFont="1" applyFill="1" applyBorder="1" applyAlignment="1">
      <alignment horizontal="center" vertical="center"/>
    </xf>
    <xf numFmtId="172" fontId="35" fillId="7" borderId="65" xfId="40" applyNumberFormat="1" applyFont="1" applyFill="1" applyBorder="1" applyAlignment="1">
      <alignment vertical="center"/>
    </xf>
    <xf numFmtId="172" fontId="36" fillId="7" borderId="65" xfId="40" applyNumberFormat="1" applyFont="1" applyFill="1" applyBorder="1" applyAlignment="1">
      <alignment vertical="center"/>
    </xf>
    <xf numFmtId="9" fontId="16" fillId="7" borderId="65" xfId="46" applyFont="1" applyFill="1" applyBorder="1" applyAlignment="1">
      <alignment vertical="center"/>
    </xf>
    <xf numFmtId="3" fontId="15" fillId="19" borderId="65" xfId="42" applyNumberFormat="1" applyFont="1" applyFill="1" applyBorder="1" applyAlignment="1">
      <alignment vertical="center"/>
    </xf>
    <xf numFmtId="3" fontId="35" fillId="7" borderId="65" xfId="42" applyNumberFormat="1" applyFont="1" applyFill="1" applyBorder="1" applyAlignment="1">
      <alignment vertical="center"/>
    </xf>
    <xf numFmtId="172" fontId="35" fillId="7" borderId="11" xfId="40" applyNumberFormat="1" applyFont="1" applyFill="1" applyBorder="1" applyAlignment="1">
      <alignment vertical="center"/>
    </xf>
    <xf numFmtId="9" fontId="16" fillId="7" borderId="11" xfId="46" applyFont="1" applyFill="1" applyBorder="1" applyAlignment="1">
      <alignment vertical="center"/>
    </xf>
    <xf numFmtId="173" fontId="16" fillId="0" borderId="11" xfId="43" applyNumberFormat="1" applyFont="1" applyBorder="1" applyAlignment="1">
      <alignment horizontal="center" vertical="center"/>
    </xf>
    <xf numFmtId="20" fontId="16" fillId="0" borderId="11" xfId="43" applyNumberFormat="1" applyFont="1" applyBorder="1" applyAlignment="1">
      <alignment horizontal="center" vertical="center"/>
    </xf>
    <xf numFmtId="3" fontId="16" fillId="19" borderId="11" xfId="42" applyNumberFormat="1" applyFont="1" applyFill="1" applyBorder="1" applyAlignment="1">
      <alignment vertical="center"/>
    </xf>
    <xf numFmtId="173" fontId="16" fillId="0" borderId="13" xfId="43" applyNumberFormat="1" applyFont="1" applyBorder="1" applyAlignment="1">
      <alignment horizontal="center" vertical="center"/>
    </xf>
    <xf numFmtId="20" fontId="16" fillId="0" borderId="13" xfId="43" applyNumberFormat="1" applyFont="1" applyBorder="1" applyAlignment="1">
      <alignment horizontal="center" vertical="center"/>
    </xf>
    <xf numFmtId="172" fontId="35" fillId="7" borderId="13" xfId="40" applyNumberFormat="1" applyFont="1" applyFill="1" applyBorder="1" applyAlignment="1">
      <alignment vertical="center"/>
    </xf>
    <xf numFmtId="9" fontId="16" fillId="7" borderId="13" xfId="46" applyFont="1" applyFill="1" applyBorder="1" applyAlignment="1">
      <alignment vertical="center"/>
    </xf>
    <xf numFmtId="3" fontId="16" fillId="19" borderId="13" xfId="42" applyNumberFormat="1" applyFont="1" applyFill="1" applyBorder="1" applyAlignment="1">
      <alignment vertical="center"/>
    </xf>
    <xf numFmtId="172" fontId="35" fillId="6" borderId="5" xfId="40" applyNumberFormat="1" applyFont="1" applyFill="1" applyBorder="1" applyAlignment="1">
      <alignment vertical="center"/>
    </xf>
    <xf numFmtId="1" fontId="19" fillId="16" borderId="66" xfId="43" applyNumberFormat="1" applyFont="1" applyFill="1" applyBorder="1" applyAlignment="1">
      <alignment horizontal="center" vertical="center"/>
    </xf>
    <xf numFmtId="20" fontId="19" fillId="16" borderId="56" xfId="43" applyNumberFormat="1" applyFont="1" applyFill="1" applyBorder="1" applyAlignment="1">
      <alignment horizontal="center" vertical="center"/>
    </xf>
    <xf numFmtId="172" fontId="16" fillId="0" borderId="0" xfId="40" applyNumberFormat="1" applyFont="1" applyFill="1" applyBorder="1" applyAlignment="1">
      <alignment vertical="center"/>
    </xf>
    <xf numFmtId="172" fontId="19" fillId="9" borderId="5" xfId="40" applyNumberFormat="1" applyFont="1" applyFill="1" applyBorder="1" applyAlignment="1">
      <alignment vertical="center"/>
    </xf>
    <xf numFmtId="172" fontId="37" fillId="9" borderId="9" xfId="40" applyNumberFormat="1" applyFont="1" applyFill="1" applyBorder="1" applyAlignment="1">
      <alignment vertical="center"/>
    </xf>
    <xf numFmtId="1" fontId="6" fillId="0" borderId="0" xfId="43" applyNumberFormat="1" applyFont="1" applyAlignment="1">
      <alignment horizontal="center" vertical="center"/>
    </xf>
    <xf numFmtId="2" fontId="7" fillId="0" borderId="0" xfId="0" applyNumberFormat="1" applyFont="1" applyAlignment="1">
      <alignment vertical="center" wrapText="1"/>
    </xf>
    <xf numFmtId="168" fontId="21" fillId="7" borderId="0" xfId="43" applyNumberFormat="1" applyFont="1" applyFill="1" applyAlignment="1">
      <alignment horizontal="left" vertical="center" wrapText="1"/>
    </xf>
    <xf numFmtId="1" fontId="6" fillId="7" borderId="0" xfId="43" applyNumberFormat="1" applyFont="1" applyFill="1" applyAlignment="1">
      <alignment horizontal="center" vertical="center"/>
    </xf>
    <xf numFmtId="2" fontId="5" fillId="0" borderId="0" xfId="0" applyNumberFormat="1" applyFont="1" applyAlignment="1">
      <alignment vertical="center"/>
    </xf>
    <xf numFmtId="2" fontId="5" fillId="0" borderId="0" xfId="0" applyNumberFormat="1" applyFont="1" applyAlignment="1">
      <alignment horizontal="center" vertical="center"/>
    </xf>
    <xf numFmtId="20" fontId="5" fillId="0" borderId="0" xfId="43" applyNumberFormat="1" applyFont="1" applyAlignment="1">
      <alignment horizontal="center" vertical="center"/>
    </xf>
    <xf numFmtId="20" fontId="5" fillId="0" borderId="0" xfId="0" applyNumberFormat="1" applyFont="1" applyAlignment="1">
      <alignment vertical="center"/>
    </xf>
    <xf numFmtId="20" fontId="5" fillId="0" borderId="0" xfId="0" applyNumberFormat="1" applyFont="1" applyAlignment="1">
      <alignment horizontal="center" vertical="center" wrapText="1"/>
    </xf>
    <xf numFmtId="20" fontId="2" fillId="0" borderId="0" xfId="0" applyNumberFormat="1" applyFont="1" applyAlignment="1">
      <alignment vertical="center"/>
    </xf>
    <xf numFmtId="20" fontId="21" fillId="0" borderId="0" xfId="0" applyNumberFormat="1" applyFont="1" applyAlignment="1">
      <alignment vertical="center"/>
    </xf>
    <xf numFmtId="20" fontId="6" fillId="0" borderId="0" xfId="38" applyNumberFormat="1" applyFont="1" applyFill="1" applyBorder="1" applyAlignment="1">
      <alignment horizontal="center" vertical="center"/>
    </xf>
    <xf numFmtId="20" fontId="7" fillId="10" borderId="0" xfId="43" applyNumberFormat="1" applyFont="1" applyFill="1" applyAlignment="1" applyProtection="1">
      <alignment horizontal="center" vertical="center"/>
      <protection hidden="1"/>
    </xf>
    <xf numFmtId="0" fontId="47" fillId="0" borderId="0" xfId="0" applyFont="1" applyAlignment="1" applyProtection="1">
      <alignment vertical="center"/>
      <protection hidden="1"/>
    </xf>
    <xf numFmtId="0" fontId="47" fillId="7" borderId="0" xfId="0" applyFont="1" applyFill="1" applyAlignment="1" applyProtection="1">
      <alignment vertical="center"/>
      <protection hidden="1"/>
    </xf>
    <xf numFmtId="0" fontId="47" fillId="0" borderId="0" xfId="0" applyFont="1" applyProtection="1">
      <protection hidden="1"/>
    </xf>
    <xf numFmtId="1" fontId="46" fillId="6" borderId="67" xfId="43" applyNumberFormat="1" applyFont="1" applyFill="1" applyBorder="1" applyAlignment="1" applyProtection="1">
      <alignment horizontal="center" vertical="center"/>
      <protection hidden="1"/>
    </xf>
    <xf numFmtId="170" fontId="27" fillId="21" borderId="0" xfId="0" applyNumberFormat="1" applyFont="1" applyFill="1" applyAlignment="1" applyProtection="1">
      <alignment horizontal="center" vertical="center"/>
      <protection hidden="1"/>
    </xf>
    <xf numFmtId="20" fontId="43" fillId="22" borderId="0" xfId="43" applyNumberFormat="1" applyFont="1" applyFill="1" applyAlignment="1">
      <alignment horizontal="center" vertical="center"/>
    </xf>
    <xf numFmtId="168" fontId="48" fillId="7" borderId="0" xfId="43" applyNumberFormat="1" applyFont="1" applyFill="1" applyAlignment="1" applyProtection="1">
      <alignment vertical="center" wrapText="1"/>
      <protection hidden="1"/>
    </xf>
    <xf numFmtId="20" fontId="0" fillId="0" borderId="0" xfId="0" applyNumberFormat="1" applyAlignment="1">
      <alignment horizontal="center" wrapText="1"/>
    </xf>
    <xf numFmtId="20" fontId="0" fillId="0" borderId="0" xfId="0" applyNumberFormat="1" applyAlignment="1">
      <alignment horizontal="right" wrapText="1"/>
    </xf>
    <xf numFmtId="20" fontId="0" fillId="0" borderId="0" xfId="0" applyNumberFormat="1" applyAlignment="1">
      <alignment horizontal="right"/>
    </xf>
    <xf numFmtId="3" fontId="51" fillId="10" borderId="68" xfId="44" applyNumberFormat="1" applyFont="1" applyFill="1" applyBorder="1" applyAlignment="1">
      <alignment horizontal="center" vertical="center" wrapText="1"/>
    </xf>
    <xf numFmtId="3" fontId="52" fillId="23" borderId="68" xfId="44" applyNumberFormat="1" applyFont="1" applyFill="1" applyBorder="1" applyAlignment="1">
      <alignment horizontal="center" vertical="center" wrapText="1"/>
    </xf>
    <xf numFmtId="3" fontId="51" fillId="24" borderId="68" xfId="44" applyNumberFormat="1" applyFont="1" applyFill="1" applyBorder="1" applyAlignment="1">
      <alignment horizontal="center" vertical="center" wrapText="1"/>
    </xf>
    <xf numFmtId="3" fontId="5" fillId="10" borderId="70" xfId="44" applyNumberFormat="1" applyFont="1" applyFill="1" applyBorder="1" applyAlignment="1">
      <alignment horizontal="center" vertical="center" wrapText="1"/>
    </xf>
    <xf numFmtId="3" fontId="25" fillId="23" borderId="70" xfId="44" applyNumberFormat="1" applyFont="1" applyFill="1" applyBorder="1" applyAlignment="1">
      <alignment horizontal="center" vertical="center" wrapText="1"/>
    </xf>
    <xf numFmtId="3" fontId="25" fillId="10" borderId="70" xfId="44" applyNumberFormat="1" applyFont="1" applyFill="1" applyBorder="1" applyAlignment="1">
      <alignment horizontal="center" vertical="center" wrapText="1"/>
    </xf>
    <xf numFmtId="0" fontId="0" fillId="10" borderId="70" xfId="0" applyFill="1" applyBorder="1"/>
    <xf numFmtId="0" fontId="54" fillId="0" borderId="0" xfId="0" applyFont="1" applyAlignment="1" applyProtection="1">
      <alignment vertical="center"/>
      <protection hidden="1"/>
    </xf>
    <xf numFmtId="0" fontId="54" fillId="7" borderId="0" xfId="0" applyFont="1" applyFill="1" applyAlignment="1" applyProtection="1">
      <alignment vertical="center"/>
      <protection hidden="1"/>
    </xf>
    <xf numFmtId="0" fontId="55" fillId="0" borderId="0" xfId="0" applyFont="1" applyAlignment="1" applyProtection="1">
      <alignment vertical="center"/>
      <protection hidden="1"/>
    </xf>
    <xf numFmtId="1" fontId="56" fillId="6" borderId="71" xfId="43" applyNumberFormat="1" applyFont="1" applyFill="1" applyBorder="1" applyAlignment="1" applyProtection="1">
      <alignment horizontal="center" vertical="center"/>
      <protection hidden="1"/>
    </xf>
    <xf numFmtId="1" fontId="57" fillId="6" borderId="71" xfId="43" applyNumberFormat="1" applyFont="1" applyFill="1" applyBorder="1" applyAlignment="1" applyProtection="1">
      <alignment horizontal="center" vertical="center"/>
      <protection hidden="1"/>
    </xf>
    <xf numFmtId="1" fontId="56" fillId="6" borderId="71" xfId="43" applyNumberFormat="1" applyFont="1" applyFill="1" applyBorder="1" applyAlignment="1" applyProtection="1">
      <alignment horizontal="left" vertical="center"/>
      <protection hidden="1"/>
    </xf>
    <xf numFmtId="1" fontId="58" fillId="6" borderId="71" xfId="43" applyNumberFormat="1" applyFont="1" applyFill="1" applyBorder="1" applyAlignment="1" applyProtection="1">
      <alignment horizontal="center" vertical="center"/>
      <protection hidden="1"/>
    </xf>
    <xf numFmtId="1" fontId="59" fillId="6" borderId="71" xfId="43" applyNumberFormat="1" applyFont="1" applyFill="1" applyBorder="1" applyAlignment="1" applyProtection="1">
      <alignment horizontal="center" vertical="center"/>
      <protection hidden="1"/>
    </xf>
    <xf numFmtId="1" fontId="58" fillId="6" borderId="71" xfId="43" applyNumberFormat="1" applyFont="1" applyFill="1" applyBorder="1" applyAlignment="1">
      <alignment horizontal="center" vertical="center"/>
    </xf>
    <xf numFmtId="168" fontId="29" fillId="10" borderId="69" xfId="43" applyNumberFormat="1" applyFont="1" applyFill="1" applyBorder="1" applyAlignment="1">
      <alignment vertical="center" wrapText="1"/>
    </xf>
    <xf numFmtId="168" fontId="29" fillId="23" borderId="69" xfId="43" applyNumberFormat="1" applyFont="1" applyFill="1" applyBorder="1" applyAlignment="1">
      <alignment vertical="center" wrapText="1"/>
    </xf>
    <xf numFmtId="168" fontId="29" fillId="24" borderId="69" xfId="43" applyNumberFormat="1" applyFont="1" applyFill="1" applyBorder="1" applyAlignment="1">
      <alignment horizontal="center" vertical="center" wrapText="1"/>
    </xf>
    <xf numFmtId="20" fontId="63" fillId="0" borderId="0" xfId="43" applyNumberFormat="1" applyFont="1" applyAlignment="1" applyProtection="1">
      <alignment horizontal="center" vertical="center"/>
      <protection hidden="1"/>
    </xf>
    <xf numFmtId="20" fontId="73" fillId="32" borderId="0" xfId="43" applyNumberFormat="1" applyFont="1" applyFill="1" applyAlignment="1" applyProtection="1">
      <alignment horizontal="center" vertical="center"/>
      <protection hidden="1"/>
    </xf>
    <xf numFmtId="20" fontId="43" fillId="0" borderId="0" xfId="43" applyNumberFormat="1" applyFont="1" applyAlignment="1">
      <alignment horizontal="center" vertical="center"/>
    </xf>
    <xf numFmtId="0" fontId="54" fillId="33" borderId="0" xfId="0" applyFont="1" applyFill="1" applyAlignment="1" applyProtection="1">
      <alignment vertical="center"/>
      <protection hidden="1"/>
    </xf>
    <xf numFmtId="0" fontId="74" fillId="34" borderId="0" xfId="0" applyFont="1" applyFill="1" applyAlignment="1" applyProtection="1">
      <alignment vertical="center"/>
      <protection hidden="1"/>
    </xf>
    <xf numFmtId="0" fontId="74" fillId="34" borderId="0" xfId="0" applyFont="1" applyFill="1" applyProtection="1">
      <protection hidden="1"/>
    </xf>
    <xf numFmtId="170" fontId="53" fillId="35" borderId="0" xfId="0" applyNumberFormat="1" applyFont="1" applyFill="1" applyAlignment="1" applyProtection="1">
      <alignment horizontal="center" vertical="center"/>
      <protection hidden="1"/>
    </xf>
    <xf numFmtId="170" fontId="75" fillId="36" borderId="0" xfId="0" applyNumberFormat="1" applyFont="1" applyFill="1" applyAlignment="1" applyProtection="1">
      <alignment horizontal="center" vertical="center"/>
      <protection hidden="1"/>
    </xf>
    <xf numFmtId="0" fontId="76" fillId="36" borderId="0" xfId="0" applyFont="1" applyFill="1" applyAlignment="1" applyProtection="1">
      <alignment vertical="center"/>
      <protection hidden="1"/>
    </xf>
    <xf numFmtId="0" fontId="76" fillId="33" borderId="0" xfId="0" applyFont="1" applyFill="1" applyAlignment="1" applyProtection="1">
      <alignment vertical="center"/>
      <protection hidden="1"/>
    </xf>
    <xf numFmtId="0" fontId="5" fillId="33" borderId="0" xfId="0" applyFont="1" applyFill="1" applyAlignment="1" applyProtection="1">
      <alignment vertical="center"/>
      <protection hidden="1"/>
    </xf>
    <xf numFmtId="0" fontId="5" fillId="33" borderId="0" xfId="0" applyFont="1" applyFill="1" applyProtection="1">
      <protection hidden="1"/>
    </xf>
    <xf numFmtId="0" fontId="74" fillId="0" borderId="0" xfId="0" applyFont="1" applyAlignment="1" applyProtection="1">
      <alignment vertical="center"/>
      <protection hidden="1"/>
    </xf>
    <xf numFmtId="167" fontId="77" fillId="0" borderId="0" xfId="43" applyNumberFormat="1" applyFont="1" applyAlignment="1" applyProtection="1">
      <alignment horizontal="center" vertical="center"/>
      <protection hidden="1"/>
    </xf>
    <xf numFmtId="167" fontId="78" fillId="0" borderId="0" xfId="43" applyNumberFormat="1" applyFont="1" applyAlignment="1" applyProtection="1">
      <alignment horizontal="center" vertical="center"/>
      <protection hidden="1"/>
    </xf>
    <xf numFmtId="20" fontId="5" fillId="38" borderId="0" xfId="43" applyNumberFormat="1" applyFont="1" applyFill="1" applyAlignment="1" applyProtection="1">
      <alignment horizontal="center" vertical="center"/>
      <protection hidden="1"/>
    </xf>
    <xf numFmtId="20" fontId="7" fillId="40" borderId="0" xfId="43" applyNumberFormat="1" applyFont="1" applyFill="1" applyAlignment="1" applyProtection="1">
      <alignment horizontal="center" vertical="center"/>
      <protection hidden="1"/>
    </xf>
    <xf numFmtId="0" fontId="81" fillId="0" borderId="0" xfId="0" applyFont="1" applyAlignment="1">
      <alignment vertical="center"/>
    </xf>
    <xf numFmtId="0" fontId="81" fillId="7" borderId="0" xfId="0" applyFont="1" applyFill="1" applyAlignment="1">
      <alignment vertical="center"/>
    </xf>
    <xf numFmtId="0" fontId="83" fillId="42" borderId="0" xfId="0" applyFont="1" applyFill="1" applyAlignment="1">
      <alignment vertical="center"/>
    </xf>
    <xf numFmtId="0" fontId="83" fillId="0" borderId="0" xfId="0" applyFont="1" applyAlignment="1">
      <alignment vertical="center"/>
    </xf>
    <xf numFmtId="0" fontId="83" fillId="7" borderId="0" xfId="0" applyFont="1" applyFill="1" applyAlignment="1">
      <alignment vertical="center"/>
    </xf>
    <xf numFmtId="0" fontId="83" fillId="0" borderId="0" xfId="0" applyFont="1"/>
    <xf numFmtId="20" fontId="84" fillId="0" borderId="0" xfId="43" applyNumberFormat="1" applyFont="1" applyAlignment="1" applyProtection="1">
      <alignment vertical="center" wrapText="1"/>
      <protection hidden="1"/>
    </xf>
    <xf numFmtId="20" fontId="85" fillId="0" borderId="0" xfId="43" applyNumberFormat="1" applyFont="1" applyAlignment="1" applyProtection="1">
      <alignment vertical="center" wrapText="1"/>
      <protection hidden="1"/>
    </xf>
    <xf numFmtId="168" fontId="85" fillId="7" borderId="0" xfId="43" applyNumberFormat="1" applyFont="1" applyFill="1" applyAlignment="1" applyProtection="1">
      <alignment vertical="center" wrapText="1"/>
      <protection hidden="1"/>
    </xf>
    <xf numFmtId="0" fontId="86" fillId="0" borderId="0" xfId="0" applyFont="1" applyAlignment="1">
      <alignment vertical="center"/>
    </xf>
    <xf numFmtId="20" fontId="88" fillId="0" borderId="0" xfId="43" applyNumberFormat="1" applyFont="1" applyAlignment="1" applyProtection="1">
      <alignment vertical="center" wrapText="1"/>
      <protection hidden="1"/>
    </xf>
    <xf numFmtId="168" fontId="88" fillId="7" borderId="0" xfId="43" applyNumberFormat="1" applyFont="1" applyFill="1" applyAlignment="1" applyProtection="1">
      <alignment vertical="center" wrapText="1"/>
      <protection hidden="1"/>
    </xf>
    <xf numFmtId="0" fontId="89" fillId="44" borderId="94" xfId="0" applyFont="1" applyFill="1" applyBorder="1" applyAlignment="1">
      <alignment vertical="center"/>
    </xf>
    <xf numFmtId="0" fontId="89" fillId="0" borderId="0" xfId="0" applyFont="1"/>
    <xf numFmtId="167" fontId="90" fillId="0" borderId="0" xfId="43" applyNumberFormat="1" applyFont="1" applyAlignment="1" applyProtection="1">
      <alignment vertical="center"/>
      <protection hidden="1"/>
    </xf>
    <xf numFmtId="167" fontId="91" fillId="0" borderId="0" xfId="43" applyNumberFormat="1" applyFont="1" applyAlignment="1" applyProtection="1">
      <alignment vertical="center"/>
      <protection hidden="1"/>
    </xf>
    <xf numFmtId="1" fontId="91" fillId="0" borderId="0" xfId="43" applyNumberFormat="1" applyFont="1" applyAlignment="1" applyProtection="1">
      <alignment vertical="center"/>
      <protection hidden="1"/>
    </xf>
    <xf numFmtId="167" fontId="91" fillId="0" borderId="0" xfId="43" applyNumberFormat="1" applyFont="1" applyAlignment="1" applyProtection="1">
      <alignment vertical="center" wrapText="1"/>
      <protection hidden="1"/>
    </xf>
    <xf numFmtId="167" fontId="92" fillId="0" borderId="0" xfId="43" applyNumberFormat="1" applyFont="1" applyAlignment="1" applyProtection="1">
      <alignment horizontal="center" vertical="center"/>
      <protection hidden="1"/>
    </xf>
    <xf numFmtId="167" fontId="93" fillId="0" borderId="0" xfId="43" applyNumberFormat="1" applyFont="1" applyAlignment="1" applyProtection="1">
      <alignment horizontal="center" vertical="center"/>
      <protection hidden="1"/>
    </xf>
    <xf numFmtId="167" fontId="94" fillId="0" borderId="0" xfId="43" applyNumberFormat="1" applyFont="1" applyAlignment="1" applyProtection="1">
      <alignment horizontal="center" vertical="center"/>
      <protection hidden="1"/>
    </xf>
    <xf numFmtId="0" fontId="2" fillId="45" borderId="0" xfId="0" applyFont="1" applyFill="1" applyAlignment="1">
      <alignment vertical="center"/>
    </xf>
    <xf numFmtId="3" fontId="7" fillId="45" borderId="0" xfId="44" applyNumberFormat="1" applyFont="1" applyFill="1" applyAlignment="1">
      <alignment horizontal="center" vertical="center" textRotation="90" wrapText="1"/>
    </xf>
    <xf numFmtId="169" fontId="6" fillId="45" borderId="0" xfId="38" applyNumberFormat="1" applyFont="1" applyFill="1" applyBorder="1" applyAlignment="1">
      <alignment horizontal="center" vertical="center"/>
    </xf>
    <xf numFmtId="0" fontId="7" fillId="45" borderId="0" xfId="0" applyFont="1" applyFill="1" applyAlignment="1">
      <alignment vertical="center" wrapText="1"/>
    </xf>
    <xf numFmtId="4" fontId="5" fillId="45" borderId="0" xfId="0" applyNumberFormat="1" applyFont="1" applyFill="1"/>
    <xf numFmtId="0" fontId="5" fillId="46" borderId="0" xfId="0" applyFont="1" applyFill="1" applyAlignment="1">
      <alignment horizontal="center" vertical="center" wrapText="1"/>
    </xf>
    <xf numFmtId="3" fontId="95" fillId="0" borderId="0" xfId="43" applyNumberFormat="1" applyFont="1" applyAlignment="1">
      <alignment vertical="center" wrapText="1"/>
    </xf>
    <xf numFmtId="20" fontId="96" fillId="0" borderId="0" xfId="43" applyNumberFormat="1" applyFont="1" applyAlignment="1">
      <alignment horizontal="center" vertical="center"/>
    </xf>
    <xf numFmtId="0" fontId="97" fillId="7" borderId="0" xfId="0" applyFont="1" applyFill="1" applyAlignment="1">
      <alignment vertical="center"/>
    </xf>
    <xf numFmtId="0" fontId="97" fillId="0" borderId="0" xfId="0" applyFont="1" applyAlignment="1">
      <alignment horizontal="center" vertical="center"/>
    </xf>
    <xf numFmtId="0" fontId="97" fillId="0" borderId="0" xfId="0" applyFont="1"/>
    <xf numFmtId="0" fontId="95" fillId="7" borderId="0" xfId="0" applyFont="1" applyFill="1" applyAlignment="1">
      <alignment vertical="center"/>
    </xf>
    <xf numFmtId="169" fontId="96" fillId="7" borderId="0" xfId="38" applyNumberFormat="1" applyFont="1" applyFill="1" applyBorder="1" applyAlignment="1">
      <alignment horizontal="center" vertical="center"/>
    </xf>
    <xf numFmtId="0" fontId="98" fillId="0" borderId="0" xfId="0" applyFont="1"/>
    <xf numFmtId="0" fontId="99" fillId="0" borderId="0" xfId="0" applyFont="1" applyAlignment="1">
      <alignment vertical="center"/>
    </xf>
    <xf numFmtId="0" fontId="97" fillId="0" borderId="0" xfId="0" applyFont="1" applyAlignment="1">
      <alignment vertical="center"/>
    </xf>
    <xf numFmtId="20" fontId="100" fillId="0" borderId="0" xfId="43" applyNumberFormat="1" applyFont="1" applyAlignment="1">
      <alignment horizontal="center" vertical="center"/>
    </xf>
    <xf numFmtId="0" fontId="100" fillId="0" borderId="0" xfId="0" applyFont="1"/>
    <xf numFmtId="0" fontId="100" fillId="0" borderId="0" xfId="0" applyFont="1" applyAlignment="1">
      <alignment vertical="center"/>
    </xf>
    <xf numFmtId="0" fontId="100" fillId="7" borderId="0" xfId="0" applyFont="1" applyFill="1" applyAlignment="1">
      <alignment vertical="center"/>
    </xf>
    <xf numFmtId="20" fontId="7" fillId="38" borderId="0" xfId="43" applyNumberFormat="1" applyFont="1" applyFill="1" applyAlignment="1" applyProtection="1">
      <alignment horizontal="center" vertical="center"/>
      <protection hidden="1"/>
    </xf>
    <xf numFmtId="20" fontId="5" fillId="17" borderId="0" xfId="43" applyNumberFormat="1" applyFont="1" applyFill="1" applyAlignment="1" applyProtection="1">
      <alignment horizontal="center" vertical="center"/>
      <protection hidden="1"/>
    </xf>
    <xf numFmtId="0" fontId="5" fillId="40" borderId="0" xfId="0" applyFont="1" applyFill="1" applyAlignment="1" applyProtection="1">
      <alignment vertical="center"/>
      <protection hidden="1"/>
    </xf>
    <xf numFmtId="0" fontId="79" fillId="41" borderId="0" xfId="0" applyFont="1" applyFill="1" applyAlignment="1" applyProtection="1">
      <alignment vertical="center"/>
      <protection hidden="1"/>
    </xf>
    <xf numFmtId="0" fontId="55" fillId="0" borderId="0" xfId="0" applyFont="1" applyProtection="1">
      <protection hidden="1"/>
    </xf>
    <xf numFmtId="20" fontId="84" fillId="0" borderId="0" xfId="43" applyNumberFormat="1" applyFont="1" applyAlignment="1" applyProtection="1">
      <alignment wrapText="1"/>
      <protection hidden="1"/>
    </xf>
    <xf numFmtId="0" fontId="68" fillId="7" borderId="0" xfId="0" applyFont="1" applyFill="1" applyProtection="1">
      <protection hidden="1"/>
    </xf>
    <xf numFmtId="0" fontId="68" fillId="0" borderId="0" xfId="0" applyFont="1" applyProtection="1">
      <protection hidden="1"/>
    </xf>
    <xf numFmtId="20" fontId="69" fillId="48" borderId="0" xfId="43" applyNumberFormat="1" applyFont="1" applyFill="1" applyAlignment="1" applyProtection="1">
      <alignment horizontal="center"/>
      <protection hidden="1"/>
    </xf>
    <xf numFmtId="1" fontId="5" fillId="0" borderId="0" xfId="0" applyNumberFormat="1" applyFont="1" applyAlignment="1">
      <alignment horizontal="center" vertical="center"/>
    </xf>
    <xf numFmtId="1" fontId="5" fillId="0" borderId="0" xfId="0" applyNumberFormat="1" applyFont="1" applyAlignment="1">
      <alignment vertical="center"/>
    </xf>
    <xf numFmtId="20" fontId="0" fillId="0" borderId="97" xfId="0" applyNumberFormat="1" applyBorder="1" applyAlignment="1">
      <alignment horizontal="center" vertical="center"/>
    </xf>
    <xf numFmtId="20" fontId="0" fillId="0" borderId="98" xfId="0" applyNumberFormat="1" applyBorder="1" applyAlignment="1">
      <alignment horizontal="center" vertical="center"/>
    </xf>
    <xf numFmtId="20" fontId="1" fillId="0" borderId="97" xfId="0" applyNumberFormat="1" applyFont="1" applyBorder="1" applyAlignment="1">
      <alignment horizontal="center" vertical="center"/>
    </xf>
    <xf numFmtId="20" fontId="0" fillId="0" borderId="99" xfId="0" applyNumberFormat="1" applyBorder="1" applyAlignment="1">
      <alignment horizontal="center" vertical="center"/>
    </xf>
    <xf numFmtId="20" fontId="0" fillId="0" borderId="100" xfId="0" applyNumberFormat="1" applyBorder="1" applyAlignment="1">
      <alignment horizontal="center" vertical="center"/>
    </xf>
    <xf numFmtId="0" fontId="104" fillId="49" borderId="95" xfId="0" applyFont="1" applyFill="1" applyBorder="1" applyAlignment="1">
      <alignment horizontal="center" vertical="center"/>
    </xf>
    <xf numFmtId="0" fontId="104" fillId="49" borderId="96" xfId="0" applyFont="1" applyFill="1" applyBorder="1" applyAlignment="1">
      <alignment horizontal="center" vertical="center"/>
    </xf>
    <xf numFmtId="0" fontId="105" fillId="43" borderId="94" xfId="0" applyFont="1" applyFill="1" applyBorder="1" applyAlignment="1">
      <alignment vertical="center"/>
    </xf>
    <xf numFmtId="0" fontId="105" fillId="44" borderId="94" xfId="0" applyFont="1" applyFill="1" applyBorder="1" applyAlignment="1">
      <alignment vertical="center"/>
    </xf>
    <xf numFmtId="0" fontId="102" fillId="0" borderId="0" xfId="0" applyFont="1" applyAlignment="1" applyProtection="1">
      <alignment vertical="center"/>
      <protection hidden="1"/>
    </xf>
    <xf numFmtId="20" fontId="102" fillId="17" borderId="0" xfId="43" applyNumberFormat="1" applyFont="1" applyFill="1" applyAlignment="1" applyProtection="1">
      <alignment horizontal="center" vertical="center"/>
      <protection hidden="1"/>
    </xf>
    <xf numFmtId="20" fontId="64" fillId="32" borderId="0" xfId="43" applyNumberFormat="1" applyFont="1" applyFill="1" applyAlignment="1" applyProtection="1">
      <alignment horizontal="center" vertical="center"/>
      <protection hidden="1"/>
    </xf>
    <xf numFmtId="20" fontId="106" fillId="32" borderId="0" xfId="43" applyNumberFormat="1" applyFont="1" applyFill="1" applyAlignment="1" applyProtection="1">
      <alignment horizontal="center" vertical="center"/>
      <protection hidden="1"/>
    </xf>
    <xf numFmtId="167" fontId="107" fillId="0" borderId="0" xfId="43" applyNumberFormat="1" applyFont="1" applyAlignment="1" applyProtection="1">
      <alignment horizontal="center" vertical="center"/>
      <protection hidden="1"/>
    </xf>
    <xf numFmtId="1" fontId="56" fillId="6" borderId="71" xfId="43" applyNumberFormat="1" applyFont="1" applyFill="1" applyBorder="1" applyAlignment="1" applyProtection="1">
      <alignment vertical="center"/>
      <protection hidden="1"/>
    </xf>
    <xf numFmtId="20" fontId="108" fillId="32" borderId="0" xfId="43" applyNumberFormat="1" applyFont="1" applyFill="1" applyAlignment="1" applyProtection="1">
      <alignment horizontal="center" vertical="center"/>
      <protection hidden="1"/>
    </xf>
    <xf numFmtId="20" fontId="109" fillId="32" borderId="0" xfId="43" applyNumberFormat="1" applyFont="1" applyFill="1" applyAlignment="1" applyProtection="1">
      <alignment horizontal="center" vertical="center"/>
      <protection hidden="1"/>
    </xf>
    <xf numFmtId="0" fontId="5" fillId="50" borderId="0" xfId="0" applyFont="1" applyFill="1" applyAlignment="1">
      <alignment vertical="center"/>
    </xf>
    <xf numFmtId="0" fontId="0" fillId="50" borderId="0" xfId="0" applyFill="1"/>
    <xf numFmtId="174" fontId="111" fillId="37" borderId="72" xfId="43" applyNumberFormat="1" applyFont="1" applyFill="1" applyBorder="1" applyAlignment="1" applyProtection="1">
      <alignment horizontal="center" vertical="center" wrapText="1"/>
      <protection hidden="1"/>
    </xf>
    <xf numFmtId="3" fontId="82" fillId="42" borderId="73" xfId="44" applyNumberFormat="1" applyFont="1" applyFill="1" applyBorder="1" applyAlignment="1">
      <alignment horizontal="center" vertical="center" wrapText="1"/>
    </xf>
    <xf numFmtId="3" fontId="81" fillId="0" borderId="0" xfId="0" applyNumberFormat="1" applyFont="1" applyAlignment="1">
      <alignment vertical="center"/>
    </xf>
    <xf numFmtId="3" fontId="81" fillId="0" borderId="0" xfId="0" applyNumberFormat="1" applyFont="1"/>
    <xf numFmtId="168" fontId="85" fillId="49" borderId="103" xfId="43" applyNumberFormat="1" applyFont="1" applyFill="1" applyBorder="1" applyAlignment="1">
      <alignment vertical="center" wrapText="1"/>
    </xf>
    <xf numFmtId="169" fontId="87" fillId="49" borderId="104" xfId="38" applyNumberFormat="1" applyFont="1" applyFill="1" applyBorder="1" applyAlignment="1">
      <alignment horizontal="center" vertical="center" wrapText="1"/>
    </xf>
    <xf numFmtId="168" fontId="85" fillId="55" borderId="103" xfId="43" applyNumberFormat="1" applyFont="1" applyFill="1" applyBorder="1" applyAlignment="1">
      <alignment vertical="center" wrapText="1"/>
    </xf>
    <xf numFmtId="169" fontId="87" fillId="55" borderId="104" xfId="38" applyNumberFormat="1" applyFont="1" applyFill="1" applyBorder="1" applyAlignment="1">
      <alignment horizontal="center" vertical="center" wrapText="1"/>
    </xf>
    <xf numFmtId="168" fontId="80" fillId="51" borderId="103" xfId="43" applyNumberFormat="1" applyFont="1" applyFill="1" applyBorder="1" applyAlignment="1">
      <alignment horizontal="center" vertical="center" wrapText="1"/>
    </xf>
    <xf numFmtId="169" fontId="81" fillId="51" borderId="104" xfId="38" applyNumberFormat="1" applyFont="1" applyFill="1" applyBorder="1" applyAlignment="1">
      <alignment horizontal="center" vertical="center" wrapText="1"/>
    </xf>
    <xf numFmtId="3" fontId="86" fillId="49" borderId="103" xfId="44" applyNumberFormat="1" applyFont="1" applyFill="1" applyBorder="1" applyAlignment="1">
      <alignment horizontal="center" vertical="center" wrapText="1"/>
    </xf>
    <xf numFmtId="3" fontId="87" fillId="55" borderId="103" xfId="44" applyNumberFormat="1" applyFont="1" applyFill="1" applyBorder="1" applyAlignment="1">
      <alignment horizontal="center" vertical="center" wrapText="1"/>
    </xf>
    <xf numFmtId="3" fontId="81" fillId="51" borderId="103" xfId="44" applyNumberFormat="1" applyFont="1" applyFill="1" applyBorder="1" applyAlignment="1">
      <alignment horizontal="center" vertical="center" wrapText="1"/>
    </xf>
    <xf numFmtId="3" fontId="82" fillId="52" borderId="103" xfId="44" applyNumberFormat="1" applyFont="1" applyFill="1" applyBorder="1" applyAlignment="1">
      <alignment horizontal="center" vertical="center" wrapText="1"/>
    </xf>
    <xf numFmtId="3" fontId="80" fillId="51" borderId="103" xfId="43" applyNumberFormat="1" applyFont="1" applyFill="1" applyBorder="1" applyAlignment="1">
      <alignment horizontal="center" vertical="center" wrapText="1"/>
    </xf>
    <xf numFmtId="3" fontId="82" fillId="52" borderId="104" xfId="44" applyNumberFormat="1" applyFont="1" applyFill="1" applyBorder="1" applyAlignment="1">
      <alignment horizontal="center" vertical="center" wrapText="1"/>
    </xf>
    <xf numFmtId="3" fontId="86" fillId="49" borderId="104" xfId="44" applyNumberFormat="1" applyFont="1" applyFill="1" applyBorder="1" applyAlignment="1">
      <alignment horizontal="center" vertical="center" wrapText="1"/>
    </xf>
    <xf numFmtId="3" fontId="87" fillId="49" borderId="104" xfId="44" applyNumberFormat="1" applyFont="1" applyFill="1" applyBorder="1" applyAlignment="1">
      <alignment horizontal="center" vertical="center" wrapText="1"/>
    </xf>
    <xf numFmtId="3" fontId="87" fillId="55" borderId="104" xfId="44" applyNumberFormat="1" applyFont="1" applyFill="1" applyBorder="1" applyAlignment="1">
      <alignment horizontal="center" vertical="center" wrapText="1"/>
    </xf>
    <xf numFmtId="3" fontId="81" fillId="51" borderId="104" xfId="44" applyNumberFormat="1" applyFont="1" applyFill="1" applyBorder="1" applyAlignment="1">
      <alignment horizontal="center" vertical="center" wrapText="1"/>
    </xf>
    <xf numFmtId="0" fontId="5" fillId="49" borderId="103" xfId="0" applyFont="1" applyFill="1" applyBorder="1" applyAlignment="1">
      <alignment vertical="center"/>
    </xf>
    <xf numFmtId="0" fontId="5" fillId="56" borderId="103" xfId="0" applyFont="1" applyFill="1" applyBorder="1" applyAlignment="1">
      <alignment vertical="center"/>
    </xf>
    <xf numFmtId="0" fontId="81" fillId="52" borderId="103" xfId="0" applyFont="1" applyFill="1" applyBorder="1" applyAlignment="1">
      <alignment vertical="center"/>
    </xf>
    <xf numFmtId="3" fontId="81" fillId="52" borderId="103" xfId="0" applyNumberFormat="1" applyFont="1" applyFill="1" applyBorder="1"/>
    <xf numFmtId="3" fontId="105" fillId="49" borderId="104" xfId="44" applyNumberFormat="1" applyFont="1" applyFill="1" applyBorder="1" applyAlignment="1">
      <alignment horizontal="center" vertical="center" wrapText="1"/>
    </xf>
    <xf numFmtId="3" fontId="89" fillId="55" borderId="104" xfId="44" applyNumberFormat="1" applyFont="1" applyFill="1" applyBorder="1" applyAlignment="1">
      <alignment horizontal="center" vertical="center" wrapText="1"/>
    </xf>
    <xf numFmtId="3" fontId="83" fillId="51" borderId="104" xfId="44" applyNumberFormat="1" applyFont="1" applyFill="1" applyBorder="1" applyAlignment="1">
      <alignment horizontal="center" vertical="center" wrapText="1"/>
    </xf>
    <xf numFmtId="3" fontId="105" fillId="55" borderId="104" xfId="44" applyNumberFormat="1" applyFont="1" applyFill="1" applyBorder="1" applyAlignment="1">
      <alignment horizontal="center" vertical="center" wrapText="1"/>
    </xf>
    <xf numFmtId="0" fontId="25" fillId="49" borderId="103" xfId="0" applyFont="1" applyFill="1" applyBorder="1" applyAlignment="1">
      <alignment vertical="center"/>
    </xf>
    <xf numFmtId="0" fontId="25" fillId="56" borderId="103" xfId="0" applyFont="1" applyFill="1" applyBorder="1" applyAlignment="1">
      <alignment vertical="center"/>
    </xf>
    <xf numFmtId="0" fontId="83" fillId="52" borderId="103" xfId="0" applyFont="1" applyFill="1" applyBorder="1" applyAlignment="1">
      <alignment vertical="center"/>
    </xf>
    <xf numFmtId="20" fontId="112" fillId="0" borderId="0" xfId="43" applyNumberFormat="1" applyFont="1" applyAlignment="1" applyProtection="1">
      <alignment vertical="center" wrapText="1"/>
      <protection hidden="1"/>
    </xf>
    <xf numFmtId="20" fontId="113" fillId="0" borderId="0" xfId="43" applyNumberFormat="1" applyFont="1" applyAlignment="1" applyProtection="1">
      <alignment vertical="center" wrapText="1"/>
      <protection hidden="1"/>
    </xf>
    <xf numFmtId="20" fontId="114" fillId="0" borderId="0" xfId="43" applyNumberFormat="1" applyFont="1" applyAlignment="1" applyProtection="1">
      <alignment vertical="center" wrapText="1"/>
      <protection hidden="1"/>
    </xf>
    <xf numFmtId="3" fontId="7" fillId="54" borderId="0" xfId="43" applyNumberFormat="1" applyFont="1" applyFill="1" applyAlignment="1" applyProtection="1">
      <alignment horizontal="center" vertical="center"/>
      <protection hidden="1"/>
    </xf>
    <xf numFmtId="3" fontId="26" fillId="57" borderId="27" xfId="0" applyNumberFormat="1" applyFont="1" applyFill="1" applyBorder="1" applyAlignment="1" applyProtection="1">
      <alignment horizontal="center" vertical="center"/>
      <protection hidden="1"/>
    </xf>
    <xf numFmtId="0" fontId="5" fillId="54" borderId="0" xfId="0" applyFont="1" applyFill="1" applyAlignment="1" applyProtection="1">
      <alignment vertical="center"/>
      <protection hidden="1"/>
    </xf>
    <xf numFmtId="0" fontId="25" fillId="54" borderId="0" xfId="0" applyFont="1" applyFill="1" applyAlignment="1" applyProtection="1">
      <alignment vertical="center"/>
      <protection hidden="1"/>
    </xf>
    <xf numFmtId="3" fontId="26" fillId="54" borderId="0" xfId="43" applyNumberFormat="1" applyFont="1" applyFill="1" applyAlignment="1" applyProtection="1">
      <alignment horizontal="center" vertical="center"/>
      <protection hidden="1"/>
    </xf>
    <xf numFmtId="168" fontId="79" fillId="53" borderId="0" xfId="43" applyNumberFormat="1" applyFont="1" applyFill="1" applyAlignment="1" applyProtection="1">
      <alignment horizontal="center" vertical="center"/>
      <protection hidden="1"/>
    </xf>
    <xf numFmtId="168" fontId="103" fillId="53" borderId="0" xfId="43" applyNumberFormat="1" applyFont="1" applyFill="1" applyAlignment="1" applyProtection="1">
      <alignment horizontal="center" vertical="center"/>
      <protection hidden="1"/>
    </xf>
    <xf numFmtId="0" fontId="5" fillId="53" borderId="0" xfId="0" applyFont="1" applyFill="1" applyAlignment="1" applyProtection="1">
      <alignment vertical="center"/>
      <protection hidden="1"/>
    </xf>
    <xf numFmtId="20" fontId="7" fillId="58" borderId="0" xfId="43" applyNumberFormat="1" applyFont="1" applyFill="1" applyAlignment="1" applyProtection="1">
      <alignment horizontal="center" vertical="center"/>
      <protection hidden="1"/>
    </xf>
    <xf numFmtId="20" fontId="5" fillId="58" borderId="0" xfId="43" applyNumberFormat="1" applyFont="1" applyFill="1" applyAlignment="1" applyProtection="1">
      <alignment horizontal="center" vertical="center"/>
      <protection hidden="1"/>
    </xf>
    <xf numFmtId="0" fontId="5" fillId="56" borderId="0" xfId="0" applyFont="1" applyFill="1" applyAlignment="1" applyProtection="1">
      <alignment vertical="center"/>
      <protection hidden="1"/>
    </xf>
    <xf numFmtId="20" fontId="7" fillId="56" borderId="0" xfId="43" applyNumberFormat="1" applyFont="1" applyFill="1" applyAlignment="1" applyProtection="1">
      <alignment horizontal="center" vertical="center"/>
      <protection hidden="1"/>
    </xf>
    <xf numFmtId="170" fontId="101" fillId="59" borderId="105" xfId="0" applyNumberFormat="1" applyFont="1" applyFill="1" applyBorder="1" applyAlignment="1" applyProtection="1">
      <alignment horizontal="center" vertical="center"/>
      <protection hidden="1"/>
    </xf>
    <xf numFmtId="0" fontId="54" fillId="53" borderId="105" xfId="0" applyFont="1" applyFill="1" applyBorder="1" applyAlignment="1" applyProtection="1">
      <alignment vertical="center"/>
      <protection hidden="1"/>
    </xf>
    <xf numFmtId="170" fontId="75" fillId="59" borderId="105" xfId="0" applyNumberFormat="1" applyFont="1" applyFill="1" applyBorder="1" applyAlignment="1" applyProtection="1">
      <alignment horizontal="center" vertical="center"/>
      <protection hidden="1"/>
    </xf>
    <xf numFmtId="0" fontId="90" fillId="0" borderId="0" xfId="43" applyFont="1" applyAlignment="1" applyProtection="1">
      <alignment vertical="center"/>
      <protection hidden="1"/>
    </xf>
    <xf numFmtId="166" fontId="92" fillId="0" borderId="0" xfId="43" applyNumberFormat="1" applyFont="1" applyAlignment="1" applyProtection="1">
      <alignment horizontal="center" vertical="center"/>
      <protection hidden="1"/>
    </xf>
    <xf numFmtId="166" fontId="93" fillId="0" borderId="0" xfId="43" applyNumberFormat="1" applyFont="1" applyAlignment="1" applyProtection="1">
      <alignment horizontal="center" vertical="center"/>
      <protection hidden="1"/>
    </xf>
    <xf numFmtId="166" fontId="94" fillId="0" borderId="0" xfId="43" applyNumberFormat="1" applyFont="1" applyAlignment="1" applyProtection="1">
      <alignment horizontal="center" vertical="center"/>
      <protection hidden="1"/>
    </xf>
    <xf numFmtId="166" fontId="107" fillId="0" borderId="0" xfId="43" applyNumberFormat="1" applyFont="1" applyAlignment="1" applyProtection="1">
      <alignment horizontal="center" vertical="center"/>
      <protection hidden="1"/>
    </xf>
    <xf numFmtId="174" fontId="27" fillId="0" borderId="104" xfId="43" applyNumberFormat="1" applyFont="1" applyBorder="1" applyAlignment="1" applyProtection="1">
      <alignment horizontal="center" vertical="center" wrapText="1"/>
      <protection hidden="1"/>
    </xf>
    <xf numFmtId="170" fontId="27" fillId="0" borderId="104" xfId="0" applyNumberFormat="1" applyFont="1" applyBorder="1" applyAlignment="1" applyProtection="1">
      <alignment horizontal="center" vertical="center"/>
      <protection hidden="1"/>
    </xf>
    <xf numFmtId="0" fontId="28" fillId="0" borderId="104" xfId="0" applyFont="1" applyBorder="1" applyAlignment="1" applyProtection="1">
      <alignment vertical="center"/>
      <protection hidden="1"/>
    </xf>
    <xf numFmtId="174" fontId="115" fillId="59" borderId="105" xfId="43" applyNumberFormat="1" applyFont="1" applyFill="1" applyBorder="1" applyAlignment="1" applyProtection="1">
      <alignment horizontal="center" vertical="center" wrapText="1"/>
      <protection hidden="1"/>
    </xf>
    <xf numFmtId="170" fontId="101" fillId="0" borderId="105" xfId="0" applyNumberFormat="1" applyFont="1" applyBorder="1" applyAlignment="1" applyProtection="1">
      <alignment horizontal="center" vertical="center"/>
      <protection hidden="1"/>
    </xf>
    <xf numFmtId="0" fontId="94" fillId="0" borderId="0" xfId="0" applyFont="1" applyProtection="1">
      <protection hidden="1"/>
    </xf>
    <xf numFmtId="20" fontId="69" fillId="0" borderId="0" xfId="43" applyNumberFormat="1" applyFont="1" applyAlignment="1" applyProtection="1">
      <alignment horizontal="center"/>
      <protection hidden="1"/>
    </xf>
    <xf numFmtId="20" fontId="5" fillId="0" borderId="0" xfId="43" applyNumberFormat="1" applyFont="1" applyAlignment="1" applyProtection="1">
      <alignment horizontal="center" vertical="center"/>
      <protection hidden="1"/>
    </xf>
    <xf numFmtId="20" fontId="102" fillId="0" borderId="0" xfId="43" applyNumberFormat="1" applyFont="1" applyAlignment="1" applyProtection="1">
      <alignment horizontal="center" vertical="center"/>
      <protection hidden="1"/>
    </xf>
    <xf numFmtId="3" fontId="25" fillId="0" borderId="104" xfId="0" applyNumberFormat="1" applyFont="1" applyBorder="1" applyProtection="1">
      <protection hidden="1"/>
    </xf>
    <xf numFmtId="0" fontId="100" fillId="0" borderId="0" xfId="0" applyFont="1" applyProtection="1">
      <protection hidden="1"/>
    </xf>
    <xf numFmtId="169" fontId="96" fillId="0" borderId="0" xfId="38" applyNumberFormat="1" applyFont="1" applyFill="1" applyBorder="1" applyAlignment="1">
      <alignment horizontal="center" vertical="center"/>
    </xf>
    <xf numFmtId="0" fontId="0" fillId="0" borderId="70" xfId="0" applyBorder="1"/>
    <xf numFmtId="168" fontId="116" fillId="24" borderId="69" xfId="43" applyNumberFormat="1" applyFont="1" applyFill="1" applyBorder="1" applyAlignment="1">
      <alignment horizontal="center" vertical="center" wrapText="1"/>
    </xf>
    <xf numFmtId="3" fontId="116" fillId="25" borderId="68" xfId="44" applyNumberFormat="1" applyFont="1" applyFill="1" applyBorder="1" applyAlignment="1">
      <alignment horizontal="center" vertical="center" wrapText="1"/>
    </xf>
    <xf numFmtId="0" fontId="117" fillId="7" borderId="0" xfId="0" applyFont="1" applyFill="1"/>
    <xf numFmtId="0" fontId="117" fillId="50" borderId="0" xfId="0" applyFont="1" applyFill="1"/>
    <xf numFmtId="20" fontId="118" fillId="47" borderId="0" xfId="43" applyNumberFormat="1" applyFont="1" applyFill="1" applyAlignment="1">
      <alignment horizontal="center" vertical="center"/>
    </xf>
    <xf numFmtId="20" fontId="69" fillId="48" borderId="0" xfId="43" applyNumberFormat="1" applyFont="1" applyFill="1" applyAlignment="1">
      <alignment horizontal="center"/>
    </xf>
    <xf numFmtId="20" fontId="5" fillId="39" borderId="0" xfId="43" applyNumberFormat="1" applyFont="1" applyFill="1" applyAlignment="1">
      <alignment horizontal="center" vertical="center"/>
    </xf>
    <xf numFmtId="170" fontId="115" fillId="59" borderId="105" xfId="0" applyNumberFormat="1" applyFont="1" applyFill="1" applyBorder="1" applyAlignment="1" applyProtection="1">
      <alignment horizontal="center" vertical="center"/>
      <protection hidden="1"/>
    </xf>
    <xf numFmtId="0" fontId="40" fillId="7" borderId="74" xfId="0" applyFont="1" applyFill="1" applyBorder="1" applyAlignment="1">
      <alignment horizontal="left" vertical="top" wrapText="1"/>
    </xf>
    <xf numFmtId="0" fontId="40" fillId="7" borderId="75" xfId="0" applyFont="1" applyFill="1" applyBorder="1" applyAlignment="1">
      <alignment horizontal="left" vertical="top" wrapText="1"/>
    </xf>
    <xf numFmtId="0" fontId="40" fillId="7" borderId="76" xfId="0" applyFont="1" applyFill="1" applyBorder="1" applyAlignment="1">
      <alignment horizontal="left" vertical="top" wrapText="1"/>
    </xf>
    <xf numFmtId="0" fontId="40" fillId="7" borderId="77" xfId="0" applyFont="1" applyFill="1" applyBorder="1" applyAlignment="1">
      <alignment horizontal="left" vertical="top" wrapText="1"/>
    </xf>
    <xf numFmtId="0" fontId="40" fillId="7" borderId="78" xfId="0" applyFont="1" applyFill="1" applyBorder="1" applyAlignment="1">
      <alignment horizontal="left" vertical="top" wrapText="1"/>
    </xf>
    <xf numFmtId="0" fontId="40" fillId="7" borderId="79" xfId="0" applyFont="1" applyFill="1" applyBorder="1" applyAlignment="1">
      <alignment horizontal="center" vertical="top" wrapText="1"/>
    </xf>
    <xf numFmtId="0" fontId="40" fillId="7" borderId="80" xfId="0" applyFont="1" applyFill="1" applyBorder="1" applyAlignment="1">
      <alignment horizontal="center" vertical="top" wrapText="1"/>
    </xf>
    <xf numFmtId="0" fontId="40" fillId="7" borderId="81" xfId="0" applyFont="1" applyFill="1" applyBorder="1" applyAlignment="1">
      <alignment horizontal="center" vertical="top" wrapText="1"/>
    </xf>
    <xf numFmtId="0" fontId="40" fillId="7" borderId="82" xfId="0" applyFont="1" applyFill="1" applyBorder="1" applyAlignment="1">
      <alignment horizontal="center" vertical="top" wrapText="1"/>
    </xf>
    <xf numFmtId="0" fontId="40" fillId="7" borderId="83" xfId="0" applyFont="1" applyFill="1" applyBorder="1" applyAlignment="1">
      <alignment horizontal="center" vertical="top" wrapText="1"/>
    </xf>
    <xf numFmtId="0" fontId="40" fillId="7" borderId="84" xfId="0" applyFont="1" applyFill="1" applyBorder="1" applyAlignment="1">
      <alignment horizontal="center" vertical="top" wrapText="1"/>
    </xf>
    <xf numFmtId="0" fontId="40" fillId="7" borderId="85" xfId="0" applyFont="1" applyFill="1" applyBorder="1" applyAlignment="1">
      <alignment horizontal="center" vertical="top" wrapText="1"/>
    </xf>
    <xf numFmtId="0" fontId="40" fillId="7" borderId="86" xfId="0" applyFont="1" applyFill="1" applyBorder="1" applyAlignment="1">
      <alignment horizontal="center" vertical="top" wrapText="1"/>
    </xf>
    <xf numFmtId="0" fontId="40" fillId="7" borderId="87" xfId="0" applyFont="1" applyFill="1" applyBorder="1" applyAlignment="1">
      <alignment horizontal="center" vertical="top" wrapText="1"/>
    </xf>
    <xf numFmtId="0" fontId="40" fillId="7" borderId="88" xfId="0" applyFont="1" applyFill="1" applyBorder="1" applyAlignment="1">
      <alignment horizontal="left" vertical="top" wrapText="1"/>
    </xf>
    <xf numFmtId="0" fontId="40" fillId="7" borderId="80" xfId="0" applyFont="1" applyFill="1" applyBorder="1" applyAlignment="1">
      <alignment horizontal="left" vertical="top" wrapText="1"/>
    </xf>
    <xf numFmtId="0" fontId="40" fillId="7" borderId="81" xfId="0" applyFont="1" applyFill="1" applyBorder="1" applyAlignment="1">
      <alignment horizontal="left" vertical="top" wrapText="1"/>
    </xf>
    <xf numFmtId="171" fontId="17" fillId="13" borderId="28" xfId="39" applyNumberFormat="1" applyFont="1" applyFill="1" applyBorder="1" applyAlignment="1">
      <alignment horizontal="center" vertical="center" wrapText="1"/>
    </xf>
    <xf numFmtId="171" fontId="17" fillId="13" borderId="0" xfId="39" applyNumberFormat="1" applyFont="1" applyFill="1" applyBorder="1" applyAlignment="1">
      <alignment horizontal="center" vertical="center" wrapText="1"/>
    </xf>
    <xf numFmtId="0" fontId="0" fillId="0" borderId="0" xfId="0" applyAlignment="1">
      <alignment horizontal="center" vertical="center" wrapText="1"/>
    </xf>
    <xf numFmtId="0" fontId="0" fillId="0" borderId="36" xfId="0" applyBorder="1" applyAlignment="1">
      <alignment horizontal="center" vertical="center" wrapText="1"/>
    </xf>
    <xf numFmtId="171" fontId="17" fillId="13" borderId="30" xfId="39" applyNumberFormat="1" applyFont="1" applyFill="1" applyBorder="1" applyAlignment="1">
      <alignment horizontal="center" vertical="center" wrapText="1"/>
    </xf>
    <xf numFmtId="171" fontId="17" fillId="13" borderId="31" xfId="39" applyNumberFormat="1" applyFont="1" applyFill="1" applyBorder="1" applyAlignment="1">
      <alignment horizontal="center" vertical="center" wrapText="1"/>
    </xf>
    <xf numFmtId="171" fontId="17" fillId="13" borderId="89" xfId="39" applyNumberFormat="1" applyFont="1" applyFill="1" applyBorder="1" applyAlignment="1">
      <alignment horizontal="center" vertical="center" wrapText="1"/>
    </xf>
    <xf numFmtId="171" fontId="17" fillId="13" borderId="90" xfId="39" applyNumberFormat="1" applyFont="1" applyFill="1" applyBorder="1" applyAlignment="1">
      <alignment horizontal="center" vertical="center" wrapText="1"/>
    </xf>
    <xf numFmtId="171" fontId="17" fillId="13" borderId="91" xfId="39" applyNumberFormat="1" applyFont="1" applyFill="1" applyBorder="1" applyAlignment="1">
      <alignment horizontal="center" vertical="center" wrapText="1"/>
    </xf>
    <xf numFmtId="171" fontId="17" fillId="13" borderId="92" xfId="39" applyNumberFormat="1" applyFont="1" applyFill="1" applyBorder="1" applyAlignment="1">
      <alignment horizontal="center" vertical="center" wrapText="1"/>
    </xf>
    <xf numFmtId="171" fontId="17" fillId="13" borderId="33" xfId="39" applyNumberFormat="1" applyFont="1" applyFill="1" applyBorder="1" applyAlignment="1">
      <alignment horizontal="center" vertical="center" wrapText="1"/>
    </xf>
    <xf numFmtId="171" fontId="17" fillId="13" borderId="1" xfId="39" applyNumberFormat="1" applyFont="1" applyFill="1" applyBorder="1" applyAlignment="1">
      <alignment horizontal="center" vertical="center" wrapText="1"/>
    </xf>
    <xf numFmtId="0" fontId="0" fillId="0" borderId="31" xfId="0" applyBorder="1" applyAlignment="1">
      <alignment horizontal="center" vertical="center" wrapText="1"/>
    </xf>
    <xf numFmtId="0" fontId="0" fillId="0" borderId="89" xfId="0" applyBorder="1" applyAlignment="1">
      <alignment horizontal="center" vertical="center" wrapText="1"/>
    </xf>
    <xf numFmtId="1" fontId="56" fillId="6" borderId="71" xfId="43" applyNumberFormat="1" applyFont="1" applyFill="1" applyBorder="1" applyAlignment="1" applyProtection="1">
      <alignment horizontal="center" vertical="center"/>
      <protection hidden="1"/>
    </xf>
    <xf numFmtId="1" fontId="56" fillId="6" borderId="101" xfId="43" applyNumberFormat="1" applyFont="1" applyFill="1" applyBorder="1" applyAlignment="1" applyProtection="1">
      <alignment horizontal="center" vertical="center"/>
      <protection hidden="1"/>
    </xf>
    <xf numFmtId="1" fontId="56" fillId="6" borderId="102" xfId="43" applyNumberFormat="1" applyFont="1" applyFill="1" applyBorder="1" applyAlignment="1" applyProtection="1">
      <alignment horizontal="center" vertical="center"/>
      <protection hidden="1"/>
    </xf>
    <xf numFmtId="170" fontId="110" fillId="37" borderId="0" xfId="0" applyNumberFormat="1" applyFont="1" applyFill="1" applyAlignment="1">
      <alignment horizontal="center" vertical="center"/>
    </xf>
    <xf numFmtId="20" fontId="82" fillId="47" borderId="0" xfId="43" applyNumberFormat="1" applyFont="1" applyFill="1" applyAlignment="1">
      <alignment horizontal="center" vertical="center"/>
    </xf>
    <xf numFmtId="20" fontId="77" fillId="17" borderId="0" xfId="43" applyNumberFormat="1" applyFont="1" applyFill="1" applyAlignment="1" applyProtection="1">
      <alignment horizontal="center" vertical="center"/>
      <protection hidden="1"/>
    </xf>
  </cellXfs>
  <cellStyles count="55">
    <cellStyle name="Calculated Column - IBM Cognos" xfId="1" xr:uid="{00000000-0005-0000-0000-000000000000}"/>
    <cellStyle name="Calculated Column Name - IBM Cognos" xfId="2" xr:uid="{00000000-0005-0000-0000-000001000000}"/>
    <cellStyle name="Calculated Row - IBM Cognos" xfId="3" xr:uid="{00000000-0005-0000-0000-000002000000}"/>
    <cellStyle name="Calculated Row Name - IBM Cognos" xfId="4" xr:uid="{00000000-0005-0000-0000-000003000000}"/>
    <cellStyle name="Column Name - IBM Cognos" xfId="5" xr:uid="{00000000-0005-0000-0000-000004000000}"/>
    <cellStyle name="Column Template - IBM Cognos" xfId="6" xr:uid="{00000000-0005-0000-0000-000005000000}"/>
    <cellStyle name="Differs From Base - IBM Cognos" xfId="7" xr:uid="{00000000-0005-0000-0000-000006000000}"/>
    <cellStyle name="Euro" xfId="8" xr:uid="{00000000-0005-0000-0000-000007000000}"/>
    <cellStyle name="Group Name - IBM Cognos" xfId="9" xr:uid="{00000000-0005-0000-0000-000008000000}"/>
    <cellStyle name="Hold Values - IBM Cognos" xfId="10" xr:uid="{00000000-0005-0000-0000-000009000000}"/>
    <cellStyle name="IBM Cognos - Calculated Column" xfId="11" xr:uid="{00000000-0005-0000-0000-00000A000000}"/>
    <cellStyle name="IBM Cognos - Calculated Column Name" xfId="12" xr:uid="{00000000-0005-0000-0000-00000B000000}"/>
    <cellStyle name="IBM Cognos - Calculated Row" xfId="13" xr:uid="{00000000-0005-0000-0000-00000C000000}"/>
    <cellStyle name="IBM Cognos - Calculated Row Name" xfId="14" xr:uid="{00000000-0005-0000-0000-00000D000000}"/>
    <cellStyle name="IBM Cognos - Column Name" xfId="15" xr:uid="{00000000-0005-0000-0000-00000E000000}"/>
    <cellStyle name="IBM Cognos - Column Template" xfId="16" xr:uid="{00000000-0005-0000-0000-00000F000000}"/>
    <cellStyle name="IBM Cognos - Group Name" xfId="17" xr:uid="{00000000-0005-0000-0000-000010000000}"/>
    <cellStyle name="IBM Cognos - List Name" xfId="18" xr:uid="{00000000-0005-0000-0000-000011000000}"/>
    <cellStyle name="IBM Cognos - Measure" xfId="19" xr:uid="{00000000-0005-0000-0000-000012000000}"/>
    <cellStyle name="IBM Cognos - Measure Name" xfId="20" xr:uid="{00000000-0005-0000-0000-000013000000}"/>
    <cellStyle name="IBM Cognos - Measure Summary" xfId="21" xr:uid="{00000000-0005-0000-0000-000014000000}"/>
    <cellStyle name="IBM Cognos - Measure Template" xfId="22" xr:uid="{00000000-0005-0000-0000-000015000000}"/>
    <cellStyle name="IBM Cognos - More" xfId="23" xr:uid="{00000000-0005-0000-0000-000016000000}"/>
    <cellStyle name="IBM Cognos - Row Name" xfId="24" xr:uid="{00000000-0005-0000-0000-000017000000}"/>
    <cellStyle name="IBM Cognos - Row Template" xfId="25" xr:uid="{00000000-0005-0000-0000-000018000000}"/>
    <cellStyle name="IBM Cognos - Summary Column" xfId="26" xr:uid="{00000000-0005-0000-0000-000019000000}"/>
    <cellStyle name="IBM Cognos - Summary Column Name" xfId="27" xr:uid="{00000000-0005-0000-0000-00001A000000}"/>
    <cellStyle name="IBM Cognos - Summary Row" xfId="28" xr:uid="{00000000-0005-0000-0000-00001B000000}"/>
    <cellStyle name="IBM Cognos - Summary Row Name" xfId="29" xr:uid="{00000000-0005-0000-0000-00001C000000}"/>
    <cellStyle name="List Name - IBM Cognos" xfId="30" xr:uid="{00000000-0005-0000-0000-00001D000000}"/>
    <cellStyle name="Locked - IBM Cognos" xfId="31" xr:uid="{00000000-0005-0000-0000-00001E000000}"/>
    <cellStyle name="Measure - IBM Cognos" xfId="32" xr:uid="{00000000-0005-0000-0000-00001F000000}"/>
    <cellStyle name="Measure Header - IBM Cognos" xfId="33" xr:uid="{00000000-0005-0000-0000-000020000000}"/>
    <cellStyle name="Measure Name - IBM Cognos" xfId="34" xr:uid="{00000000-0005-0000-0000-000021000000}"/>
    <cellStyle name="Measure Summary - IBM Cognos" xfId="35" xr:uid="{00000000-0005-0000-0000-000022000000}"/>
    <cellStyle name="Measure Summary TM1 - IBM Cognos" xfId="36" xr:uid="{00000000-0005-0000-0000-000023000000}"/>
    <cellStyle name="Measure Template - IBM Cognos" xfId="37" xr:uid="{00000000-0005-0000-0000-000024000000}"/>
    <cellStyle name="Milliers" xfId="38" builtinId="3"/>
    <cellStyle name="Milliers 2" xfId="54" xr:uid="{00000000-0005-0000-0000-000026000000}"/>
    <cellStyle name="Milliers_budget 2005 mensuel et jour jour version du 24 septembre 2004" xfId="39" xr:uid="{00000000-0005-0000-0000-000027000000}"/>
    <cellStyle name="Milliers_Classeur1" xfId="40" xr:uid="{00000000-0005-0000-0000-000028000000}"/>
    <cellStyle name="More - IBM Cognos" xfId="41" xr:uid="{00000000-0005-0000-0000-000029000000}"/>
    <cellStyle name="Normal" xfId="0" builtinId="0"/>
    <cellStyle name="Normal_budget 2005 mensuel et jour jour version du 24 septembre 2004" xfId="42" xr:uid="{00000000-0005-0000-0000-00002B000000}"/>
    <cellStyle name="Normal_calendrier 2000 version sb" xfId="43" xr:uid="{00000000-0005-0000-0000-00002C000000}"/>
    <cellStyle name="Normal_Calendrier 2001_2002 (Ver.10)" xfId="44" xr:uid="{00000000-0005-0000-0000-00002D000000}"/>
    <cellStyle name="Pending Change - IBM Cognos" xfId="45" xr:uid="{00000000-0005-0000-0000-00002E000000}"/>
    <cellStyle name="Pourcentage" xfId="46" builtinId="5"/>
    <cellStyle name="Row Name - IBM Cognos" xfId="47" xr:uid="{00000000-0005-0000-0000-000030000000}"/>
    <cellStyle name="Row Template - IBM Cognos" xfId="48" xr:uid="{00000000-0005-0000-0000-000031000000}"/>
    <cellStyle name="Summary Column Name - IBM Cognos" xfId="49" xr:uid="{00000000-0005-0000-0000-000032000000}"/>
    <cellStyle name="Summary Column Name TM1 - IBM Cognos" xfId="50" xr:uid="{00000000-0005-0000-0000-000033000000}"/>
    <cellStyle name="Summary Row Name - IBM Cognos" xfId="51" xr:uid="{00000000-0005-0000-0000-000034000000}"/>
    <cellStyle name="Summary Row Name TM1 - IBM Cognos" xfId="52" xr:uid="{00000000-0005-0000-0000-000035000000}"/>
    <cellStyle name="Unsaved Change - IBM Cognos" xfId="53" xr:uid="{00000000-0005-0000-0000-000036000000}"/>
  </cellStyles>
  <dxfs count="423">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fgColor indexed="42"/>
          <bgColor indexed="42"/>
        </patternFill>
      </fill>
    </dxf>
    <dxf>
      <font>
        <b/>
        <i val="0"/>
        <condense val="0"/>
        <extend val="0"/>
        <color auto="1"/>
      </font>
      <fill>
        <patternFill>
          <fgColor indexed="45"/>
          <bgColor indexed="45"/>
        </patternFill>
      </fill>
    </dxf>
    <dxf>
      <font>
        <b/>
        <i val="0"/>
        <condense val="0"/>
        <extend val="0"/>
        <color indexed="9"/>
      </font>
      <fill>
        <patternFill>
          <fgColor indexed="10"/>
          <bgColor indexed="10"/>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ont>
        <condense val="0"/>
        <extend val="0"/>
        <color indexed="9"/>
      </font>
      <fill>
        <patternFill>
          <bgColor indexed="14"/>
        </patternFill>
      </fill>
    </dxf>
    <dxf>
      <font>
        <b/>
        <i val="0"/>
        <condense val="0"/>
        <extend val="0"/>
        <color indexed="10"/>
      </font>
    </dxf>
    <dxf>
      <fill>
        <patternFill>
          <bgColor indexed="22"/>
        </patternFill>
      </fill>
    </dxf>
    <dxf>
      <fill>
        <patternFill>
          <bgColor indexed="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FFDFDFDF"/>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FFBDD6E7"/>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image" Target="../media/image1.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1" u="none" strike="noStrike" baseline="0">
                <a:solidFill>
                  <a:srgbClr val="FFFF00"/>
                </a:solidFill>
                <a:latin typeface="Comic Sans MS"/>
                <a:ea typeface="Comic Sans MS"/>
                <a:cs typeface="Comic Sans MS"/>
              </a:defRPr>
            </a:pPr>
            <a:r>
              <a:rPr lang="fr-FR"/>
              <a:t> FREQUENTATION ANNUELLE 2021/2022        </a:t>
            </a:r>
          </a:p>
        </c:rich>
      </c:tx>
      <c:layout>
        <c:manualLayout>
          <c:xMode val="edge"/>
          <c:yMode val="edge"/>
          <c:x val="0.38244545322493562"/>
          <c:y val="2.0249281719105561E-2"/>
        </c:manualLayout>
      </c:layout>
      <c:overlay val="0"/>
      <c:spPr>
        <a:gradFill rotWithShape="0">
          <a:gsLst>
            <a:gs pos="0">
              <a:srgbClr xmlns:mc="http://schemas.openxmlformats.org/markup-compatibility/2006" xmlns:a14="http://schemas.microsoft.com/office/drawing/2010/main" val="00FFFF" mc:Ignorable="a14" a14:legacySpreadsheetColorIndex="35"/>
            </a:gs>
            <a:gs pos="100000">
              <a:srgbClr xmlns:mc="http://schemas.openxmlformats.org/markup-compatibility/2006" xmlns:a14="http://schemas.microsoft.com/office/drawing/2010/main" val="007676" mc:Ignorable="a14" a14:legacySpreadsheetColorIndex="35">
                <a:gamma/>
                <a:shade val="46275"/>
                <a:invGamma/>
              </a:srgbClr>
            </a:gs>
          </a:gsLst>
          <a:path path="rect">
            <a:fillToRect t="100000" r="100000"/>
          </a:path>
        </a:gradFill>
        <a:ln w="38100">
          <a:solidFill>
            <a:srgbClr val="FFFF00"/>
          </a:solidFill>
          <a:prstDash val="solid"/>
        </a:ln>
        <a:effectLst>
          <a:outerShdw dist="35921" dir="2700000" algn="br">
            <a:srgbClr val="000000"/>
          </a:outerShdw>
        </a:effectLst>
      </c:spPr>
    </c:title>
    <c:autoTitleDeleted val="0"/>
    <c:plotArea>
      <c:layout>
        <c:manualLayout>
          <c:layoutTarget val="inner"/>
          <c:xMode val="edge"/>
          <c:yMode val="edge"/>
          <c:x val="6.3218439896773712E-2"/>
          <c:y val="0.1282338628466799"/>
          <c:w val="0.90394161145770113"/>
          <c:h val="0.727415436708158"/>
        </c:manualLayout>
      </c:layout>
      <c:lineChart>
        <c:grouping val="standard"/>
        <c:varyColors val="0"/>
        <c:ser>
          <c:idx val="0"/>
          <c:order val="0"/>
          <c:tx>
            <c:strRef>
              <c:f>'Synthèse '!$A$12</c:f>
              <c:strCache>
                <c:ptCount val="1"/>
                <c:pt idx="0">
                  <c:v>Individuels</c:v>
                </c:pt>
              </c:strCache>
            </c:strRef>
          </c:tx>
          <c:spPr>
            <a:ln w="25400">
              <a:solidFill>
                <a:srgbClr val="FF0000"/>
              </a:solidFill>
              <a:prstDash val="solid"/>
            </a:ln>
          </c:spPr>
          <c:marker>
            <c:symbol val="triangle"/>
            <c:size val="7"/>
            <c:spPr>
              <a:solidFill>
                <a:srgbClr val="FFFF00"/>
              </a:solidFill>
              <a:ln>
                <a:solidFill>
                  <a:srgbClr val="FF0000"/>
                </a:solidFill>
                <a:prstDash val="solid"/>
              </a:ln>
            </c:spPr>
          </c:marker>
          <c:cat>
            <c:numRef>
              <c:f>'Synthèse '!$B$3:$M$3</c:f>
              <c:numCache>
                <c:formatCode>mmm\-yy</c:formatCode>
                <c:ptCount val="12"/>
                <c:pt idx="0">
                  <c:v>45200</c:v>
                </c:pt>
                <c:pt idx="1">
                  <c:v>45231</c:v>
                </c:pt>
                <c:pt idx="2">
                  <c:v>45261</c:v>
                </c:pt>
                <c:pt idx="3">
                  <c:v>45292</c:v>
                </c:pt>
                <c:pt idx="4">
                  <c:v>45323</c:v>
                </c:pt>
                <c:pt idx="5">
                  <c:v>45352</c:v>
                </c:pt>
                <c:pt idx="6">
                  <c:v>45383</c:v>
                </c:pt>
                <c:pt idx="7">
                  <c:v>45413</c:v>
                </c:pt>
                <c:pt idx="8">
                  <c:v>45444</c:v>
                </c:pt>
                <c:pt idx="9">
                  <c:v>45474</c:v>
                </c:pt>
                <c:pt idx="10">
                  <c:v>45505</c:v>
                </c:pt>
                <c:pt idx="11">
                  <c:v>45536</c:v>
                </c:pt>
              </c:numCache>
            </c:numRef>
          </c:cat>
          <c:val>
            <c:numRef>
              <c:f>'Synthèse '!$B$12:$M$12</c:f>
              <c:numCache>
                <c:formatCode>#,##0</c:formatCode>
                <c:ptCount val="12"/>
                <c:pt idx="0">
                  <c:v>123430</c:v>
                </c:pt>
                <c:pt idx="1">
                  <c:v>56550</c:v>
                </c:pt>
                <c:pt idx="2">
                  <c:v>100100</c:v>
                </c:pt>
                <c:pt idx="3">
                  <c:v>48600</c:v>
                </c:pt>
                <c:pt idx="4">
                  <c:v>106300</c:v>
                </c:pt>
                <c:pt idx="5">
                  <c:v>113500</c:v>
                </c:pt>
                <c:pt idx="6">
                  <c:v>154800</c:v>
                </c:pt>
                <c:pt idx="7">
                  <c:v>134550</c:v>
                </c:pt>
                <c:pt idx="8">
                  <c:v>72700</c:v>
                </c:pt>
                <c:pt idx="9">
                  <c:v>197400</c:v>
                </c:pt>
                <c:pt idx="10">
                  <c:v>349600</c:v>
                </c:pt>
                <c:pt idx="11">
                  <c:v>67600</c:v>
                </c:pt>
              </c:numCache>
            </c:numRef>
          </c:val>
          <c:smooth val="1"/>
          <c:extLst>
            <c:ext xmlns:c16="http://schemas.microsoft.com/office/drawing/2014/chart" uri="{C3380CC4-5D6E-409C-BE32-E72D297353CC}">
              <c16:uniqueId val="{00000000-6CA8-4299-B750-70F846B9B2B3}"/>
            </c:ext>
          </c:extLst>
        </c:ser>
        <c:ser>
          <c:idx val="1"/>
          <c:order val="1"/>
          <c:tx>
            <c:strRef>
              <c:f>'Synthèse '!$A$15</c:f>
              <c:strCache>
                <c:ptCount val="1"/>
                <c:pt idx="0">
                  <c:v>Total Groupes</c:v>
                </c:pt>
              </c:strCache>
            </c:strRef>
          </c:tx>
          <c:spPr>
            <a:ln w="25400">
              <a:solidFill>
                <a:srgbClr val="FF00FF"/>
              </a:solidFill>
              <a:prstDash val="solid"/>
            </a:ln>
          </c:spPr>
          <c:marker>
            <c:symbol val="square"/>
            <c:size val="7"/>
            <c:spPr>
              <a:solidFill>
                <a:srgbClr val="800080"/>
              </a:solidFill>
              <a:ln>
                <a:solidFill>
                  <a:srgbClr val="FF00FF"/>
                </a:solidFill>
                <a:prstDash val="solid"/>
              </a:ln>
            </c:spPr>
          </c:marker>
          <c:cat>
            <c:numRef>
              <c:f>'Synthèse '!$B$3:$M$3</c:f>
              <c:numCache>
                <c:formatCode>mmm\-yy</c:formatCode>
                <c:ptCount val="12"/>
                <c:pt idx="0">
                  <c:v>45200</c:v>
                </c:pt>
                <c:pt idx="1">
                  <c:v>45231</c:v>
                </c:pt>
                <c:pt idx="2">
                  <c:v>45261</c:v>
                </c:pt>
                <c:pt idx="3">
                  <c:v>45292</c:v>
                </c:pt>
                <c:pt idx="4">
                  <c:v>45323</c:v>
                </c:pt>
                <c:pt idx="5">
                  <c:v>45352</c:v>
                </c:pt>
                <c:pt idx="6">
                  <c:v>45383</c:v>
                </c:pt>
                <c:pt idx="7">
                  <c:v>45413</c:v>
                </c:pt>
                <c:pt idx="8">
                  <c:v>45444</c:v>
                </c:pt>
                <c:pt idx="9">
                  <c:v>45474</c:v>
                </c:pt>
                <c:pt idx="10">
                  <c:v>45505</c:v>
                </c:pt>
                <c:pt idx="11">
                  <c:v>45536</c:v>
                </c:pt>
              </c:numCache>
            </c:numRef>
          </c:cat>
          <c:val>
            <c:numRef>
              <c:f>'Synthèse '!$B$15:$M$15</c:f>
              <c:numCache>
                <c:formatCode>#,##0</c:formatCode>
                <c:ptCount val="12"/>
                <c:pt idx="0">
                  <c:v>22150</c:v>
                </c:pt>
                <c:pt idx="1">
                  <c:v>11690</c:v>
                </c:pt>
                <c:pt idx="2">
                  <c:v>10150</c:v>
                </c:pt>
                <c:pt idx="3">
                  <c:v>510</c:v>
                </c:pt>
                <c:pt idx="4">
                  <c:v>7100</c:v>
                </c:pt>
                <c:pt idx="5">
                  <c:v>26280</c:v>
                </c:pt>
                <c:pt idx="6">
                  <c:v>27840</c:v>
                </c:pt>
                <c:pt idx="7">
                  <c:v>37495</c:v>
                </c:pt>
                <c:pt idx="8">
                  <c:v>58760</c:v>
                </c:pt>
                <c:pt idx="9">
                  <c:v>20450</c:v>
                </c:pt>
                <c:pt idx="10">
                  <c:v>8620</c:v>
                </c:pt>
                <c:pt idx="11">
                  <c:v>18030</c:v>
                </c:pt>
              </c:numCache>
            </c:numRef>
          </c:val>
          <c:smooth val="1"/>
          <c:extLst>
            <c:ext xmlns:c16="http://schemas.microsoft.com/office/drawing/2014/chart" uri="{C3380CC4-5D6E-409C-BE32-E72D297353CC}">
              <c16:uniqueId val="{00000001-6CA8-4299-B750-70F846B9B2B3}"/>
            </c:ext>
          </c:extLst>
        </c:ser>
        <c:ser>
          <c:idx val="2"/>
          <c:order val="2"/>
          <c:tx>
            <c:strRef>
              <c:f>'Synthèse '!$A$20</c:f>
              <c:strCache>
                <c:ptCount val="1"/>
                <c:pt idx="0">
                  <c:v>Divers</c:v>
                </c:pt>
              </c:strCache>
            </c:strRef>
          </c:tx>
          <c:spPr>
            <a:ln w="25400">
              <a:solidFill>
                <a:srgbClr val="3366FF"/>
              </a:solidFill>
              <a:prstDash val="lgDash"/>
            </a:ln>
          </c:spPr>
          <c:marker>
            <c:symbol val="triangle"/>
            <c:size val="7"/>
            <c:spPr>
              <a:solidFill>
                <a:srgbClr val="0000FF"/>
              </a:solidFill>
              <a:ln>
                <a:solidFill>
                  <a:srgbClr val="FFFF00"/>
                </a:solidFill>
                <a:prstDash val="solid"/>
              </a:ln>
            </c:spPr>
          </c:marker>
          <c:cat>
            <c:numRef>
              <c:f>'Synthèse '!$B$3:$M$3</c:f>
              <c:numCache>
                <c:formatCode>mmm\-yy</c:formatCode>
                <c:ptCount val="12"/>
                <c:pt idx="0">
                  <c:v>45200</c:v>
                </c:pt>
                <c:pt idx="1">
                  <c:v>45231</c:v>
                </c:pt>
                <c:pt idx="2">
                  <c:v>45261</c:v>
                </c:pt>
                <c:pt idx="3">
                  <c:v>45292</c:v>
                </c:pt>
                <c:pt idx="4">
                  <c:v>45323</c:v>
                </c:pt>
                <c:pt idx="5">
                  <c:v>45352</c:v>
                </c:pt>
                <c:pt idx="6">
                  <c:v>45383</c:v>
                </c:pt>
                <c:pt idx="7">
                  <c:v>45413</c:v>
                </c:pt>
                <c:pt idx="8">
                  <c:v>45444</c:v>
                </c:pt>
                <c:pt idx="9">
                  <c:v>45474</c:v>
                </c:pt>
                <c:pt idx="10">
                  <c:v>45505</c:v>
                </c:pt>
                <c:pt idx="11">
                  <c:v>45536</c:v>
                </c:pt>
              </c:numCache>
            </c:numRef>
          </c:cat>
          <c:val>
            <c:numRef>
              <c:f>'Synthèse '!$B$20:$M$20</c:f>
              <c:numCache>
                <c:formatCode>#,##0</c:formatCode>
                <c:ptCount val="12"/>
                <c:pt idx="0">
                  <c:v>17168</c:v>
                </c:pt>
                <c:pt idx="1">
                  <c:v>5630</c:v>
                </c:pt>
                <c:pt idx="2">
                  <c:v>8230</c:v>
                </c:pt>
                <c:pt idx="3">
                  <c:v>5950</c:v>
                </c:pt>
                <c:pt idx="4">
                  <c:v>8410</c:v>
                </c:pt>
                <c:pt idx="5">
                  <c:v>9078</c:v>
                </c:pt>
                <c:pt idx="6">
                  <c:v>12370</c:v>
                </c:pt>
                <c:pt idx="7">
                  <c:v>13278</c:v>
                </c:pt>
                <c:pt idx="8">
                  <c:v>21780</c:v>
                </c:pt>
                <c:pt idx="9">
                  <c:v>18420</c:v>
                </c:pt>
                <c:pt idx="10">
                  <c:v>23335</c:v>
                </c:pt>
                <c:pt idx="11">
                  <c:v>12970</c:v>
                </c:pt>
              </c:numCache>
            </c:numRef>
          </c:val>
          <c:smooth val="1"/>
          <c:extLst>
            <c:ext xmlns:c16="http://schemas.microsoft.com/office/drawing/2014/chart" uri="{C3380CC4-5D6E-409C-BE32-E72D297353CC}">
              <c16:uniqueId val="{00000002-6CA8-4299-B750-70F846B9B2B3}"/>
            </c:ext>
          </c:extLst>
        </c:ser>
        <c:ser>
          <c:idx val="4"/>
          <c:order val="3"/>
          <c:tx>
            <c:strRef>
              <c:f>'Synthèse '!$A$22</c:f>
              <c:strCache>
                <c:ptCount val="1"/>
                <c:pt idx="0">
                  <c:v>Fréquentation</c:v>
                </c:pt>
              </c:strCache>
            </c:strRef>
          </c:tx>
          <c:spPr>
            <a:ln w="25400">
              <a:solidFill>
                <a:srgbClr val="33CCCC"/>
              </a:solidFill>
              <a:prstDash val="solid"/>
            </a:ln>
          </c:spPr>
          <c:marker>
            <c:symbol val="star"/>
            <c:size val="5"/>
            <c:spPr>
              <a:solidFill>
                <a:srgbClr val="008080"/>
              </a:solidFill>
              <a:ln>
                <a:solidFill>
                  <a:srgbClr val="00FF00"/>
                </a:solidFill>
                <a:prstDash val="solid"/>
              </a:ln>
            </c:spPr>
          </c:marker>
          <c:cat>
            <c:numRef>
              <c:f>'Synthèse '!$B$3:$M$3</c:f>
              <c:numCache>
                <c:formatCode>mmm\-yy</c:formatCode>
                <c:ptCount val="12"/>
                <c:pt idx="0">
                  <c:v>45200</c:v>
                </c:pt>
                <c:pt idx="1">
                  <c:v>45231</c:v>
                </c:pt>
                <c:pt idx="2">
                  <c:v>45261</c:v>
                </c:pt>
                <c:pt idx="3">
                  <c:v>45292</c:v>
                </c:pt>
                <c:pt idx="4">
                  <c:v>45323</c:v>
                </c:pt>
                <c:pt idx="5">
                  <c:v>45352</c:v>
                </c:pt>
                <c:pt idx="6">
                  <c:v>45383</c:v>
                </c:pt>
                <c:pt idx="7">
                  <c:v>45413</c:v>
                </c:pt>
                <c:pt idx="8">
                  <c:v>45444</c:v>
                </c:pt>
                <c:pt idx="9">
                  <c:v>45474</c:v>
                </c:pt>
                <c:pt idx="10">
                  <c:v>45505</c:v>
                </c:pt>
                <c:pt idx="11">
                  <c:v>45536</c:v>
                </c:pt>
              </c:numCache>
            </c:numRef>
          </c:cat>
          <c:val>
            <c:numRef>
              <c:f>'Synthèse '!$B$22:$M$22</c:f>
              <c:numCache>
                <c:formatCode>#,##0</c:formatCode>
                <c:ptCount val="12"/>
                <c:pt idx="0">
                  <c:v>162748</c:v>
                </c:pt>
                <c:pt idx="1">
                  <c:v>73870</c:v>
                </c:pt>
                <c:pt idx="2">
                  <c:v>118480</c:v>
                </c:pt>
                <c:pt idx="3">
                  <c:v>55060</c:v>
                </c:pt>
                <c:pt idx="4">
                  <c:v>121810</c:v>
                </c:pt>
                <c:pt idx="5">
                  <c:v>148858</c:v>
                </c:pt>
                <c:pt idx="6">
                  <c:v>195010</c:v>
                </c:pt>
                <c:pt idx="7">
                  <c:v>185323</c:v>
                </c:pt>
                <c:pt idx="8">
                  <c:v>153240</c:v>
                </c:pt>
                <c:pt idx="9">
                  <c:v>236270</c:v>
                </c:pt>
                <c:pt idx="10">
                  <c:v>381555</c:v>
                </c:pt>
                <c:pt idx="11">
                  <c:v>98600</c:v>
                </c:pt>
              </c:numCache>
            </c:numRef>
          </c:val>
          <c:smooth val="1"/>
          <c:extLst>
            <c:ext xmlns:c16="http://schemas.microsoft.com/office/drawing/2014/chart" uri="{C3380CC4-5D6E-409C-BE32-E72D297353CC}">
              <c16:uniqueId val="{00000003-6CA8-4299-B750-70F846B9B2B3}"/>
            </c:ext>
          </c:extLst>
        </c:ser>
        <c:dLbls>
          <c:showLegendKey val="0"/>
          <c:showVal val="0"/>
          <c:showCatName val="0"/>
          <c:showSerName val="0"/>
          <c:showPercent val="0"/>
          <c:showBubbleSize val="0"/>
        </c:dLbls>
        <c:marker val="1"/>
        <c:smooth val="0"/>
        <c:axId val="732877824"/>
        <c:axId val="677875648"/>
      </c:lineChart>
      <c:catAx>
        <c:axId val="732877824"/>
        <c:scaling>
          <c:orientation val="minMax"/>
        </c:scaling>
        <c:delete val="0"/>
        <c:axPos val="b"/>
        <c:numFmt formatCode="mmm\-yy" sourceLinked="1"/>
        <c:majorTickMark val="cross"/>
        <c:minorTickMark val="none"/>
        <c:tickLblPos val="nextTo"/>
        <c:spPr>
          <a:ln w="3175">
            <a:solidFill>
              <a:srgbClr val="008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677875648"/>
        <c:crosses val="autoZero"/>
        <c:auto val="0"/>
        <c:lblAlgn val="ctr"/>
        <c:lblOffset val="100"/>
        <c:tickLblSkip val="1"/>
        <c:tickMarkSkip val="1"/>
        <c:noMultiLvlLbl val="0"/>
      </c:catAx>
      <c:valAx>
        <c:axId val="677875648"/>
        <c:scaling>
          <c:orientation val="minMax"/>
          <c:min val="0"/>
        </c:scaling>
        <c:delete val="0"/>
        <c:axPos val="l"/>
        <c:majorGridlines>
          <c:spPr>
            <a:ln w="3175">
              <a:solidFill>
                <a:srgbClr val="00808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333399"/>
                </a:solidFill>
                <a:latin typeface="Arial"/>
                <a:ea typeface="Arial"/>
                <a:cs typeface="Arial"/>
              </a:defRPr>
            </a:pPr>
            <a:endParaRPr lang="fr-FR"/>
          </a:p>
        </c:txPr>
        <c:crossAx val="732877824"/>
        <c:crosses val="autoZero"/>
        <c:crossBetween val="midCat"/>
      </c:valAx>
      <c:spPr>
        <a:gradFill rotWithShape="0">
          <a:gsLst>
            <a:gs pos="0">
              <a:srgbClr val="CCFFCC"/>
            </a:gs>
            <a:gs pos="50000">
              <a:srgbClr val="FFFF99"/>
            </a:gs>
            <a:gs pos="100000">
              <a:srgbClr val="CCFFCC"/>
            </a:gs>
          </a:gsLst>
          <a:lin ang="18900000" scaled="1"/>
        </a:gradFill>
        <a:ln w="12700">
          <a:solidFill>
            <a:srgbClr val="808080"/>
          </a:solidFill>
          <a:prstDash val="solid"/>
        </a:ln>
      </c:spPr>
    </c:plotArea>
    <c:legend>
      <c:legendPos val="r"/>
      <c:layout>
        <c:manualLayout>
          <c:xMode val="edge"/>
          <c:yMode val="edge"/>
          <c:x val="0.24287982989468088"/>
          <c:y val="0.93458091103098095"/>
          <c:w val="0.46281662181467825"/>
          <c:h val="5.7632562284854583E-2"/>
        </c:manualLayout>
      </c:layout>
      <c:overlay val="0"/>
      <c:spPr>
        <a:solidFill>
          <a:srgbClr val="FFFFFF"/>
        </a:solidFill>
        <a:ln w="25400">
          <a:noFill/>
        </a:ln>
      </c:spPr>
      <c:txPr>
        <a:bodyPr/>
        <a:lstStyle/>
        <a:p>
          <a:pPr>
            <a:defRPr sz="105" b="0" i="0" u="none" strike="noStrike" baseline="0">
              <a:solidFill>
                <a:srgbClr val="000000"/>
              </a:solidFill>
              <a:latin typeface="Comic Sans MS"/>
              <a:ea typeface="Comic Sans MS"/>
              <a:cs typeface="Comic Sans MS"/>
            </a:defRPr>
          </a:pPr>
          <a:endParaRPr lang="fr-FR"/>
        </a:p>
      </c:txPr>
    </c:legend>
    <c:plotVisOnly val="1"/>
    <c:dispBlanksAs val="gap"/>
    <c:showDLblsOverMax val="0"/>
  </c:chart>
  <c:spPr>
    <a:blipFill dpi="0" rotWithShape="0">
      <a:blip xmlns:r="http://schemas.openxmlformats.org/officeDocument/2006/relationships" r:embed="rId1"/>
      <a:srcRect/>
      <a:tile tx="0" ty="0" sx="100000" sy="100000" flip="none" algn="tl"/>
    </a:blipFill>
    <a:ln w="9525">
      <a:noFill/>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26</xdr:row>
      <xdr:rowOff>104775</xdr:rowOff>
    </xdr:from>
    <xdr:to>
      <xdr:col>14</xdr:col>
      <xdr:colOff>171450</xdr:colOff>
      <xdr:row>53</xdr:row>
      <xdr:rowOff>219075</xdr:rowOff>
    </xdr:to>
    <xdr:graphicFrame macro="">
      <xdr:nvGraphicFramePr>
        <xdr:cNvPr id="14811" name="Graphique 3">
          <a:extLst>
            <a:ext uri="{FF2B5EF4-FFF2-40B4-BE49-F238E27FC236}">
              <a16:creationId xmlns:a16="http://schemas.microsoft.com/office/drawing/2014/main" id="{00000000-0008-0000-1000-0000DB3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tage%20SI\Machine%20Learning\Futuroscope\windows\donne_brut\cadence\horaire2023.xlsx" TargetMode="External"/><Relationship Id="rId1" Type="http://schemas.openxmlformats.org/officeDocument/2006/relationships/externalLinkPath" Target="horaire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euil4"/>
      <sheetName val="1,6"/>
      <sheetName val="6 - 1,6M visite 181109"/>
      <sheetName val="Cognos_Office_Connection_Cache"/>
      <sheetName val="Janvier"/>
      <sheetName val="Fevrier"/>
      <sheetName val="Mars"/>
      <sheetName val="Avril"/>
      <sheetName val="Mai"/>
      <sheetName val="Juin"/>
      <sheetName val="Juillet"/>
      <sheetName val="Aout"/>
      <sheetName val="Septembre"/>
      <sheetName val="Octobre"/>
      <sheetName val="Novembre"/>
      <sheetName val="Décembre"/>
      <sheetName val="Synthèse "/>
      <sheetName val="Feui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2">
          <cell r="AH12">
            <v>10.645833333333334</v>
          </cell>
        </row>
        <row r="20">
          <cell r="AH20">
            <v>22</v>
          </cell>
        </row>
        <row r="22">
          <cell r="AH22">
            <v>50280</v>
          </cell>
        </row>
        <row r="23">
          <cell r="AH23">
            <v>73150</v>
          </cell>
        </row>
        <row r="25">
          <cell r="AH25">
            <v>14270</v>
          </cell>
        </row>
        <row r="26">
          <cell r="AH26">
            <v>7880</v>
          </cell>
        </row>
        <row r="28">
          <cell r="AH28">
            <v>1710</v>
          </cell>
        </row>
        <row r="29">
          <cell r="AH29">
            <v>3010</v>
          </cell>
        </row>
        <row r="30">
          <cell r="AH30">
            <v>4858</v>
          </cell>
        </row>
        <row r="31">
          <cell r="AH31">
            <v>7590</v>
          </cell>
        </row>
        <row r="44">
          <cell r="AH44">
            <v>22</v>
          </cell>
        </row>
      </sheetData>
      <sheetData sheetId="14">
        <row r="12">
          <cell r="AH12">
            <v>5.0104166666666661</v>
          </cell>
        </row>
        <row r="20">
          <cell r="AH20">
            <v>11</v>
          </cell>
        </row>
        <row r="22">
          <cell r="AH22">
            <v>21250</v>
          </cell>
        </row>
        <row r="23">
          <cell r="AH23">
            <v>35300</v>
          </cell>
        </row>
        <row r="25">
          <cell r="AH25">
            <v>10190</v>
          </cell>
        </row>
        <row r="26">
          <cell r="AH26">
            <v>1500</v>
          </cell>
        </row>
        <row r="28">
          <cell r="AH28">
            <v>600</v>
          </cell>
        </row>
        <row r="29">
          <cell r="AH29">
            <v>1320</v>
          </cell>
        </row>
        <row r="30">
          <cell r="AH30">
            <v>1050</v>
          </cell>
        </row>
        <row r="31">
          <cell r="AH31">
            <v>2660</v>
          </cell>
        </row>
        <row r="44">
          <cell r="AH44">
            <v>11</v>
          </cell>
        </row>
      </sheetData>
      <sheetData sheetId="15">
        <row r="12">
          <cell r="AH12">
            <v>7.0625000000000036</v>
          </cell>
        </row>
        <row r="20">
          <cell r="AH20">
            <v>16</v>
          </cell>
        </row>
        <row r="22">
          <cell r="AH22">
            <v>23300</v>
          </cell>
        </row>
        <row r="23">
          <cell r="AH23">
            <v>76800</v>
          </cell>
        </row>
        <row r="25">
          <cell r="AH25">
            <v>9470</v>
          </cell>
        </row>
        <row r="26">
          <cell r="AH26">
            <v>680</v>
          </cell>
        </row>
        <row r="28">
          <cell r="AH28">
            <v>660</v>
          </cell>
        </row>
        <row r="29">
          <cell r="AH29">
            <v>1410</v>
          </cell>
        </row>
        <row r="30">
          <cell r="AH30">
            <v>935</v>
          </cell>
        </row>
        <row r="31">
          <cell r="AH31">
            <v>5225</v>
          </cell>
        </row>
        <row r="44">
          <cell r="AH44">
            <v>15</v>
          </cell>
        </row>
      </sheetData>
      <sheetData sheetId="16" refreshError="1"/>
      <sheetData sheetId="1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17.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 Id="rId9"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D19"/>
  <sheetViews>
    <sheetView workbookViewId="0">
      <selection activeCell="B8" sqref="B8:D8"/>
    </sheetView>
  </sheetViews>
  <sheetFormatPr baseColWidth="10" defaultRowHeight="13.2" x14ac:dyDescent="0.25"/>
  <cols>
    <col min="1" max="4" width="25.6640625" customWidth="1"/>
  </cols>
  <sheetData>
    <row r="1" spans="1:4" x14ac:dyDescent="0.25">
      <c r="A1" s="143" t="s">
        <v>66</v>
      </c>
    </row>
    <row r="2" spans="1:4" x14ac:dyDescent="0.25">
      <c r="A2" s="144"/>
    </row>
    <row r="3" spans="1:4" ht="13.8" thickBot="1" x14ac:dyDescent="0.3">
      <c r="A3" s="147"/>
      <c r="B3" s="148" t="s">
        <v>67</v>
      </c>
      <c r="C3" s="148" t="s">
        <v>68</v>
      </c>
      <c r="D3" s="149" t="s">
        <v>69</v>
      </c>
    </row>
    <row r="4" spans="1:4" ht="13.8" thickBot="1" x14ac:dyDescent="0.3">
      <c r="A4" s="150" t="s">
        <v>70</v>
      </c>
      <c r="B4" s="670" t="s">
        <v>71</v>
      </c>
      <c r="C4" s="671"/>
      <c r="D4" s="672"/>
    </row>
    <row r="5" spans="1:4" ht="13.8" thickBot="1" x14ac:dyDescent="0.3">
      <c r="A5" s="150" t="s">
        <v>72</v>
      </c>
      <c r="B5" s="670" t="s">
        <v>73</v>
      </c>
      <c r="C5" s="671"/>
      <c r="D5" s="672"/>
    </row>
    <row r="6" spans="1:4" ht="12.75" customHeight="1" x14ac:dyDescent="0.25">
      <c r="A6" s="662" t="s">
        <v>57</v>
      </c>
      <c r="B6" s="664" t="s">
        <v>74</v>
      </c>
      <c r="C6" s="665"/>
      <c r="D6" s="666"/>
    </row>
    <row r="7" spans="1:4" ht="13.8" thickBot="1" x14ac:dyDescent="0.3">
      <c r="A7" s="663"/>
      <c r="B7" s="667" t="s">
        <v>75</v>
      </c>
      <c r="C7" s="668"/>
      <c r="D7" s="669"/>
    </row>
    <row r="8" spans="1:4" ht="12.75" customHeight="1" x14ac:dyDescent="0.25">
      <c r="A8" s="662" t="s">
        <v>55</v>
      </c>
      <c r="B8" s="664" t="s">
        <v>76</v>
      </c>
      <c r="C8" s="665"/>
      <c r="D8" s="666"/>
    </row>
    <row r="9" spans="1:4" ht="13.8" thickBot="1" x14ac:dyDescent="0.3">
      <c r="A9" s="663"/>
      <c r="B9" s="667" t="s">
        <v>77</v>
      </c>
      <c r="C9" s="668"/>
      <c r="D9" s="669"/>
    </row>
    <row r="10" spans="1:4" x14ac:dyDescent="0.25">
      <c r="A10" s="662" t="s">
        <v>78</v>
      </c>
      <c r="B10" s="145" t="s">
        <v>79</v>
      </c>
      <c r="C10" s="145" t="s">
        <v>81</v>
      </c>
      <c r="D10" s="151" t="s">
        <v>83</v>
      </c>
    </row>
    <row r="11" spans="1:4" ht="13.8" thickBot="1" x14ac:dyDescent="0.3">
      <c r="A11" s="663"/>
      <c r="B11" s="146" t="s">
        <v>80</v>
      </c>
      <c r="C11" s="146" t="s">
        <v>82</v>
      </c>
      <c r="D11" s="152" t="s">
        <v>84</v>
      </c>
    </row>
    <row r="12" spans="1:4" x14ac:dyDescent="0.25">
      <c r="A12" s="662" t="s">
        <v>85</v>
      </c>
      <c r="B12" s="145" t="s">
        <v>86</v>
      </c>
      <c r="C12" s="145" t="s">
        <v>88</v>
      </c>
      <c r="D12" s="151" t="s">
        <v>90</v>
      </c>
    </row>
    <row r="13" spans="1:4" ht="13.8" thickBot="1" x14ac:dyDescent="0.3">
      <c r="A13" s="663"/>
      <c r="B13" s="146" t="s">
        <v>87</v>
      </c>
      <c r="C13" s="146" t="s">
        <v>89</v>
      </c>
      <c r="D13" s="152" t="s">
        <v>91</v>
      </c>
    </row>
    <row r="14" spans="1:4" ht="13.8" thickBot="1" x14ac:dyDescent="0.3">
      <c r="A14" s="150" t="s">
        <v>92</v>
      </c>
      <c r="B14" s="670" t="s">
        <v>93</v>
      </c>
      <c r="C14" s="671"/>
      <c r="D14" s="672"/>
    </row>
    <row r="15" spans="1:4" ht="51" customHeight="1" x14ac:dyDescent="0.25">
      <c r="A15" s="673" t="s">
        <v>94</v>
      </c>
      <c r="B15" s="674"/>
      <c r="C15" s="674"/>
      <c r="D15" s="675"/>
    </row>
    <row r="16" spans="1:4" ht="51" customHeight="1" x14ac:dyDescent="0.25">
      <c r="A16" s="659" t="s">
        <v>95</v>
      </c>
      <c r="B16" s="660"/>
      <c r="C16" s="660"/>
      <c r="D16" s="661"/>
    </row>
    <row r="17" spans="1:1" x14ac:dyDescent="0.25">
      <c r="A17" s="153" t="s">
        <v>96</v>
      </c>
    </row>
    <row r="18" spans="1:1" x14ac:dyDescent="0.25">
      <c r="A18" s="153" t="s">
        <v>97</v>
      </c>
    </row>
    <row r="19" spans="1:1" x14ac:dyDescent="0.25">
      <c r="A19" s="154"/>
    </row>
  </sheetData>
  <customSheetViews>
    <customSheetView guid="{0CC54A28-7FC1-4543-ABB1-95D1AD8E8D9F}" fitToPage="1" state="hidden" showRuler="0">
      <selection activeCell="B8" sqref="B8:D8"/>
      <pageMargins left="0.78740157499999996" right="0.78740157499999996" top="0.984251969" bottom="0.984251969" header="0.4921259845" footer="0.4921259845"/>
      <pageSetup paperSize="9" orientation="landscape" r:id="rId1"/>
      <headerFooter alignWithMargins="0"/>
    </customSheetView>
    <customSheetView guid="{D8F48EB3-00E5-442F-8070-706BAA7F0CFD}" fitToPage="1" state="hidden" showRuler="0">
      <selection activeCell="B8" sqref="B8:D8"/>
      <pageMargins left="0.78740157499999996" right="0.78740157499999996" top="0.984251969" bottom="0.984251969" header="0.4921259845" footer="0.4921259845"/>
      <pageSetup paperSize="9" orientation="landscape" r:id="rId2"/>
      <headerFooter alignWithMargins="0"/>
    </customSheetView>
    <customSheetView guid="{B01F54CA-E090-4080-803C-0DB26461E19A}" fitToPage="1" state="hidden" showRuler="0">
      <selection activeCell="B8" sqref="B8:D8"/>
      <pageMargins left="0.78740157499999996" right="0.78740157499999996" top="0.984251969" bottom="0.984251969" header="0.4921259845" footer="0.4921259845"/>
      <pageSetup paperSize="9" orientation="landscape" r:id="rId3"/>
      <headerFooter alignWithMargins="0"/>
    </customSheetView>
    <customSheetView guid="{265D6D4F-CC86-4F32-A61E-82B4DF4FE015}" fitToPage="1" state="hidden" showRuler="0">
      <selection activeCell="B8" sqref="B8:D8"/>
      <pageMargins left="0.78740157499999996" right="0.78740157499999996" top="0.984251969" bottom="0.984251969" header="0.4921259845" footer="0.4921259845"/>
      <pageSetup paperSize="9" orientation="landscape" r:id="rId4"/>
      <headerFooter alignWithMargins="0"/>
    </customSheetView>
    <customSheetView guid="{8289FB4F-06F1-4AB6-859E-CE679DDE8633}" fitToPage="1" state="hidden" showRuler="0">
      <selection activeCell="B8" sqref="B8:D8"/>
      <pageMargins left="0.78740157499999996" right="0.78740157499999996" top="0.984251969" bottom="0.984251969" header="0.4921259845" footer="0.4921259845"/>
      <pageSetup paperSize="9" orientation="landscape" r:id="rId5"/>
      <headerFooter alignWithMargins="0"/>
    </customSheetView>
    <customSheetView guid="{45244E67-D811-4150-BEA1-A7A1C54045A9}" fitToPage="1" state="hidden" showRuler="0">
      <selection activeCell="B8" sqref="B8:D8"/>
      <pageMargins left="0.78740157499999996" right="0.78740157499999996" top="0.984251969" bottom="0.984251969" header="0.4921259845" footer="0.4921259845"/>
      <pageSetup paperSize="9" orientation="landscape" r:id="rId6"/>
      <headerFooter alignWithMargins="0"/>
    </customSheetView>
  </customSheetViews>
  <mergeCells count="13">
    <mergeCell ref="B4:D4"/>
    <mergeCell ref="B5:D5"/>
    <mergeCell ref="A6:A7"/>
    <mergeCell ref="B6:D6"/>
    <mergeCell ref="B7:D7"/>
    <mergeCell ref="A16:D16"/>
    <mergeCell ref="A8:A9"/>
    <mergeCell ref="B8:D8"/>
    <mergeCell ref="B9:D9"/>
    <mergeCell ref="A10:A11"/>
    <mergeCell ref="A12:A13"/>
    <mergeCell ref="B14:D14"/>
    <mergeCell ref="A15:D15"/>
  </mergeCells>
  <phoneticPr fontId="8" type="noConversion"/>
  <pageMargins left="0.78740157499999996" right="0.78740157499999996" top="0.984251969" bottom="0.984251969" header="0.4921259845" footer="0.4921259845"/>
  <pageSetup paperSize="9" orientation="landscape" r:id="rId7"/>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6"/>
  <dimension ref="A1:AF143"/>
  <sheetViews>
    <sheetView zoomScale="55" workbookViewId="0">
      <selection activeCell="B8" sqref="B8:D8"/>
    </sheetView>
  </sheetViews>
  <sheetFormatPr baseColWidth="10" defaultRowHeight="13.2" x14ac:dyDescent="0.25"/>
  <sheetData>
    <row r="1" spans="1:32" x14ac:dyDescent="0.25">
      <c r="B1" s="68">
        <v>40179</v>
      </c>
      <c r="C1" s="68">
        <v>40180</v>
      </c>
      <c r="D1" s="68">
        <v>40181</v>
      </c>
      <c r="E1" s="68">
        <v>40182</v>
      </c>
      <c r="F1" s="68">
        <v>40183</v>
      </c>
      <c r="G1" s="68">
        <v>40184</v>
      </c>
      <c r="H1" s="68">
        <v>40185</v>
      </c>
      <c r="I1" s="68">
        <v>40186</v>
      </c>
      <c r="J1" s="68">
        <v>40187</v>
      </c>
      <c r="K1" s="68">
        <v>40188</v>
      </c>
      <c r="L1" s="68">
        <v>40189</v>
      </c>
      <c r="M1" s="68">
        <v>40190</v>
      </c>
      <c r="N1" s="68">
        <v>40191</v>
      </c>
      <c r="O1" s="68">
        <v>40192</v>
      </c>
      <c r="P1" s="68">
        <v>40193</v>
      </c>
      <c r="Q1" s="68">
        <v>40194</v>
      </c>
      <c r="R1" s="68">
        <v>40195</v>
      </c>
      <c r="S1" s="68">
        <v>40196</v>
      </c>
      <c r="T1" s="68">
        <v>40197</v>
      </c>
      <c r="U1" s="68">
        <v>40198</v>
      </c>
      <c r="V1" s="68">
        <v>40199</v>
      </c>
      <c r="W1" s="68">
        <v>40200</v>
      </c>
      <c r="X1" s="68">
        <v>40201</v>
      </c>
      <c r="Y1" s="68">
        <v>40202</v>
      </c>
      <c r="Z1" s="68">
        <v>40203</v>
      </c>
      <c r="AA1" s="68">
        <v>40204</v>
      </c>
      <c r="AB1" s="68">
        <v>40205</v>
      </c>
      <c r="AC1" s="68">
        <v>40206</v>
      </c>
      <c r="AD1" s="68">
        <v>40207</v>
      </c>
      <c r="AE1" s="68">
        <v>40208</v>
      </c>
      <c r="AF1" s="68">
        <v>40209</v>
      </c>
    </row>
    <row r="2" spans="1:32" x14ac:dyDescent="0.25">
      <c r="A2" t="s">
        <v>38</v>
      </c>
      <c r="B2" s="41">
        <v>1716.4235294117648</v>
      </c>
      <c r="C2" s="41">
        <v>1981.5529411764705</v>
      </c>
      <c r="D2" s="41">
        <v>926.96470588235297</v>
      </c>
      <c r="E2" s="41">
        <v>0</v>
      </c>
      <c r="F2" s="41">
        <v>0</v>
      </c>
      <c r="G2" s="41">
        <v>0</v>
      </c>
      <c r="H2" s="41">
        <v>0</v>
      </c>
      <c r="I2" s="41">
        <v>0</v>
      </c>
      <c r="J2" s="41">
        <v>0</v>
      </c>
      <c r="K2" s="41">
        <v>0</v>
      </c>
      <c r="L2" s="41">
        <v>0</v>
      </c>
      <c r="M2" s="41">
        <v>0</v>
      </c>
      <c r="N2" s="41">
        <v>0</v>
      </c>
      <c r="O2" s="41">
        <v>0</v>
      </c>
      <c r="P2" s="41">
        <v>0</v>
      </c>
      <c r="Q2" s="41">
        <v>0</v>
      </c>
      <c r="R2" s="41">
        <v>0</v>
      </c>
      <c r="S2" s="41">
        <v>0</v>
      </c>
      <c r="T2" s="41">
        <v>0</v>
      </c>
      <c r="U2" s="41">
        <v>0</v>
      </c>
      <c r="V2" s="41">
        <v>0</v>
      </c>
      <c r="W2" s="41">
        <v>0</v>
      </c>
      <c r="X2" s="41">
        <v>0</v>
      </c>
      <c r="Y2" s="41">
        <v>0</v>
      </c>
      <c r="Z2" s="41">
        <v>0</v>
      </c>
      <c r="AA2" s="41">
        <v>0</v>
      </c>
      <c r="AB2" s="41">
        <v>0</v>
      </c>
      <c r="AC2" s="41">
        <v>0</v>
      </c>
      <c r="AD2" s="41">
        <v>0</v>
      </c>
      <c r="AE2" s="41">
        <v>0</v>
      </c>
      <c r="AF2" s="41">
        <v>0</v>
      </c>
    </row>
    <row r="3" spans="1:32" x14ac:dyDescent="0.25">
      <c r="A3" t="s">
        <v>98</v>
      </c>
      <c r="B3" s="41">
        <v>4016.2823529411767</v>
      </c>
      <c r="C3" s="41">
        <v>4005.2705882352943</v>
      </c>
      <c r="D3" s="41">
        <v>1280.0941176470587</v>
      </c>
      <c r="E3" s="41">
        <v>0</v>
      </c>
      <c r="F3" s="41">
        <v>0</v>
      </c>
      <c r="G3" s="41">
        <v>0</v>
      </c>
      <c r="H3" s="41">
        <v>0</v>
      </c>
      <c r="I3" s="41">
        <v>0</v>
      </c>
      <c r="J3" s="41">
        <v>0</v>
      </c>
      <c r="K3" s="41">
        <v>0</v>
      </c>
      <c r="L3" s="41">
        <v>0</v>
      </c>
      <c r="M3" s="41">
        <v>0</v>
      </c>
      <c r="N3" s="41">
        <v>0</v>
      </c>
      <c r="O3" s="41">
        <v>0</v>
      </c>
      <c r="P3" s="41">
        <v>0</v>
      </c>
      <c r="Q3" s="41">
        <v>0</v>
      </c>
      <c r="R3" s="41">
        <v>0</v>
      </c>
      <c r="S3" s="41">
        <v>0</v>
      </c>
      <c r="T3" s="41">
        <v>0</v>
      </c>
      <c r="U3" s="41">
        <v>0</v>
      </c>
      <c r="V3" s="41">
        <v>0</v>
      </c>
      <c r="W3" s="41">
        <v>0</v>
      </c>
      <c r="X3" s="41">
        <v>0</v>
      </c>
      <c r="Y3" s="41">
        <v>0</v>
      </c>
      <c r="Z3" s="41">
        <v>0</v>
      </c>
      <c r="AA3" s="41">
        <v>0</v>
      </c>
      <c r="AB3" s="41">
        <v>0</v>
      </c>
      <c r="AC3" s="41">
        <v>0</v>
      </c>
      <c r="AD3" s="41">
        <v>0</v>
      </c>
      <c r="AE3" s="41">
        <v>0</v>
      </c>
      <c r="AF3" s="41">
        <v>0</v>
      </c>
    </row>
    <row r="4" spans="1:32" x14ac:dyDescent="0.25">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row>
    <row r="5" spans="1:32" x14ac:dyDescent="0.25">
      <c r="A5" t="s">
        <v>99</v>
      </c>
      <c r="B5" s="41">
        <v>0</v>
      </c>
      <c r="C5" s="41">
        <v>0</v>
      </c>
      <c r="D5" s="41">
        <v>0</v>
      </c>
      <c r="E5" s="41">
        <v>0</v>
      </c>
      <c r="F5" s="41">
        <v>0</v>
      </c>
      <c r="G5" s="41">
        <v>0</v>
      </c>
      <c r="H5" s="41">
        <v>0</v>
      </c>
      <c r="I5" s="41">
        <v>0</v>
      </c>
      <c r="J5" s="41">
        <v>0</v>
      </c>
      <c r="K5" s="41">
        <v>0</v>
      </c>
      <c r="L5" s="41">
        <v>0</v>
      </c>
      <c r="M5" s="41">
        <v>0</v>
      </c>
      <c r="N5" s="41">
        <v>0</v>
      </c>
      <c r="O5" s="41">
        <v>0</v>
      </c>
      <c r="P5" s="41">
        <v>0</v>
      </c>
      <c r="Q5" s="41">
        <v>0</v>
      </c>
      <c r="R5" s="41">
        <v>0</v>
      </c>
      <c r="S5" s="41">
        <v>0</v>
      </c>
      <c r="T5" s="41">
        <v>0</v>
      </c>
      <c r="U5" s="41">
        <v>0</v>
      </c>
      <c r="V5" s="41">
        <v>0</v>
      </c>
      <c r="W5" s="41">
        <v>0</v>
      </c>
      <c r="X5" s="41">
        <v>0</v>
      </c>
      <c r="Y5" s="41">
        <v>0</v>
      </c>
      <c r="Z5" s="41">
        <v>0</v>
      </c>
      <c r="AA5" s="41">
        <v>0</v>
      </c>
      <c r="AB5" s="41">
        <v>0</v>
      </c>
      <c r="AC5" s="41">
        <v>0</v>
      </c>
      <c r="AD5" s="41">
        <v>0</v>
      </c>
      <c r="AE5" s="41">
        <v>0</v>
      </c>
      <c r="AF5" s="41">
        <v>0</v>
      </c>
    </row>
    <row r="6" spans="1:32" x14ac:dyDescent="0.25">
      <c r="A6" t="s">
        <v>51</v>
      </c>
      <c r="B6" s="41">
        <v>0</v>
      </c>
      <c r="C6" s="41">
        <v>0</v>
      </c>
      <c r="D6" s="41">
        <v>0</v>
      </c>
      <c r="E6" s="41">
        <v>0</v>
      </c>
      <c r="F6" s="41">
        <v>0</v>
      </c>
      <c r="G6" s="41">
        <v>0</v>
      </c>
      <c r="H6" s="41">
        <v>0</v>
      </c>
      <c r="I6" s="41">
        <v>0</v>
      </c>
      <c r="J6" s="41">
        <v>0</v>
      </c>
      <c r="K6" s="41">
        <v>0</v>
      </c>
      <c r="L6" s="41">
        <v>0</v>
      </c>
      <c r="M6" s="41">
        <v>0</v>
      </c>
      <c r="N6" s="41">
        <v>0</v>
      </c>
      <c r="O6" s="41">
        <v>0</v>
      </c>
      <c r="P6" s="41">
        <v>0</v>
      </c>
      <c r="Q6" s="41">
        <v>0</v>
      </c>
      <c r="R6" s="41">
        <v>0</v>
      </c>
      <c r="S6" s="41">
        <v>0</v>
      </c>
      <c r="T6" s="41">
        <v>0</v>
      </c>
      <c r="U6" s="41">
        <v>0</v>
      </c>
      <c r="V6" s="41">
        <v>0</v>
      </c>
      <c r="W6" s="41">
        <v>0</v>
      </c>
      <c r="X6" s="41">
        <v>0</v>
      </c>
      <c r="Y6" s="41">
        <v>0</v>
      </c>
      <c r="Z6" s="41">
        <v>0</v>
      </c>
      <c r="AA6" s="41">
        <v>0</v>
      </c>
      <c r="AB6" s="41">
        <v>0</v>
      </c>
      <c r="AC6" s="41">
        <v>0</v>
      </c>
      <c r="AD6" s="41">
        <v>0</v>
      </c>
      <c r="AE6" s="41">
        <v>0</v>
      </c>
      <c r="AF6" s="41">
        <v>0</v>
      </c>
    </row>
    <row r="7" spans="1:32" x14ac:dyDescent="0.25">
      <c r="B7" s="41"/>
      <c r="C7" s="41"/>
      <c r="D7" s="41"/>
      <c r="E7" s="41"/>
      <c r="F7" s="41"/>
      <c r="G7" s="41"/>
      <c r="H7" s="41"/>
      <c r="I7" s="41"/>
      <c r="J7" s="41"/>
      <c r="K7" s="41"/>
      <c r="L7" s="41"/>
      <c r="M7" s="41"/>
      <c r="N7" s="41"/>
      <c r="O7" s="41"/>
      <c r="P7" s="41"/>
      <c r="Q7" s="41"/>
      <c r="R7" s="41"/>
      <c r="S7" s="41"/>
      <c r="T7" s="41"/>
      <c r="U7" s="41"/>
      <c r="V7" s="41"/>
      <c r="W7" s="41"/>
      <c r="X7" s="41"/>
      <c r="Y7" s="41"/>
      <c r="Z7" s="41"/>
      <c r="AA7" s="41"/>
      <c r="AB7" s="41"/>
      <c r="AC7" s="41"/>
      <c r="AD7" s="41"/>
      <c r="AE7" s="41"/>
      <c r="AF7" s="41"/>
    </row>
    <row r="8" spans="1:32" x14ac:dyDescent="0.25">
      <c r="A8" t="s">
        <v>41</v>
      </c>
      <c r="B8" s="41">
        <v>0</v>
      </c>
      <c r="C8" s="41">
        <v>18.823529411764707</v>
      </c>
      <c r="D8" s="41">
        <v>18.823529411764707</v>
      </c>
      <c r="E8" s="41">
        <v>0</v>
      </c>
      <c r="F8" s="41">
        <v>0</v>
      </c>
      <c r="G8" s="41">
        <v>0</v>
      </c>
      <c r="H8" s="41">
        <v>0</v>
      </c>
      <c r="I8" s="41">
        <v>0</v>
      </c>
      <c r="J8" s="41">
        <v>0</v>
      </c>
      <c r="K8" s="41">
        <v>0</v>
      </c>
      <c r="L8" s="41">
        <v>0</v>
      </c>
      <c r="M8" s="41">
        <v>0</v>
      </c>
      <c r="N8" s="41">
        <v>0</v>
      </c>
      <c r="O8" s="41">
        <v>0</v>
      </c>
      <c r="P8" s="41">
        <v>0</v>
      </c>
      <c r="Q8" s="41">
        <v>0</v>
      </c>
      <c r="R8" s="41">
        <v>0</v>
      </c>
      <c r="S8" s="41">
        <v>0</v>
      </c>
      <c r="T8" s="41">
        <v>0</v>
      </c>
      <c r="U8" s="41">
        <v>0</v>
      </c>
      <c r="V8" s="41">
        <v>0</v>
      </c>
      <c r="W8" s="41">
        <v>0</v>
      </c>
      <c r="X8" s="41">
        <v>0</v>
      </c>
      <c r="Y8" s="41">
        <v>0</v>
      </c>
      <c r="Z8" s="41">
        <v>0</v>
      </c>
      <c r="AA8" s="41">
        <v>0</v>
      </c>
      <c r="AB8" s="41">
        <v>0</v>
      </c>
      <c r="AC8" s="41">
        <v>0</v>
      </c>
      <c r="AD8" s="41">
        <v>0</v>
      </c>
      <c r="AE8" s="41">
        <v>0</v>
      </c>
      <c r="AF8" s="41">
        <v>0</v>
      </c>
    </row>
    <row r="9" spans="1:32" x14ac:dyDescent="0.25">
      <c r="A9" t="s">
        <v>26</v>
      </c>
      <c r="B9" s="41">
        <v>112.94117647058823</v>
      </c>
      <c r="C9" s="41">
        <v>112.94117647058823</v>
      </c>
      <c r="D9" s="41">
        <v>112.94117647058823</v>
      </c>
      <c r="E9" s="41">
        <v>0</v>
      </c>
      <c r="F9" s="41">
        <v>0</v>
      </c>
      <c r="G9" s="41">
        <v>0</v>
      </c>
      <c r="H9" s="41">
        <v>0</v>
      </c>
      <c r="I9" s="41">
        <v>0</v>
      </c>
      <c r="J9" s="41">
        <v>0</v>
      </c>
      <c r="K9" s="41">
        <v>0</v>
      </c>
      <c r="L9" s="41">
        <v>0</v>
      </c>
      <c r="M9" s="41">
        <v>0</v>
      </c>
      <c r="N9" s="41">
        <v>0</v>
      </c>
      <c r="O9" s="41">
        <v>0</v>
      </c>
      <c r="P9" s="41">
        <v>0</v>
      </c>
      <c r="Q9" s="41">
        <v>0</v>
      </c>
      <c r="R9" s="41">
        <v>0</v>
      </c>
      <c r="S9" s="41">
        <v>0</v>
      </c>
      <c r="T9" s="41">
        <v>0</v>
      </c>
      <c r="U9" s="41">
        <v>0</v>
      </c>
      <c r="V9" s="41">
        <v>0</v>
      </c>
      <c r="W9" s="41">
        <v>0</v>
      </c>
      <c r="X9" s="41">
        <v>0</v>
      </c>
      <c r="Y9" s="41">
        <v>0</v>
      </c>
      <c r="Z9" s="41">
        <v>0</v>
      </c>
      <c r="AA9" s="41">
        <v>0</v>
      </c>
      <c r="AB9" s="41">
        <v>0</v>
      </c>
      <c r="AC9" s="41">
        <v>0</v>
      </c>
      <c r="AD9" s="41">
        <v>0</v>
      </c>
      <c r="AE9" s="41">
        <v>0</v>
      </c>
      <c r="AF9" s="41">
        <v>0</v>
      </c>
    </row>
    <row r="10" spans="1:32" x14ac:dyDescent="0.25">
      <c r="A10" t="s">
        <v>100</v>
      </c>
      <c r="B10" s="41">
        <v>16</v>
      </c>
      <c r="C10" s="41">
        <v>94.117647058823536</v>
      </c>
      <c r="D10" s="41">
        <v>541.17647058823525</v>
      </c>
      <c r="E10" s="41">
        <v>0</v>
      </c>
      <c r="F10" s="41">
        <v>658.82352941176475</v>
      </c>
      <c r="G10" s="41">
        <v>0</v>
      </c>
      <c r="H10" s="41">
        <v>188.23529411764707</v>
      </c>
      <c r="I10" s="41">
        <v>0</v>
      </c>
      <c r="J10" s="41">
        <v>21.647058823529413</v>
      </c>
      <c r="K10" s="41">
        <v>0</v>
      </c>
      <c r="L10" s="41">
        <v>0</v>
      </c>
      <c r="M10" s="41">
        <v>0</v>
      </c>
      <c r="N10" s="41">
        <v>0</v>
      </c>
      <c r="O10" s="41">
        <v>322.8235294117647</v>
      </c>
      <c r="P10" s="41">
        <v>59.294117647058826</v>
      </c>
      <c r="Q10" s="41">
        <v>0</v>
      </c>
      <c r="R10" s="41">
        <v>0</v>
      </c>
      <c r="S10" s="41">
        <v>28.235294117647058</v>
      </c>
      <c r="T10" s="41">
        <v>0</v>
      </c>
      <c r="U10" s="41">
        <v>235.29411764705881</v>
      </c>
      <c r="V10" s="41">
        <v>941.17647058823525</v>
      </c>
      <c r="W10" s="41">
        <v>94.117647058823536</v>
      </c>
      <c r="X10" s="41">
        <v>68.705882352941174</v>
      </c>
      <c r="Y10" s="41">
        <v>0</v>
      </c>
      <c r="Z10" s="41">
        <v>0</v>
      </c>
      <c r="AA10" s="41">
        <v>0</v>
      </c>
      <c r="AB10" s="41">
        <v>141.1764705882353</v>
      </c>
      <c r="AC10" s="41">
        <v>0</v>
      </c>
      <c r="AD10" s="41">
        <v>0</v>
      </c>
      <c r="AE10" s="41">
        <v>376.47058823529414</v>
      </c>
      <c r="AF10" s="41">
        <v>376.47058823529414</v>
      </c>
    </row>
    <row r="11" spans="1:32" x14ac:dyDescent="0.25">
      <c r="A11" t="s">
        <v>25</v>
      </c>
      <c r="B11" s="41">
        <v>635.29411764705878</v>
      </c>
      <c r="C11" s="41">
        <v>658.82352941176475</v>
      </c>
      <c r="D11" s="41">
        <v>357.64705882352939</v>
      </c>
      <c r="E11" s="41">
        <v>0</v>
      </c>
      <c r="F11" s="41">
        <v>0</v>
      </c>
      <c r="G11" s="41">
        <v>0</v>
      </c>
      <c r="H11" s="41">
        <v>0</v>
      </c>
      <c r="I11" s="41">
        <v>0</v>
      </c>
      <c r="J11" s="41">
        <v>0</v>
      </c>
      <c r="K11" s="41">
        <v>0</v>
      </c>
      <c r="L11" s="41">
        <v>0</v>
      </c>
      <c r="M11" s="41">
        <v>0</v>
      </c>
      <c r="N11" s="41">
        <v>0</v>
      </c>
      <c r="O11" s="41">
        <v>0</v>
      </c>
      <c r="P11" s="41">
        <v>0</v>
      </c>
      <c r="Q11" s="41">
        <v>0</v>
      </c>
      <c r="R11" s="41">
        <v>0</v>
      </c>
      <c r="S11" s="41">
        <v>0</v>
      </c>
      <c r="T11" s="41">
        <v>0</v>
      </c>
      <c r="U11" s="41">
        <v>0</v>
      </c>
      <c r="V11" s="41">
        <v>0</v>
      </c>
      <c r="W11" s="41">
        <v>0</v>
      </c>
      <c r="X11" s="41">
        <v>0</v>
      </c>
      <c r="Y11" s="41">
        <v>0</v>
      </c>
      <c r="Z11" s="41">
        <v>0</v>
      </c>
      <c r="AA11" s="41">
        <v>0</v>
      </c>
      <c r="AB11" s="41">
        <v>0</v>
      </c>
      <c r="AC11" s="41">
        <v>0</v>
      </c>
      <c r="AD11" s="41">
        <v>0</v>
      </c>
      <c r="AE11" s="41">
        <v>0</v>
      </c>
      <c r="AF11" s="41">
        <v>0</v>
      </c>
    </row>
    <row r="13" spans="1:32" x14ac:dyDescent="0.25">
      <c r="B13" s="81">
        <v>40210</v>
      </c>
      <c r="C13" s="81">
        <v>40211</v>
      </c>
      <c r="D13" s="81">
        <v>40212</v>
      </c>
      <c r="E13" s="81">
        <v>40213</v>
      </c>
      <c r="F13" s="81">
        <v>40214</v>
      </c>
      <c r="G13" s="81">
        <v>40215</v>
      </c>
      <c r="H13" s="81">
        <v>40216</v>
      </c>
      <c r="I13" s="81">
        <v>40217</v>
      </c>
      <c r="J13" s="81">
        <v>40218</v>
      </c>
      <c r="K13" s="81">
        <v>40219</v>
      </c>
      <c r="L13" s="81">
        <v>40220</v>
      </c>
      <c r="M13" s="81">
        <v>40221</v>
      </c>
      <c r="N13" s="81">
        <v>40222</v>
      </c>
      <c r="O13" s="81">
        <v>40223</v>
      </c>
      <c r="P13" s="81">
        <v>40224</v>
      </c>
      <c r="Q13" s="81">
        <v>40225</v>
      </c>
      <c r="R13" s="81">
        <v>40226</v>
      </c>
      <c r="S13" s="81">
        <v>40227</v>
      </c>
      <c r="T13" s="81">
        <v>40228</v>
      </c>
      <c r="U13" s="81">
        <v>40229</v>
      </c>
      <c r="V13" s="81">
        <v>40230</v>
      </c>
      <c r="W13" s="81">
        <v>40231</v>
      </c>
      <c r="X13" s="81">
        <v>40232</v>
      </c>
      <c r="Y13" s="81">
        <v>40233</v>
      </c>
      <c r="Z13" s="81">
        <v>40234</v>
      </c>
      <c r="AA13" s="81">
        <v>40235</v>
      </c>
      <c r="AB13" s="81">
        <v>40236</v>
      </c>
      <c r="AC13" s="81">
        <v>40237</v>
      </c>
    </row>
    <row r="14" spans="1:32" x14ac:dyDescent="0.25">
      <c r="A14" t="s">
        <v>38</v>
      </c>
      <c r="B14" s="41">
        <v>0</v>
      </c>
      <c r="C14" s="41">
        <v>0</v>
      </c>
      <c r="D14" s="41">
        <v>0</v>
      </c>
      <c r="E14" s="41">
        <v>0</v>
      </c>
      <c r="F14" s="41">
        <v>0</v>
      </c>
      <c r="G14" s="41">
        <v>1454.1176470588234</v>
      </c>
      <c r="H14" s="41">
        <v>960.84705882352944</v>
      </c>
      <c r="I14" s="41">
        <v>790.68235294117653</v>
      </c>
      <c r="J14" s="41">
        <v>1030.870588235294</v>
      </c>
      <c r="K14" s="41">
        <v>648.09411764705885</v>
      </c>
      <c r="L14" s="41">
        <v>843.76470588235293</v>
      </c>
      <c r="M14" s="41">
        <v>782.11764705882354</v>
      </c>
      <c r="N14" s="41">
        <v>1798.8705882352942</v>
      </c>
      <c r="O14" s="41">
        <v>1515.3882352941177</v>
      </c>
      <c r="P14" s="41">
        <v>814.68235294117642</v>
      </c>
      <c r="Q14" s="41">
        <v>1144.9411764705883</v>
      </c>
      <c r="R14" s="41">
        <v>1110.1176470588234</v>
      </c>
      <c r="S14" s="41">
        <v>1110.4000000000001</v>
      </c>
      <c r="T14" s="41">
        <v>1009.7882352941177</v>
      </c>
      <c r="U14" s="41">
        <v>1221.9294117647059</v>
      </c>
      <c r="V14" s="41">
        <v>1244.8941176470589</v>
      </c>
      <c r="W14" s="41">
        <v>515.85882352941178</v>
      </c>
      <c r="X14" s="41">
        <v>872.47058823529414</v>
      </c>
      <c r="Y14" s="41">
        <v>765.74117647058824</v>
      </c>
      <c r="Z14" s="41">
        <v>813.36470588235306</v>
      </c>
      <c r="AA14" s="41">
        <v>694.11764705882365</v>
      </c>
      <c r="AB14" s="41">
        <v>1259.2</v>
      </c>
      <c r="AC14" s="41">
        <v>888.65882352941173</v>
      </c>
    </row>
    <row r="15" spans="1:32" x14ac:dyDescent="0.25">
      <c r="A15" t="s">
        <v>98</v>
      </c>
      <c r="B15" s="41">
        <v>0</v>
      </c>
      <c r="C15" s="41">
        <v>0</v>
      </c>
      <c r="D15" s="41">
        <v>0</v>
      </c>
      <c r="E15" s="41">
        <v>0</v>
      </c>
      <c r="F15" s="41">
        <v>0</v>
      </c>
      <c r="G15" s="41">
        <v>1739.2941176470588</v>
      </c>
      <c r="H15" s="41">
        <v>1219.8588235294119</v>
      </c>
      <c r="I15" s="41">
        <v>1922.7294117647059</v>
      </c>
      <c r="J15" s="41">
        <v>1506.5411764705884</v>
      </c>
      <c r="K15" s="41">
        <v>1371.670588235294</v>
      </c>
      <c r="L15" s="41">
        <v>1113.8823529411766</v>
      </c>
      <c r="M15" s="41">
        <v>2033.8823529411766</v>
      </c>
      <c r="N15" s="41">
        <v>1852.8941176470589</v>
      </c>
      <c r="O15" s="41">
        <v>2660.6117647058823</v>
      </c>
      <c r="P15" s="41">
        <v>2979.2</v>
      </c>
      <c r="Q15" s="41">
        <v>3608.9411764705883</v>
      </c>
      <c r="R15" s="41">
        <v>3172.2352941176473</v>
      </c>
      <c r="S15" s="41">
        <v>2489.6</v>
      </c>
      <c r="T15" s="41">
        <v>2690.9176470588236</v>
      </c>
      <c r="U15" s="41">
        <v>3095.2470588235296</v>
      </c>
      <c r="V15" s="41">
        <v>2483.1058823529411</v>
      </c>
      <c r="W15" s="41">
        <v>3424.8470588235296</v>
      </c>
      <c r="X15" s="41">
        <v>3134.1176470588234</v>
      </c>
      <c r="Y15" s="41">
        <v>2175.4352941176471</v>
      </c>
      <c r="Z15" s="41">
        <v>3916.9882352941177</v>
      </c>
      <c r="AA15" s="41">
        <v>3268.2352941176468</v>
      </c>
      <c r="AB15" s="41">
        <v>2911.1529411764704</v>
      </c>
      <c r="AC15" s="41">
        <v>2492.9882352941177</v>
      </c>
    </row>
    <row r="16" spans="1:32" x14ac:dyDescent="0.25">
      <c r="B16" s="41"/>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spans="1:32" x14ac:dyDescent="0.25">
      <c r="A17" t="s">
        <v>99</v>
      </c>
      <c r="B17" s="41">
        <v>0</v>
      </c>
      <c r="C17" s="41">
        <v>0</v>
      </c>
      <c r="D17" s="41">
        <v>0</v>
      </c>
      <c r="E17" s="41">
        <v>0</v>
      </c>
      <c r="F17" s="41">
        <v>0</v>
      </c>
      <c r="G17" s="41">
        <v>153.41176470588235</v>
      </c>
      <c r="H17" s="41">
        <v>145.88235294117646</v>
      </c>
      <c r="I17" s="41">
        <v>57.411764705882355</v>
      </c>
      <c r="J17" s="41">
        <v>0</v>
      </c>
      <c r="K17" s="41">
        <v>0</v>
      </c>
      <c r="L17" s="41">
        <v>0</v>
      </c>
      <c r="M17" s="41">
        <v>0</v>
      </c>
      <c r="N17" s="41">
        <v>178.8235294117647</v>
      </c>
      <c r="O17" s="41">
        <v>193.88235294117646</v>
      </c>
      <c r="P17" s="41">
        <v>0</v>
      </c>
      <c r="Q17" s="41">
        <v>0</v>
      </c>
      <c r="R17" s="41">
        <v>65.882352941176464</v>
      </c>
      <c r="S17" s="41">
        <v>98.82352941176471</v>
      </c>
      <c r="T17" s="41">
        <v>0</v>
      </c>
      <c r="U17" s="41">
        <v>336</v>
      </c>
      <c r="V17" s="41">
        <v>292.70588235294116</v>
      </c>
      <c r="W17" s="41">
        <v>73.411764705882348</v>
      </c>
      <c r="X17" s="41">
        <v>60.235294117647058</v>
      </c>
      <c r="Y17" s="41">
        <v>0</v>
      </c>
      <c r="Z17" s="41">
        <v>49.882352941176471</v>
      </c>
      <c r="AA17" s="41">
        <v>17.882352941176471</v>
      </c>
      <c r="AB17" s="41">
        <v>355.76470588235293</v>
      </c>
      <c r="AC17" s="41">
        <v>367.05882352941177</v>
      </c>
    </row>
    <row r="18" spans="1:32" x14ac:dyDescent="0.25">
      <c r="A18" t="s">
        <v>51</v>
      </c>
      <c r="B18" s="41">
        <v>0</v>
      </c>
      <c r="C18" s="41">
        <v>0</v>
      </c>
      <c r="D18" s="41">
        <v>0</v>
      </c>
      <c r="E18" s="41">
        <v>0</v>
      </c>
      <c r="F18" s="41">
        <v>0</v>
      </c>
      <c r="G18" s="41">
        <v>0</v>
      </c>
      <c r="H18" s="41">
        <v>23.529411764705884</v>
      </c>
      <c r="I18" s="41">
        <v>82.82352941176471</v>
      </c>
      <c r="J18" s="41">
        <v>281.41176470588238</v>
      </c>
      <c r="K18" s="41">
        <v>457.41176470588238</v>
      </c>
      <c r="L18" s="41">
        <v>327.52941176470586</v>
      </c>
      <c r="M18" s="41">
        <v>634.35294117647061</v>
      </c>
      <c r="N18" s="41">
        <v>384.94117647058823</v>
      </c>
      <c r="O18" s="41">
        <v>49.882352941176471</v>
      </c>
      <c r="P18" s="41">
        <v>14.117647058823529</v>
      </c>
      <c r="Q18" s="41">
        <v>197.64705882352942</v>
      </c>
      <c r="R18" s="41">
        <v>120.47058823529412</v>
      </c>
      <c r="S18" s="41">
        <v>323.76470588235293</v>
      </c>
      <c r="T18" s="41">
        <v>496</v>
      </c>
      <c r="U18" s="41">
        <v>371.76470588235293</v>
      </c>
      <c r="V18" s="41">
        <v>221.1764705882353</v>
      </c>
      <c r="W18" s="41">
        <v>235.29411764705881</v>
      </c>
      <c r="X18" s="41">
        <v>235.29411764705881</v>
      </c>
      <c r="Y18" s="41">
        <v>448.94117647058823</v>
      </c>
      <c r="Z18" s="41">
        <v>112.94117647058823</v>
      </c>
      <c r="AA18" s="41">
        <v>545.88235294117646</v>
      </c>
      <c r="AB18" s="41">
        <v>334.11764705882354</v>
      </c>
      <c r="AC18" s="41">
        <v>23.529411764705884</v>
      </c>
    </row>
    <row r="19" spans="1:32" x14ac:dyDescent="0.25">
      <c r="B19" s="41"/>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spans="1:32" x14ac:dyDescent="0.25">
      <c r="A20" t="s">
        <v>41</v>
      </c>
      <c r="B20" s="41">
        <v>0</v>
      </c>
      <c r="C20" s="41">
        <v>0</v>
      </c>
      <c r="D20" s="41">
        <v>0</v>
      </c>
      <c r="E20" s="41">
        <v>0</v>
      </c>
      <c r="F20" s="41">
        <v>0</v>
      </c>
      <c r="G20" s="41">
        <v>0</v>
      </c>
      <c r="H20" s="41">
        <v>0</v>
      </c>
      <c r="I20" s="41">
        <v>0</v>
      </c>
      <c r="J20" s="41">
        <v>0</v>
      </c>
      <c r="K20" s="41">
        <v>0</v>
      </c>
      <c r="L20" s="41">
        <v>0</v>
      </c>
      <c r="M20" s="41">
        <v>0</v>
      </c>
      <c r="N20" s="41">
        <v>0</v>
      </c>
      <c r="O20" s="41">
        <v>0</v>
      </c>
      <c r="P20" s="41">
        <v>0</v>
      </c>
      <c r="Q20" s="41">
        <v>0</v>
      </c>
      <c r="R20" s="41">
        <v>0</v>
      </c>
      <c r="S20" s="41">
        <v>0</v>
      </c>
      <c r="T20" s="41">
        <v>0</v>
      </c>
      <c r="U20" s="41">
        <v>0</v>
      </c>
      <c r="V20" s="41">
        <v>0</v>
      </c>
      <c r="W20" s="41">
        <v>0</v>
      </c>
      <c r="X20" s="41">
        <v>0</v>
      </c>
      <c r="Y20" s="41">
        <v>0</v>
      </c>
      <c r="Z20" s="41">
        <v>0</v>
      </c>
      <c r="AA20" s="41">
        <v>0</v>
      </c>
      <c r="AB20" s="41">
        <v>0</v>
      </c>
      <c r="AC20" s="41">
        <v>0</v>
      </c>
    </row>
    <row r="21" spans="1:32" x14ac:dyDescent="0.25">
      <c r="A21" t="s">
        <v>26</v>
      </c>
      <c r="B21" s="41">
        <v>0</v>
      </c>
      <c r="C21" s="41">
        <v>0</v>
      </c>
      <c r="D21" s="41">
        <v>0</v>
      </c>
      <c r="E21" s="41">
        <v>0</v>
      </c>
      <c r="F21" s="41">
        <v>0</v>
      </c>
      <c r="G21" s="41">
        <v>112.94117647058823</v>
      </c>
      <c r="H21" s="41">
        <v>141.1764705882353</v>
      </c>
      <c r="I21" s="41">
        <v>94.117647058823536</v>
      </c>
      <c r="J21" s="41">
        <v>94.117647058823536</v>
      </c>
      <c r="K21" s="41">
        <v>94.117647058823536</v>
      </c>
      <c r="L21" s="41">
        <v>94.117647058823536</v>
      </c>
      <c r="M21" s="41">
        <v>94.117647058823536</v>
      </c>
      <c r="N21" s="41">
        <v>141.1764705882353</v>
      </c>
      <c r="O21" s="41">
        <v>94.117647058823536</v>
      </c>
      <c r="P21" s="41">
        <v>94.117647058823536</v>
      </c>
      <c r="Q21" s="41">
        <v>94.117647058823536</v>
      </c>
      <c r="R21" s="41">
        <v>94.117647058823536</v>
      </c>
      <c r="S21" s="41">
        <v>94.117647058823536</v>
      </c>
      <c r="T21" s="41">
        <v>94.117647058823536</v>
      </c>
      <c r="U21" s="41">
        <v>141.1764705882353</v>
      </c>
      <c r="V21" s="41">
        <v>94.117647058823536</v>
      </c>
      <c r="W21" s="41">
        <v>70.588235294117652</v>
      </c>
      <c r="X21" s="41">
        <v>70.588235294117652</v>
      </c>
      <c r="Y21" s="41">
        <v>56.470588235294116</v>
      </c>
      <c r="Z21" s="41">
        <v>37.647058823529413</v>
      </c>
      <c r="AA21" s="41">
        <v>37.647058823529413</v>
      </c>
      <c r="AB21" s="41">
        <v>70.588235294117652</v>
      </c>
      <c r="AC21" s="41">
        <v>70.588235294117652</v>
      </c>
    </row>
    <row r="22" spans="1:32" x14ac:dyDescent="0.25">
      <c r="A22" t="s">
        <v>100</v>
      </c>
      <c r="B22" s="41">
        <v>0</v>
      </c>
      <c r="C22" s="41">
        <v>0</v>
      </c>
      <c r="D22" s="41">
        <v>0</v>
      </c>
      <c r="E22" s="41">
        <v>235.29411764705881</v>
      </c>
      <c r="F22" s="41">
        <v>0</v>
      </c>
      <c r="G22" s="41">
        <v>11.294117647058824</v>
      </c>
      <c r="H22" s="41">
        <v>11.294117647058824</v>
      </c>
      <c r="I22" s="41">
        <v>37.647058823529413</v>
      </c>
      <c r="J22" s="41">
        <v>65.882352941176464</v>
      </c>
      <c r="K22" s="41">
        <v>0</v>
      </c>
      <c r="L22" s="41">
        <v>0</v>
      </c>
      <c r="M22" s="41">
        <v>37.647058823529413</v>
      </c>
      <c r="N22" s="41">
        <v>0</v>
      </c>
      <c r="O22" s="41">
        <v>0</v>
      </c>
      <c r="P22" s="41">
        <v>0</v>
      </c>
      <c r="Q22" s="41">
        <v>0</v>
      </c>
      <c r="R22" s="41">
        <v>0</v>
      </c>
      <c r="S22" s="41">
        <v>0</v>
      </c>
      <c r="T22" s="41">
        <v>0</v>
      </c>
      <c r="U22" s="41">
        <v>0</v>
      </c>
      <c r="V22" s="41">
        <v>0</v>
      </c>
      <c r="W22" s="41">
        <v>0</v>
      </c>
      <c r="X22" s="41">
        <v>0</v>
      </c>
      <c r="Y22" s="41">
        <v>0</v>
      </c>
      <c r="Z22" s="41">
        <v>0</v>
      </c>
      <c r="AA22" s="41">
        <v>0</v>
      </c>
      <c r="AB22" s="41">
        <v>282.35294117647061</v>
      </c>
      <c r="AC22" s="41">
        <v>0</v>
      </c>
    </row>
    <row r="23" spans="1:32" x14ac:dyDescent="0.25">
      <c r="A23" t="s">
        <v>25</v>
      </c>
      <c r="B23" s="41">
        <v>0</v>
      </c>
      <c r="C23" s="41">
        <v>0</v>
      </c>
      <c r="D23" s="41">
        <v>0</v>
      </c>
      <c r="E23" s="41">
        <v>0</v>
      </c>
      <c r="F23" s="41">
        <v>0</v>
      </c>
      <c r="G23" s="41">
        <v>112.94117647058823</v>
      </c>
      <c r="H23" s="41">
        <v>37.647058823529413</v>
      </c>
      <c r="I23" s="41">
        <v>18.823529411764707</v>
      </c>
      <c r="J23" s="41">
        <v>376.47058823529414</v>
      </c>
      <c r="K23" s="41">
        <v>65.882352941176464</v>
      </c>
      <c r="L23" s="41">
        <v>18.823529411764707</v>
      </c>
      <c r="M23" s="41">
        <v>451.76470588235293</v>
      </c>
      <c r="N23" s="41">
        <v>56.470588235294116</v>
      </c>
      <c r="O23" s="41">
        <v>75.294117647058826</v>
      </c>
      <c r="P23" s="41">
        <v>18.823529411764707</v>
      </c>
      <c r="Q23" s="41">
        <v>470.58823529411762</v>
      </c>
      <c r="R23" s="41">
        <v>112.94117647058823</v>
      </c>
      <c r="S23" s="41">
        <v>395.29411764705884</v>
      </c>
      <c r="T23" s="41">
        <v>23.529411764705884</v>
      </c>
      <c r="U23" s="41">
        <v>94.117647058823536</v>
      </c>
      <c r="V23" s="41">
        <v>70.588235294117652</v>
      </c>
      <c r="W23" s="41">
        <v>42.352941176470587</v>
      </c>
      <c r="X23" s="41">
        <v>517.64705882352939</v>
      </c>
      <c r="Y23" s="41">
        <v>47.058823529411768</v>
      </c>
      <c r="Z23" s="41">
        <v>541.17647058823525</v>
      </c>
      <c r="AA23" s="41">
        <v>37.647058823529413</v>
      </c>
      <c r="AB23" s="41">
        <v>37.647058823529413</v>
      </c>
      <c r="AC23" s="41">
        <v>47.058823529411768</v>
      </c>
    </row>
    <row r="25" spans="1:32" x14ac:dyDescent="0.25">
      <c r="B25" s="68">
        <v>40238</v>
      </c>
      <c r="C25" s="68">
        <v>40239</v>
      </c>
      <c r="D25" s="68">
        <v>40240</v>
      </c>
      <c r="E25" s="68">
        <v>40241</v>
      </c>
      <c r="F25" s="68">
        <v>40242</v>
      </c>
      <c r="G25" s="68">
        <v>40243</v>
      </c>
      <c r="H25" s="68">
        <v>40244</v>
      </c>
      <c r="I25" s="68">
        <v>40245</v>
      </c>
      <c r="J25" s="68">
        <v>40246</v>
      </c>
      <c r="K25" s="68">
        <v>40247</v>
      </c>
      <c r="L25" s="68">
        <v>40248</v>
      </c>
      <c r="M25" s="68">
        <v>40249</v>
      </c>
      <c r="N25" s="68">
        <v>40250</v>
      </c>
      <c r="O25" s="68">
        <v>40251</v>
      </c>
      <c r="P25" s="68">
        <v>40252</v>
      </c>
      <c r="Q25" s="68">
        <v>40253</v>
      </c>
      <c r="R25" s="68">
        <v>40254</v>
      </c>
      <c r="S25" s="68">
        <v>40255</v>
      </c>
      <c r="T25" s="68">
        <v>40256</v>
      </c>
      <c r="U25" s="68">
        <v>40257</v>
      </c>
      <c r="V25" s="68">
        <v>40258</v>
      </c>
      <c r="W25" s="68">
        <v>40259</v>
      </c>
      <c r="X25" s="68">
        <v>40260</v>
      </c>
      <c r="Y25" s="68">
        <v>40261</v>
      </c>
      <c r="Z25" s="68">
        <v>40262</v>
      </c>
      <c r="AA25" s="68">
        <v>40263</v>
      </c>
      <c r="AB25" s="68">
        <v>40264</v>
      </c>
      <c r="AC25" s="68">
        <v>40265</v>
      </c>
      <c r="AD25" s="68">
        <v>40266</v>
      </c>
      <c r="AE25" s="68">
        <v>40267</v>
      </c>
      <c r="AF25" s="68">
        <v>40268</v>
      </c>
    </row>
    <row r="26" spans="1:32" x14ac:dyDescent="0.25">
      <c r="A26" t="s">
        <v>38</v>
      </c>
      <c r="B26" s="41">
        <v>625.41176470588232</v>
      </c>
      <c r="C26" s="41">
        <v>726.11764705882354</v>
      </c>
      <c r="D26" s="41">
        <v>677.64705882352939</v>
      </c>
      <c r="E26" s="41">
        <v>753.50588235294128</v>
      </c>
      <c r="F26" s="41">
        <v>713.12941176470576</v>
      </c>
      <c r="G26" s="41">
        <v>1284.6117647058823</v>
      </c>
      <c r="H26" s="41">
        <v>615.15294117647056</v>
      </c>
      <c r="I26" s="41">
        <v>131.01176470588234</v>
      </c>
      <c r="J26" s="41">
        <v>159.05882352941177</v>
      </c>
      <c r="K26" s="41">
        <v>173.74117647058824</v>
      </c>
      <c r="L26" s="41">
        <v>151.71764705882353</v>
      </c>
      <c r="M26" s="41">
        <v>156.42352941176469</v>
      </c>
      <c r="N26" s="41">
        <v>1939.0117647058823</v>
      </c>
      <c r="O26" s="41">
        <v>1135.6235294117648</v>
      </c>
      <c r="P26" s="41">
        <v>148.98823529411766</v>
      </c>
      <c r="Q26" s="41">
        <v>114.25882352941177</v>
      </c>
      <c r="R26" s="41">
        <v>137.97647058823529</v>
      </c>
      <c r="S26" s="41">
        <v>194.63529411764708</v>
      </c>
      <c r="T26" s="41">
        <v>157.27058823529413</v>
      </c>
      <c r="U26" s="41">
        <v>2035.0117647058823</v>
      </c>
      <c r="V26" s="41">
        <v>1158.0235294117647</v>
      </c>
      <c r="W26" s="41">
        <v>237.36470588235295</v>
      </c>
      <c r="X26" s="41">
        <v>208.2823529411765</v>
      </c>
      <c r="Y26" s="41">
        <v>189.92941176470586</v>
      </c>
      <c r="Z26" s="41">
        <v>203.76470588235293</v>
      </c>
      <c r="AA26" s="41">
        <v>204.98823529411763</v>
      </c>
      <c r="AB26" s="41">
        <v>2103.5294117647059</v>
      </c>
      <c r="AC26" s="41">
        <v>1193.2235294117647</v>
      </c>
      <c r="AD26" s="41">
        <v>211.57647058823528</v>
      </c>
      <c r="AE26" s="41">
        <v>300.8</v>
      </c>
      <c r="AF26" s="41">
        <v>184.18823529411765</v>
      </c>
    </row>
    <row r="27" spans="1:32" x14ac:dyDescent="0.25">
      <c r="A27" t="s">
        <v>98</v>
      </c>
      <c r="B27" s="41">
        <v>1869.6470588235295</v>
      </c>
      <c r="C27" s="41">
        <v>1904.4705882352941</v>
      </c>
      <c r="D27" s="41">
        <v>1269.6470588235293</v>
      </c>
      <c r="E27" s="41">
        <v>2123.670588235294</v>
      </c>
      <c r="F27" s="41">
        <v>1627.5764705882355</v>
      </c>
      <c r="G27" s="41">
        <v>2156.3294117647056</v>
      </c>
      <c r="H27" s="41">
        <v>1812.1411764705883</v>
      </c>
      <c r="I27" s="41">
        <v>495.81176470588235</v>
      </c>
      <c r="J27" s="41">
        <v>416.94117647058823</v>
      </c>
      <c r="K27" s="41">
        <v>425.78823529411767</v>
      </c>
      <c r="L27" s="41">
        <v>418.63529411764705</v>
      </c>
      <c r="M27" s="41">
        <v>370.63529411764705</v>
      </c>
      <c r="N27" s="41">
        <v>2434.6352941176474</v>
      </c>
      <c r="O27" s="41">
        <v>1880.8470588235293</v>
      </c>
      <c r="P27" s="41">
        <v>470.30588235294118</v>
      </c>
      <c r="Q27" s="41">
        <v>457.03529411764703</v>
      </c>
      <c r="R27" s="41">
        <v>417.31764705882352</v>
      </c>
      <c r="S27" s="41">
        <v>482.07058823529411</v>
      </c>
      <c r="T27" s="41">
        <v>574.96470588235297</v>
      </c>
      <c r="U27" s="41">
        <v>3129.2235294117645</v>
      </c>
      <c r="V27" s="41">
        <v>2097.5058823529412</v>
      </c>
      <c r="W27" s="41">
        <v>479.81176470588241</v>
      </c>
      <c r="X27" s="41">
        <v>482.54117647058825</v>
      </c>
      <c r="Y27" s="41">
        <v>453.83529411764709</v>
      </c>
      <c r="Z27" s="41">
        <v>449.41176470588232</v>
      </c>
      <c r="AA27" s="41">
        <v>534.77647058823538</v>
      </c>
      <c r="AB27" s="41">
        <v>2757.6470588235293</v>
      </c>
      <c r="AC27" s="41">
        <v>2032.1882352941175</v>
      </c>
      <c r="AD27" s="41">
        <v>484.89411764705886</v>
      </c>
      <c r="AE27" s="41">
        <v>486.96470588235292</v>
      </c>
      <c r="AF27" s="41">
        <v>346.63529411764705</v>
      </c>
    </row>
    <row r="28" spans="1:32" x14ac:dyDescent="0.25">
      <c r="B28" s="41"/>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row>
    <row r="29" spans="1:32" x14ac:dyDescent="0.25">
      <c r="A29" t="s">
        <v>99</v>
      </c>
      <c r="B29" s="41">
        <v>0</v>
      </c>
      <c r="C29" s="41">
        <v>0</v>
      </c>
      <c r="D29" s="41">
        <v>0</v>
      </c>
      <c r="E29" s="41">
        <v>55.529411764705884</v>
      </c>
      <c r="F29" s="41">
        <v>47.058823529411768</v>
      </c>
      <c r="G29" s="41">
        <v>376.47058823529414</v>
      </c>
      <c r="H29" s="41">
        <v>211.76470588235293</v>
      </c>
      <c r="I29" s="41">
        <v>65.882352941176464</v>
      </c>
      <c r="J29" s="41">
        <v>42.352941176470587</v>
      </c>
      <c r="K29" s="41">
        <v>0</v>
      </c>
      <c r="L29" s="41">
        <v>37.647058823529413</v>
      </c>
      <c r="M29" s="41">
        <v>0</v>
      </c>
      <c r="N29" s="41">
        <v>1176.4705882352941</v>
      </c>
      <c r="O29" s="41">
        <v>1294.1176470588234</v>
      </c>
      <c r="P29" s="41">
        <v>84.705882352941174</v>
      </c>
      <c r="Q29" s="41">
        <v>0</v>
      </c>
      <c r="R29" s="41">
        <v>150.58823529411765</v>
      </c>
      <c r="S29" s="41">
        <v>0</v>
      </c>
      <c r="T29" s="41">
        <v>0</v>
      </c>
      <c r="U29" s="41">
        <v>1258.3529411764705</v>
      </c>
      <c r="V29" s="41">
        <v>1082.3529411764705</v>
      </c>
      <c r="W29" s="41">
        <v>0</v>
      </c>
      <c r="X29" s="41">
        <v>51.764705882352942</v>
      </c>
      <c r="Y29" s="41">
        <v>47.058823529411768</v>
      </c>
      <c r="Z29" s="41">
        <v>19.764705882352942</v>
      </c>
      <c r="AA29" s="41">
        <v>0</v>
      </c>
      <c r="AB29" s="41">
        <v>2757.6470588235293</v>
      </c>
      <c r="AC29" s="41">
        <v>1981.1764705882354</v>
      </c>
      <c r="AD29" s="41">
        <v>18.823529411764707</v>
      </c>
      <c r="AE29" s="41">
        <v>28.235294117647058</v>
      </c>
      <c r="AF29" s="41">
        <v>21.647058823529413</v>
      </c>
    </row>
    <row r="30" spans="1:32" x14ac:dyDescent="0.25">
      <c r="A30" t="s">
        <v>51</v>
      </c>
      <c r="B30" s="41">
        <v>0</v>
      </c>
      <c r="C30" s="41">
        <v>305.88235294117646</v>
      </c>
      <c r="D30" s="41">
        <v>324.70588235294116</v>
      </c>
      <c r="E30" s="41">
        <v>353.88235294117646</v>
      </c>
      <c r="F30" s="41">
        <v>776.47058823529414</v>
      </c>
      <c r="G30" s="41">
        <v>367.05882352941177</v>
      </c>
      <c r="H30" s="41">
        <v>248.47058823529412</v>
      </c>
      <c r="I30" s="41">
        <v>122.35294117647059</v>
      </c>
      <c r="J30" s="41">
        <v>136.47058823529412</v>
      </c>
      <c r="K30" s="41">
        <v>592.94117647058829</v>
      </c>
      <c r="L30" s="41">
        <v>395.29411764705884</v>
      </c>
      <c r="M30" s="41">
        <v>1077.6470588235295</v>
      </c>
      <c r="N30" s="41">
        <v>965.64705882352939</v>
      </c>
      <c r="O30" s="41">
        <v>1327.0588235294117</v>
      </c>
      <c r="P30" s="41">
        <v>169.41176470588235</v>
      </c>
      <c r="Q30" s="41">
        <v>560.94117647058829</v>
      </c>
      <c r="R30" s="41">
        <v>678.58823529411768</v>
      </c>
      <c r="S30" s="41">
        <v>457.41176470588238</v>
      </c>
      <c r="T30" s="41">
        <v>1237.6470588235295</v>
      </c>
      <c r="U30" s="41">
        <v>969.41176470588232</v>
      </c>
      <c r="V30" s="41">
        <v>191.05882352941177</v>
      </c>
      <c r="W30" s="41">
        <v>288.94117647058823</v>
      </c>
      <c r="X30" s="41">
        <v>856.47058823529414</v>
      </c>
      <c r="Y30" s="41">
        <v>2169.4117647058824</v>
      </c>
      <c r="Z30" s="41">
        <v>1004.2352941176471</v>
      </c>
      <c r="AA30" s="41">
        <v>1969.8823529411766</v>
      </c>
      <c r="AB30" s="41">
        <v>1548.2352941176471</v>
      </c>
      <c r="AC30" s="41">
        <v>607.05882352941171</v>
      </c>
      <c r="AD30" s="41">
        <v>797.17647058823525</v>
      </c>
      <c r="AE30" s="41">
        <v>1530.3529411764705</v>
      </c>
      <c r="AF30" s="41">
        <v>2602.3529411764707</v>
      </c>
    </row>
    <row r="31" spans="1:32" x14ac:dyDescent="0.25">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row>
    <row r="32" spans="1:32" x14ac:dyDescent="0.25">
      <c r="A32" t="s">
        <v>41</v>
      </c>
      <c r="B32" s="41">
        <v>0</v>
      </c>
      <c r="C32" s="41">
        <v>0</v>
      </c>
      <c r="D32" s="41">
        <v>0</v>
      </c>
      <c r="E32" s="41">
        <v>0</v>
      </c>
      <c r="F32" s="41">
        <v>0</v>
      </c>
      <c r="G32" s="41">
        <v>0</v>
      </c>
      <c r="H32" s="41">
        <v>0</v>
      </c>
      <c r="I32" s="41">
        <v>0</v>
      </c>
      <c r="J32" s="41">
        <v>0</v>
      </c>
      <c r="K32" s="41">
        <v>0</v>
      </c>
      <c r="L32" s="41">
        <v>0</v>
      </c>
      <c r="M32" s="41">
        <v>0</v>
      </c>
      <c r="N32" s="41">
        <v>0</v>
      </c>
      <c r="O32" s="41">
        <v>0</v>
      </c>
      <c r="P32" s="41">
        <v>0</v>
      </c>
      <c r="Q32" s="41">
        <v>0</v>
      </c>
      <c r="R32" s="41">
        <v>0</v>
      </c>
      <c r="S32" s="41">
        <v>0</v>
      </c>
      <c r="T32" s="41">
        <v>0</v>
      </c>
      <c r="U32" s="41">
        <v>37.647058823529413</v>
      </c>
      <c r="V32" s="41">
        <v>23.529411764705884</v>
      </c>
      <c r="W32" s="41">
        <v>18.823529411764707</v>
      </c>
      <c r="X32" s="41">
        <v>18.823529411764707</v>
      </c>
      <c r="Y32" s="41">
        <v>18.823529411764707</v>
      </c>
      <c r="Z32" s="41">
        <v>18.823529411764707</v>
      </c>
      <c r="AA32" s="41">
        <v>23.529411764705884</v>
      </c>
      <c r="AB32" s="41">
        <v>61.176470588235297</v>
      </c>
      <c r="AC32" s="41">
        <v>94.117647058823536</v>
      </c>
      <c r="AD32" s="41">
        <v>51.764705882352942</v>
      </c>
      <c r="AE32" s="41">
        <v>51.764705882352942</v>
      </c>
      <c r="AF32" s="41">
        <v>51.764705882352942</v>
      </c>
    </row>
    <row r="33" spans="1:32" x14ac:dyDescent="0.25">
      <c r="A33" t="s">
        <v>26</v>
      </c>
      <c r="B33" s="41">
        <v>37.647058823529413</v>
      </c>
      <c r="C33" s="41">
        <v>37.647058823529413</v>
      </c>
      <c r="D33" s="41">
        <v>37.647058823529413</v>
      </c>
      <c r="E33" s="41">
        <v>65.882352941176464</v>
      </c>
      <c r="F33" s="41">
        <v>23.529411764705884</v>
      </c>
      <c r="G33" s="41">
        <v>65.882352941176464</v>
      </c>
      <c r="H33" s="41">
        <v>84.705882352941174</v>
      </c>
      <c r="I33" s="41">
        <v>18.823529411764707</v>
      </c>
      <c r="J33" s="41">
        <v>18.823529411764707</v>
      </c>
      <c r="K33" s="41">
        <v>18.823529411764707</v>
      </c>
      <c r="L33" s="41">
        <v>18.823529411764707</v>
      </c>
      <c r="M33" s="41">
        <v>18.823529411764707</v>
      </c>
      <c r="N33" s="41">
        <v>37.647058823529413</v>
      </c>
      <c r="O33" s="41">
        <v>47.058823529411768</v>
      </c>
      <c r="P33" s="41">
        <v>14.117647058823529</v>
      </c>
      <c r="Q33" s="41">
        <v>14.117647058823529</v>
      </c>
      <c r="R33" s="41">
        <v>14.117647058823529</v>
      </c>
      <c r="S33" s="41">
        <v>14.117647058823529</v>
      </c>
      <c r="T33" s="41">
        <v>14.117647058823529</v>
      </c>
      <c r="U33" s="41">
        <v>37.647058823529413</v>
      </c>
      <c r="V33" s="41">
        <v>56.470588235294116</v>
      </c>
      <c r="W33" s="41">
        <v>9.4117647058823533</v>
      </c>
      <c r="X33" s="41">
        <v>9.4117647058823533</v>
      </c>
      <c r="Y33" s="41">
        <v>9.4117647058823533</v>
      </c>
      <c r="Z33" s="41">
        <v>9.4117647058823533</v>
      </c>
      <c r="AA33" s="41">
        <v>9.4117647058823533</v>
      </c>
      <c r="AB33" s="41">
        <v>56.470588235294116</v>
      </c>
      <c r="AC33" s="41">
        <v>65.882352941176464</v>
      </c>
      <c r="AD33" s="41">
        <v>37.647058823529413</v>
      </c>
      <c r="AE33" s="41">
        <v>37.647058823529413</v>
      </c>
      <c r="AF33" s="41">
        <v>41.411764705882355</v>
      </c>
    </row>
    <row r="34" spans="1:32" x14ac:dyDescent="0.25">
      <c r="A34" t="s">
        <v>100</v>
      </c>
      <c r="B34" s="41">
        <v>0</v>
      </c>
      <c r="C34" s="41">
        <v>0</v>
      </c>
      <c r="D34" s="41">
        <v>0</v>
      </c>
      <c r="E34" s="41">
        <v>0</v>
      </c>
      <c r="F34" s="41">
        <v>16</v>
      </c>
      <c r="G34" s="41">
        <v>0</v>
      </c>
      <c r="H34" s="41">
        <v>0</v>
      </c>
      <c r="I34" s="41">
        <v>0</v>
      </c>
      <c r="J34" s="41">
        <v>263.52941176470586</v>
      </c>
      <c r="K34" s="41">
        <v>188.23529411764707</v>
      </c>
      <c r="L34" s="41">
        <v>0</v>
      </c>
      <c r="M34" s="41">
        <v>0</v>
      </c>
      <c r="N34" s="41">
        <v>0</v>
      </c>
      <c r="O34" s="41">
        <v>18.823529411764707</v>
      </c>
      <c r="P34" s="41">
        <v>258.8235294117647</v>
      </c>
      <c r="Q34" s="41">
        <v>0</v>
      </c>
      <c r="R34" s="41">
        <v>0</v>
      </c>
      <c r="S34" s="41">
        <v>0</v>
      </c>
      <c r="T34" s="41">
        <v>0</v>
      </c>
      <c r="U34" s="41">
        <v>169.41176470588238</v>
      </c>
      <c r="V34" s="41">
        <v>0</v>
      </c>
      <c r="W34" s="41">
        <v>0</v>
      </c>
      <c r="X34" s="41">
        <v>0</v>
      </c>
      <c r="Y34" s="41">
        <v>0</v>
      </c>
      <c r="Z34" s="41">
        <v>56.470588235294116</v>
      </c>
      <c r="AA34" s="41">
        <v>56.470588235294116</v>
      </c>
      <c r="AB34" s="41">
        <v>0</v>
      </c>
      <c r="AC34" s="41">
        <v>0</v>
      </c>
      <c r="AD34" s="41">
        <v>282.35294117647061</v>
      </c>
      <c r="AE34" s="41">
        <v>1694.1176470588234</v>
      </c>
      <c r="AF34" s="41">
        <v>282.35294117647061</v>
      </c>
    </row>
    <row r="35" spans="1:32" x14ac:dyDescent="0.25">
      <c r="A35" t="s">
        <v>25</v>
      </c>
      <c r="B35" s="41">
        <v>37.647058823529413</v>
      </c>
      <c r="C35" s="41">
        <v>564.70588235294122</v>
      </c>
      <c r="D35" s="41">
        <v>18.823529411764707</v>
      </c>
      <c r="E35" s="41">
        <v>56.470588235294116</v>
      </c>
      <c r="F35" s="41">
        <v>470.58823529411762</v>
      </c>
      <c r="G35" s="41">
        <v>70.588235294117652</v>
      </c>
      <c r="H35" s="41">
        <v>47.058823529411768</v>
      </c>
      <c r="I35" s="41">
        <v>47.058823529411768</v>
      </c>
      <c r="J35" s="41">
        <v>42.352941176470587</v>
      </c>
      <c r="K35" s="41">
        <v>4.7058823529411766</v>
      </c>
      <c r="L35" s="41">
        <v>56.470588235294116</v>
      </c>
      <c r="M35" s="41">
        <v>37.647058823529413</v>
      </c>
      <c r="N35" s="41">
        <v>329.41176470588238</v>
      </c>
      <c r="O35" s="41">
        <v>65.882352941176464</v>
      </c>
      <c r="P35" s="41">
        <v>9.4117647058823533</v>
      </c>
      <c r="Q35" s="41">
        <v>47.058823529411768</v>
      </c>
      <c r="R35" s="41">
        <v>141.1764705882353</v>
      </c>
      <c r="S35" s="41">
        <v>37.647058823529413</v>
      </c>
      <c r="T35" s="41">
        <v>18.823529411764707</v>
      </c>
      <c r="U35" s="41">
        <v>141.1764705882353</v>
      </c>
      <c r="V35" s="41">
        <v>160</v>
      </c>
      <c r="W35" s="41">
        <v>47.058823529411768</v>
      </c>
      <c r="X35" s="41">
        <v>28.235294117647058</v>
      </c>
      <c r="Y35" s="41">
        <v>65.882352941176464</v>
      </c>
      <c r="Z35" s="41">
        <v>47.058823529411768</v>
      </c>
      <c r="AA35" s="41">
        <v>84.705882352941174</v>
      </c>
      <c r="AB35" s="41">
        <v>263.52941176470586</v>
      </c>
      <c r="AC35" s="41">
        <v>188.23529411764707</v>
      </c>
      <c r="AD35" s="41">
        <v>47.058823529411768</v>
      </c>
      <c r="AE35" s="41">
        <v>320</v>
      </c>
      <c r="AF35" s="41">
        <v>65.882352941176464</v>
      </c>
    </row>
    <row r="37" spans="1:32" x14ac:dyDescent="0.25">
      <c r="B37" s="68">
        <v>40269</v>
      </c>
      <c r="C37" s="68">
        <v>40270</v>
      </c>
      <c r="D37" s="68">
        <v>40271</v>
      </c>
      <c r="E37" s="68">
        <v>40272</v>
      </c>
      <c r="F37" s="68">
        <v>40273</v>
      </c>
      <c r="G37" s="68">
        <v>40274</v>
      </c>
      <c r="H37" s="68">
        <v>40275</v>
      </c>
      <c r="I37" s="68">
        <v>40276</v>
      </c>
      <c r="J37" s="68">
        <v>40277</v>
      </c>
      <c r="K37" s="68">
        <v>40278</v>
      </c>
      <c r="L37" s="68">
        <v>40279</v>
      </c>
      <c r="M37" s="68">
        <v>40280</v>
      </c>
      <c r="N37" s="68">
        <v>40281</v>
      </c>
      <c r="O37" s="68">
        <v>40282</v>
      </c>
      <c r="P37" s="68">
        <v>40283</v>
      </c>
      <c r="Q37" s="68">
        <v>40284</v>
      </c>
      <c r="R37" s="68">
        <v>40285</v>
      </c>
      <c r="S37" s="68">
        <v>40286</v>
      </c>
      <c r="T37" s="68">
        <v>40287</v>
      </c>
      <c r="U37" s="68">
        <v>40288</v>
      </c>
      <c r="V37" s="68">
        <v>40289</v>
      </c>
      <c r="W37" s="68">
        <v>40290</v>
      </c>
      <c r="X37" s="68">
        <v>40291</v>
      </c>
      <c r="Y37" s="68">
        <v>40292</v>
      </c>
      <c r="Z37" s="68">
        <v>40293</v>
      </c>
      <c r="AA37" s="68">
        <v>40294</v>
      </c>
      <c r="AB37" s="68">
        <v>40295</v>
      </c>
      <c r="AC37" s="68">
        <v>40296</v>
      </c>
      <c r="AD37" s="68">
        <v>40297</v>
      </c>
      <c r="AE37" s="68">
        <v>40298</v>
      </c>
    </row>
    <row r="38" spans="1:32" x14ac:dyDescent="0.25">
      <c r="A38" t="s">
        <v>38</v>
      </c>
      <c r="B38" s="41">
        <v>333.17647058823525</v>
      </c>
      <c r="C38" s="41">
        <v>319.10588235294119</v>
      </c>
      <c r="D38" s="41">
        <v>2330.5411764705882</v>
      </c>
      <c r="E38" s="41">
        <v>1768.3764705882354</v>
      </c>
      <c r="F38" s="41">
        <v>2289.7882352941178</v>
      </c>
      <c r="G38" s="41">
        <v>1888.9411764705883</v>
      </c>
      <c r="H38" s="41">
        <v>1774.5411764705882</v>
      </c>
      <c r="I38" s="41">
        <v>1827.2470588235294</v>
      </c>
      <c r="J38" s="41">
        <v>3002.5411764705882</v>
      </c>
      <c r="K38" s="41">
        <v>2300.1411764705881</v>
      </c>
      <c r="L38" s="41">
        <v>1561.8823529411766</v>
      </c>
      <c r="M38" s="41">
        <v>1616.2352941176471</v>
      </c>
      <c r="N38" s="41">
        <v>3166.4</v>
      </c>
      <c r="O38" s="41">
        <v>3391.5294117647059</v>
      </c>
      <c r="P38" s="41">
        <v>3326.5882352941176</v>
      </c>
      <c r="Q38" s="41">
        <v>2179.9058823529413</v>
      </c>
      <c r="R38" s="41">
        <v>2674.0705882352941</v>
      </c>
      <c r="S38" s="41">
        <v>1909.7411764705882</v>
      </c>
      <c r="T38" s="41">
        <v>2258.6352941176469</v>
      </c>
      <c r="U38" s="41">
        <v>2875.1529411764704</v>
      </c>
      <c r="V38" s="41">
        <v>2772.1411764705881</v>
      </c>
      <c r="W38" s="41">
        <v>2986.9647058823534</v>
      </c>
      <c r="X38" s="41">
        <v>2053.6470588235293</v>
      </c>
      <c r="Y38" s="41">
        <v>2673.7411764705885</v>
      </c>
      <c r="Z38" s="41">
        <v>3879.4352941176471</v>
      </c>
      <c r="AA38" s="41">
        <v>884.42352941176478</v>
      </c>
      <c r="AB38" s="41">
        <v>985.83529411764709</v>
      </c>
      <c r="AC38" s="41">
        <v>946.58823529411757</v>
      </c>
      <c r="AD38" s="41">
        <v>859.29411764705878</v>
      </c>
      <c r="AE38" s="41">
        <v>699.2941176470589</v>
      </c>
    </row>
    <row r="39" spans="1:32" x14ac:dyDescent="0.25">
      <c r="A39" t="s">
        <v>98</v>
      </c>
      <c r="B39" s="41">
        <v>482.8235294117647</v>
      </c>
      <c r="C39" s="41">
        <v>595.71764705882345</v>
      </c>
      <c r="D39" s="41">
        <v>2091.1058823529411</v>
      </c>
      <c r="E39" s="41">
        <v>2375.6235294117646</v>
      </c>
      <c r="F39" s="41">
        <v>2427.3882352941177</v>
      </c>
      <c r="G39" s="41">
        <v>3361.8823529411761</v>
      </c>
      <c r="H39" s="41">
        <v>3275.8117647058821</v>
      </c>
      <c r="I39" s="41">
        <v>3396.2823529411767</v>
      </c>
      <c r="J39" s="41">
        <v>2839.3411764705879</v>
      </c>
      <c r="K39" s="41">
        <v>3374.2117647058822</v>
      </c>
      <c r="L39" s="41">
        <v>4933.176470588236</v>
      </c>
      <c r="M39" s="41">
        <v>4665.176470588236</v>
      </c>
      <c r="N39" s="41">
        <v>5301.3647058823535</v>
      </c>
      <c r="O39" s="41">
        <v>5359.5294117647063</v>
      </c>
      <c r="P39" s="41">
        <v>5104.4705882352937</v>
      </c>
      <c r="Q39" s="41">
        <v>3617.7411764705885</v>
      </c>
      <c r="R39" s="41">
        <v>3118.8705882352938</v>
      </c>
      <c r="S39" s="41">
        <v>3017.3176470588237</v>
      </c>
      <c r="T39" s="41">
        <v>4364.4235294117643</v>
      </c>
      <c r="U39" s="41">
        <v>6050.0235294117647</v>
      </c>
      <c r="V39" s="41">
        <v>5756.8</v>
      </c>
      <c r="W39" s="41">
        <v>5927.8588235294119</v>
      </c>
      <c r="X39" s="41">
        <v>3472.9411764705883</v>
      </c>
      <c r="Y39" s="41">
        <v>3214.2588235294115</v>
      </c>
      <c r="Z39" s="41">
        <v>2475.3882352941177</v>
      </c>
      <c r="AA39" s="41">
        <v>2046.4</v>
      </c>
      <c r="AB39" s="41">
        <v>2541.6941176470586</v>
      </c>
      <c r="AC39" s="41">
        <v>2207.294117647059</v>
      </c>
      <c r="AD39" s="41">
        <v>1777.8823529411766</v>
      </c>
      <c r="AE39" s="41">
        <v>1542.5882352941176</v>
      </c>
    </row>
    <row r="40" spans="1:32" x14ac:dyDescent="0.25">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row>
    <row r="41" spans="1:32" x14ac:dyDescent="0.25">
      <c r="A41" t="s">
        <v>99</v>
      </c>
      <c r="B41" s="41">
        <v>45.176470588235297</v>
      </c>
      <c r="C41" s="41">
        <v>16.941176470588236</v>
      </c>
      <c r="D41" s="41">
        <v>1665.8823529411766</v>
      </c>
      <c r="E41" s="41">
        <v>1232</v>
      </c>
      <c r="F41" s="41">
        <v>80.941176470588232</v>
      </c>
      <c r="G41" s="41">
        <v>45.176470588235297</v>
      </c>
      <c r="H41" s="41">
        <v>36.705882352941174</v>
      </c>
      <c r="I41" s="41">
        <v>268.23529411764707</v>
      </c>
      <c r="J41" s="41">
        <v>263.52941176470586</v>
      </c>
      <c r="K41" s="41">
        <v>920.47058823529414</v>
      </c>
      <c r="L41" s="41">
        <v>1127.5294117647059</v>
      </c>
      <c r="M41" s="41">
        <v>238.11764705882354</v>
      </c>
      <c r="N41" s="41">
        <v>75.294117647058826</v>
      </c>
      <c r="O41" s="41">
        <v>114.82352941176471</v>
      </c>
      <c r="P41" s="41">
        <v>103.52941176470588</v>
      </c>
      <c r="Q41" s="41">
        <v>0</v>
      </c>
      <c r="R41" s="41">
        <v>847.05882352941171</v>
      </c>
      <c r="S41" s="41">
        <v>724.70588235294122</v>
      </c>
      <c r="T41" s="41">
        <v>33.882352941176471</v>
      </c>
      <c r="U41" s="41">
        <v>133.64705882352942</v>
      </c>
      <c r="V41" s="41">
        <v>109.17647058823529</v>
      </c>
      <c r="W41" s="41">
        <v>150.58823529411765</v>
      </c>
      <c r="X41" s="41">
        <v>164.70588235294119</v>
      </c>
      <c r="Y41" s="41">
        <v>1763.7647058823529</v>
      </c>
      <c r="Z41" s="41">
        <v>1421.1764705882354</v>
      </c>
      <c r="AA41" s="41">
        <v>73.411764705882348</v>
      </c>
      <c r="AB41" s="41">
        <v>113.88235294117646</v>
      </c>
      <c r="AC41" s="41">
        <v>110.11764705882354</v>
      </c>
      <c r="AD41" s="41">
        <v>59.294117647058826</v>
      </c>
      <c r="AE41" s="41">
        <v>240</v>
      </c>
    </row>
    <row r="42" spans="1:32" x14ac:dyDescent="0.25">
      <c r="A42" t="s">
        <v>51</v>
      </c>
      <c r="B42" s="41">
        <v>1750.5882352941176</v>
      </c>
      <c r="C42" s="41">
        <v>3512.4705882352941</v>
      </c>
      <c r="D42" s="41">
        <v>2964.705882352941</v>
      </c>
      <c r="E42" s="41">
        <v>729.41176470588232</v>
      </c>
      <c r="F42" s="41">
        <v>456.47058823529414</v>
      </c>
      <c r="G42" s="41">
        <v>1111.5294117647059</v>
      </c>
      <c r="H42" s="41">
        <v>1294.1176470588234</v>
      </c>
      <c r="I42" s="41">
        <v>970.35294117647061</v>
      </c>
      <c r="J42" s="41">
        <v>1031.5294117647059</v>
      </c>
      <c r="K42" s="41">
        <v>1063.5294117647059</v>
      </c>
      <c r="L42" s="41">
        <v>377.41176470588238</v>
      </c>
      <c r="M42" s="41">
        <v>131.76470588235293</v>
      </c>
      <c r="N42" s="41">
        <v>178.8235294117647</v>
      </c>
      <c r="O42" s="41">
        <v>991.05882352941171</v>
      </c>
      <c r="P42" s="41">
        <v>971.29411764705878</v>
      </c>
      <c r="Q42" s="41">
        <v>1400.4705882352941</v>
      </c>
      <c r="R42" s="41">
        <v>927.05882352941171</v>
      </c>
      <c r="S42" s="41">
        <v>348.23529411764707</v>
      </c>
      <c r="T42" s="41">
        <v>190.11764705882354</v>
      </c>
      <c r="U42" s="41">
        <v>219.29411764705881</v>
      </c>
      <c r="V42" s="41">
        <v>688.94117647058829</v>
      </c>
      <c r="W42" s="41">
        <v>1066.3529411764705</v>
      </c>
      <c r="X42" s="41">
        <v>1472.9411764705883</v>
      </c>
      <c r="Y42" s="41">
        <v>1488.9411764705883</v>
      </c>
      <c r="Z42" s="41">
        <v>155.29411764705881</v>
      </c>
      <c r="AA42" s="41">
        <v>151.52941176470588</v>
      </c>
      <c r="AB42" s="41">
        <v>469.64705882352939</v>
      </c>
      <c r="AC42" s="41">
        <v>1225.4117647058824</v>
      </c>
      <c r="AD42" s="41">
        <v>1548.2352941176471</v>
      </c>
      <c r="AE42" s="41">
        <v>1228.2352941176471</v>
      </c>
    </row>
    <row r="43" spans="1:32" x14ac:dyDescent="0.25">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1"/>
    </row>
    <row r="44" spans="1:32" x14ac:dyDescent="0.25">
      <c r="A44" t="s">
        <v>41</v>
      </c>
      <c r="B44" s="41">
        <v>51.764705882352942</v>
      </c>
      <c r="C44" s="41">
        <v>51.764705882352942</v>
      </c>
      <c r="D44" s="41">
        <v>160</v>
      </c>
      <c r="E44" s="41">
        <v>254.11764705882354</v>
      </c>
      <c r="F44" s="41">
        <v>141.1764705882353</v>
      </c>
      <c r="G44" s="41">
        <v>141.1764705882353</v>
      </c>
      <c r="H44" s="41">
        <v>103.52941176470588</v>
      </c>
      <c r="I44" s="41">
        <v>112.94117647058823</v>
      </c>
      <c r="J44" s="41">
        <v>103.52941176470588</v>
      </c>
      <c r="K44" s="41">
        <v>94.117647058823536</v>
      </c>
      <c r="L44" s="41">
        <v>70.588235294117652</v>
      </c>
      <c r="M44" s="41">
        <v>75.294117647058826</v>
      </c>
      <c r="N44" s="41">
        <v>94.117647058823536</v>
      </c>
      <c r="O44" s="41">
        <v>94.117647058823536</v>
      </c>
      <c r="P44" s="41">
        <v>70.588235294117652</v>
      </c>
      <c r="Q44" s="41">
        <v>70.588235294117652</v>
      </c>
      <c r="R44" s="41">
        <v>75.294117647058826</v>
      </c>
      <c r="S44" s="41">
        <v>47.058823529411768</v>
      </c>
      <c r="T44" s="41">
        <v>47.058823529411768</v>
      </c>
      <c r="U44" s="41">
        <v>75.294117647058826</v>
      </c>
      <c r="V44" s="41">
        <v>56.470588235294116</v>
      </c>
      <c r="W44" s="41">
        <v>94.117647058823536</v>
      </c>
      <c r="X44" s="41">
        <v>70.588235294117652</v>
      </c>
      <c r="Y44" s="41">
        <v>141.1764705882353</v>
      </c>
      <c r="Z44" s="41">
        <v>131.76470588235293</v>
      </c>
      <c r="AA44" s="41">
        <v>84.705882352941174</v>
      </c>
      <c r="AB44" s="41">
        <v>37.647058823529413</v>
      </c>
      <c r="AC44" s="41">
        <v>37.647058823529413</v>
      </c>
      <c r="AD44" s="41">
        <v>37.647058823529413</v>
      </c>
      <c r="AE44" s="41">
        <v>37.647058823529413</v>
      </c>
    </row>
    <row r="45" spans="1:32" x14ac:dyDescent="0.25">
      <c r="A45" t="s">
        <v>26</v>
      </c>
      <c r="B45" s="41">
        <v>37.647058823529413</v>
      </c>
      <c r="C45" s="41">
        <v>37.647058823529413</v>
      </c>
      <c r="D45" s="41">
        <v>37.647058823529413</v>
      </c>
      <c r="E45" s="41">
        <v>65.882352941176464</v>
      </c>
      <c r="F45" s="41">
        <v>65.882352941176464</v>
      </c>
      <c r="G45" s="41">
        <v>56.470588235294116</v>
      </c>
      <c r="H45" s="41">
        <v>47.058823529411768</v>
      </c>
      <c r="I45" s="41">
        <v>47.058823529411768</v>
      </c>
      <c r="J45" s="41">
        <v>47.058823529411768</v>
      </c>
      <c r="K45" s="41">
        <v>51.764705882352942</v>
      </c>
      <c r="L45" s="41">
        <v>112.94117647058823</v>
      </c>
      <c r="M45" s="41">
        <v>70.588235294117652</v>
      </c>
      <c r="N45" s="41">
        <v>65.882352941176464</v>
      </c>
      <c r="O45" s="41">
        <v>65.882352941176464</v>
      </c>
      <c r="P45" s="41">
        <v>65.882352941176464</v>
      </c>
      <c r="Q45" s="41">
        <v>47.058823529411768</v>
      </c>
      <c r="R45" s="41">
        <v>37.647058823529413</v>
      </c>
      <c r="S45" s="41">
        <v>47.058823529411768</v>
      </c>
      <c r="T45" s="41">
        <v>47.058823529411768</v>
      </c>
      <c r="U45" s="41">
        <v>47.058823529411768</v>
      </c>
      <c r="V45" s="41">
        <v>47.058823529411768</v>
      </c>
      <c r="W45" s="41">
        <v>47.058823529411768</v>
      </c>
      <c r="X45" s="41">
        <v>47.058823529411768</v>
      </c>
      <c r="Y45" s="41">
        <v>47.058823529411768</v>
      </c>
      <c r="Z45" s="41">
        <v>70.588235294117652</v>
      </c>
      <c r="AA45" s="41">
        <v>94.117647058823536</v>
      </c>
      <c r="AB45" s="41">
        <v>291.76470588235293</v>
      </c>
      <c r="AC45" s="41">
        <v>18.823529411764707</v>
      </c>
      <c r="AD45" s="41">
        <v>18.823529411764707</v>
      </c>
      <c r="AE45" s="41">
        <v>18.823529411764707</v>
      </c>
    </row>
    <row r="46" spans="1:32" x14ac:dyDescent="0.25">
      <c r="A46" t="s">
        <v>100</v>
      </c>
      <c r="B46" s="41">
        <v>0</v>
      </c>
      <c r="C46" s="41">
        <v>0</v>
      </c>
      <c r="D46" s="41">
        <v>0</v>
      </c>
      <c r="E46" s="41">
        <v>0</v>
      </c>
      <c r="F46" s="41">
        <v>141.1764705882353</v>
      </c>
      <c r="G46" s="41">
        <v>0</v>
      </c>
      <c r="H46" s="41">
        <v>0</v>
      </c>
      <c r="I46" s="41">
        <v>244.70588235294119</v>
      </c>
      <c r="J46" s="41">
        <v>47.058823529411768</v>
      </c>
      <c r="K46" s="41">
        <v>235.29411764705881</v>
      </c>
      <c r="L46" s="41">
        <v>0</v>
      </c>
      <c r="M46" s="41">
        <v>0</v>
      </c>
      <c r="N46" s="41">
        <v>0</v>
      </c>
      <c r="O46" s="41">
        <v>0</v>
      </c>
      <c r="P46" s="41">
        <v>0</v>
      </c>
      <c r="Q46" s="41">
        <v>0</v>
      </c>
      <c r="R46" s="41">
        <v>141.1764705882353</v>
      </c>
      <c r="S46" s="41">
        <v>0</v>
      </c>
      <c r="T46" s="41">
        <v>0</v>
      </c>
      <c r="U46" s="41">
        <v>0</v>
      </c>
      <c r="V46" s="41">
        <v>0</v>
      </c>
      <c r="W46" s="41">
        <v>0</v>
      </c>
      <c r="X46" s="41">
        <v>0</v>
      </c>
      <c r="Y46" s="41">
        <v>0</v>
      </c>
      <c r="Z46" s="41">
        <v>0</v>
      </c>
      <c r="AA46" s="41">
        <v>0</v>
      </c>
      <c r="AB46" s="41">
        <v>28.235294117647058</v>
      </c>
      <c r="AC46" s="41">
        <v>28.235294117647058</v>
      </c>
      <c r="AD46" s="41">
        <v>564.70588235294122</v>
      </c>
      <c r="AE46" s="41">
        <v>0</v>
      </c>
    </row>
    <row r="47" spans="1:32" x14ac:dyDescent="0.25">
      <c r="A47" t="s">
        <v>25</v>
      </c>
      <c r="B47" s="41">
        <v>84.705882352941174</v>
      </c>
      <c r="C47" s="41">
        <v>188.23529411764707</v>
      </c>
      <c r="D47" s="41">
        <v>352.94117647058823</v>
      </c>
      <c r="E47" s="41">
        <v>211.76470588235293</v>
      </c>
      <c r="F47" s="41">
        <v>94.117647058823536</v>
      </c>
      <c r="G47" s="41">
        <v>94.117647058823536</v>
      </c>
      <c r="H47" s="41">
        <v>65.882352941176464</v>
      </c>
      <c r="I47" s="41">
        <v>94.117647058823536</v>
      </c>
      <c r="J47" s="41">
        <v>122.35294117647059</v>
      </c>
      <c r="K47" s="41">
        <v>169.41176470588235</v>
      </c>
      <c r="L47" s="41">
        <v>244.70588235294119</v>
      </c>
      <c r="M47" s="41">
        <v>169.41176470588235</v>
      </c>
      <c r="N47" s="41">
        <v>301.1764705882353</v>
      </c>
      <c r="O47" s="41">
        <v>141.1764705882353</v>
      </c>
      <c r="P47" s="41">
        <v>94.117647058823536</v>
      </c>
      <c r="Q47" s="41">
        <v>174.11764705882354</v>
      </c>
      <c r="R47" s="41">
        <v>141.1764705882353</v>
      </c>
      <c r="S47" s="41">
        <v>65.882352941176464</v>
      </c>
      <c r="T47" s="41">
        <v>112.94117647058823</v>
      </c>
      <c r="U47" s="41">
        <v>103.52941176470588</v>
      </c>
      <c r="V47" s="41">
        <v>94.117647058823536</v>
      </c>
      <c r="W47" s="41">
        <v>117.64705882352941</v>
      </c>
      <c r="X47" s="41">
        <v>84.705882352941174</v>
      </c>
      <c r="Y47" s="41">
        <v>211.76470588235293</v>
      </c>
      <c r="Z47" s="41">
        <v>122.35294117647059</v>
      </c>
      <c r="AA47" s="41">
        <v>84.705882352941174</v>
      </c>
      <c r="AB47" s="41">
        <v>108.23529411764706</v>
      </c>
      <c r="AC47" s="41">
        <v>94.117647058823536</v>
      </c>
      <c r="AD47" s="41">
        <v>84.705882352941174</v>
      </c>
      <c r="AE47" s="41">
        <v>211.76470588235293</v>
      </c>
    </row>
    <row r="49" spans="1:32" x14ac:dyDescent="0.25">
      <c r="B49" s="68">
        <v>40299</v>
      </c>
      <c r="C49" s="68">
        <v>40300</v>
      </c>
      <c r="D49" s="68">
        <v>40301</v>
      </c>
      <c r="E49" s="68">
        <v>40302</v>
      </c>
      <c r="F49" s="68">
        <v>40303</v>
      </c>
      <c r="G49" s="68">
        <v>40304</v>
      </c>
      <c r="H49" s="68">
        <v>40305</v>
      </c>
      <c r="I49" s="68">
        <v>40306</v>
      </c>
      <c r="J49" s="68">
        <v>40307</v>
      </c>
      <c r="K49" s="68">
        <v>40308</v>
      </c>
      <c r="L49" s="68">
        <v>40309</v>
      </c>
      <c r="M49" s="68">
        <v>40310</v>
      </c>
      <c r="N49" s="68">
        <v>40311</v>
      </c>
      <c r="O49" s="68">
        <v>40312</v>
      </c>
      <c r="P49" s="68">
        <v>40313</v>
      </c>
      <c r="Q49" s="68">
        <v>40314</v>
      </c>
      <c r="R49" s="68">
        <v>40315</v>
      </c>
      <c r="S49" s="68">
        <v>40316</v>
      </c>
      <c r="T49" s="68">
        <v>40317</v>
      </c>
      <c r="U49" s="68">
        <v>40318</v>
      </c>
      <c r="V49" s="68">
        <v>40319</v>
      </c>
      <c r="W49" s="68">
        <v>40320</v>
      </c>
      <c r="X49" s="68">
        <v>40321</v>
      </c>
      <c r="Y49" s="68">
        <v>40322</v>
      </c>
      <c r="Z49" s="68">
        <v>40323</v>
      </c>
      <c r="AA49" s="68">
        <v>40324</v>
      </c>
      <c r="AB49" s="68">
        <v>40325</v>
      </c>
      <c r="AC49" s="68">
        <v>40326</v>
      </c>
      <c r="AD49" s="68">
        <v>40327</v>
      </c>
      <c r="AE49" s="68">
        <v>40328</v>
      </c>
      <c r="AF49" s="68">
        <v>40329</v>
      </c>
    </row>
    <row r="50" spans="1:32" x14ac:dyDescent="0.25">
      <c r="A50" t="s">
        <v>38</v>
      </c>
      <c r="B50" s="41">
        <v>3040.705882352941</v>
      </c>
      <c r="C50" s="41">
        <v>1348.2352941176471</v>
      </c>
      <c r="D50" s="41">
        <v>275.48235294117649</v>
      </c>
      <c r="E50" s="41">
        <v>303.48235294117643</v>
      </c>
      <c r="F50" s="41">
        <v>318.30588235294118</v>
      </c>
      <c r="G50" s="41">
        <v>365.1764705882353</v>
      </c>
      <c r="H50" s="41">
        <v>441.12941176470588</v>
      </c>
      <c r="I50" s="41">
        <v>3758.4</v>
      </c>
      <c r="J50" s="41">
        <v>2567.4823529411769</v>
      </c>
      <c r="K50" s="41">
        <v>322.49411764705883</v>
      </c>
      <c r="L50" s="41">
        <v>348.1882352941177</v>
      </c>
      <c r="M50" s="41">
        <v>289.31764705882352</v>
      </c>
      <c r="N50" s="41">
        <v>817.08235294117651</v>
      </c>
      <c r="O50" s="41">
        <v>1056</v>
      </c>
      <c r="P50" s="41">
        <v>2220.2823529411767</v>
      </c>
      <c r="Q50" s="41">
        <v>1263.5294117647059</v>
      </c>
      <c r="R50" s="41">
        <v>370.49411764705883</v>
      </c>
      <c r="S50" s="41">
        <v>387.15294117647056</v>
      </c>
      <c r="T50" s="41">
        <v>415.57647058823534</v>
      </c>
      <c r="U50" s="41">
        <v>457.41176470588238</v>
      </c>
      <c r="V50" s="41">
        <v>818.77647058823527</v>
      </c>
      <c r="W50" s="41">
        <v>2877.5058823529412</v>
      </c>
      <c r="X50" s="41">
        <v>1740.2352941176471</v>
      </c>
      <c r="Y50" s="41">
        <v>600.75294117647059</v>
      </c>
      <c r="Z50" s="41">
        <v>503.05882352941171</v>
      </c>
      <c r="AA50" s="41">
        <v>410.58823529411762</v>
      </c>
      <c r="AB50" s="41">
        <v>366.82352941176464</v>
      </c>
      <c r="AC50" s="41">
        <v>338.96470588235292</v>
      </c>
      <c r="AD50" s="41">
        <v>3256</v>
      </c>
      <c r="AE50" s="41">
        <v>3201.9294117647055</v>
      </c>
      <c r="AF50" s="41">
        <v>1101.835294117647</v>
      </c>
    </row>
    <row r="51" spans="1:32" x14ac:dyDescent="0.25">
      <c r="A51" t="s">
        <v>98</v>
      </c>
      <c r="B51" s="41">
        <v>2803.0588235294117</v>
      </c>
      <c r="C51" s="41">
        <v>1125.1764705882354</v>
      </c>
      <c r="D51" s="41">
        <v>766.4</v>
      </c>
      <c r="E51" s="41">
        <v>993.45882352941169</v>
      </c>
      <c r="F51" s="41">
        <v>784.75294117647059</v>
      </c>
      <c r="G51" s="41">
        <v>783.05882352941171</v>
      </c>
      <c r="H51" s="41">
        <v>3392.2823529411762</v>
      </c>
      <c r="I51" s="41">
        <v>5859.482352941176</v>
      </c>
      <c r="J51" s="41">
        <v>1940.7529411764706</v>
      </c>
      <c r="K51" s="41">
        <v>529.27058823529421</v>
      </c>
      <c r="L51" s="41">
        <v>639.10588235294119</v>
      </c>
      <c r="M51" s="41">
        <v>581.2705882352941</v>
      </c>
      <c r="N51" s="41">
        <v>572.09411764705885</v>
      </c>
      <c r="O51" s="41">
        <v>581.64705882352939</v>
      </c>
      <c r="P51" s="41">
        <v>1965.129411764706</v>
      </c>
      <c r="Q51" s="41">
        <v>1271.0588235294117</v>
      </c>
      <c r="R51" s="41">
        <v>722.21176470588239</v>
      </c>
      <c r="S51" s="41">
        <v>874.96470588235297</v>
      </c>
      <c r="T51" s="41">
        <v>887.01176470588234</v>
      </c>
      <c r="U51" s="41">
        <v>3056.9411764705883</v>
      </c>
      <c r="V51" s="41">
        <v>6295.5764705882357</v>
      </c>
      <c r="W51" s="41">
        <v>5147.9058823529413</v>
      </c>
      <c r="X51" s="41">
        <v>1693.1764705882351</v>
      </c>
      <c r="Y51" s="41">
        <v>570.07058823529405</v>
      </c>
      <c r="Z51" s="41">
        <v>707.29411764705878</v>
      </c>
      <c r="AA51" s="41">
        <v>677.41176470588232</v>
      </c>
      <c r="AB51" s="41">
        <v>605.41176470588232</v>
      </c>
      <c r="AC51" s="41">
        <v>557.03529411764703</v>
      </c>
      <c r="AD51" s="41">
        <v>2815.5294117647059</v>
      </c>
      <c r="AE51" s="41">
        <v>4657.8352941176472</v>
      </c>
      <c r="AF51" s="41">
        <v>1387.5764705882355</v>
      </c>
    </row>
    <row r="52" spans="1:32" x14ac:dyDescent="0.25">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row>
    <row r="53" spans="1:32" x14ac:dyDescent="0.25">
      <c r="A53" t="s">
        <v>99</v>
      </c>
      <c r="B53" s="41">
        <v>2715.294117647059</v>
      </c>
      <c r="C53" s="41">
        <v>1658.3529411764705</v>
      </c>
      <c r="D53" s="41">
        <v>72.470588235294116</v>
      </c>
      <c r="E53" s="41">
        <v>0</v>
      </c>
      <c r="F53" s="41">
        <v>0</v>
      </c>
      <c r="G53" s="41">
        <v>36.705882352941174</v>
      </c>
      <c r="H53" s="41">
        <v>179.76470588235293</v>
      </c>
      <c r="I53" s="41">
        <v>2649.4117647058824</v>
      </c>
      <c r="J53" s="41">
        <v>1616.9411764705883</v>
      </c>
      <c r="K53" s="41">
        <v>0</v>
      </c>
      <c r="L53" s="41">
        <v>0</v>
      </c>
      <c r="M53" s="41">
        <v>0</v>
      </c>
      <c r="N53" s="41">
        <v>294.58823529411762</v>
      </c>
      <c r="O53" s="41">
        <v>569.41176470588232</v>
      </c>
      <c r="P53" s="41">
        <v>2936.4705882352941</v>
      </c>
      <c r="Q53" s="41">
        <v>1906.8235294117646</v>
      </c>
      <c r="R53" s="41">
        <v>32.941176470588232</v>
      </c>
      <c r="S53" s="41">
        <v>34.823529411764703</v>
      </c>
      <c r="T53" s="41">
        <v>0</v>
      </c>
      <c r="U53" s="41">
        <v>144</v>
      </c>
      <c r="V53" s="41">
        <v>2043.2941176470588</v>
      </c>
      <c r="W53" s="41">
        <v>3532.2352941176468</v>
      </c>
      <c r="X53" s="41">
        <v>814.11764705882354</v>
      </c>
      <c r="Y53" s="41">
        <v>97.882352941176464</v>
      </c>
      <c r="Z53" s="41">
        <v>208.94117647058823</v>
      </c>
      <c r="AA53" s="41">
        <v>217.41176470588235</v>
      </c>
      <c r="AB53" s="41">
        <v>176</v>
      </c>
      <c r="AC53" s="41">
        <v>95.058823529411768</v>
      </c>
      <c r="AD53" s="41">
        <v>239.05882352941177</v>
      </c>
      <c r="AE53" s="41">
        <v>1514.3529411764705</v>
      </c>
      <c r="AF53" s="41">
        <v>812.23529411764707</v>
      </c>
    </row>
    <row r="54" spans="1:32" x14ac:dyDescent="0.25">
      <c r="A54" t="s">
        <v>51</v>
      </c>
      <c r="B54" s="41">
        <v>242.8235294117647</v>
      </c>
      <c r="C54" s="41">
        <v>183.52941176470588</v>
      </c>
      <c r="D54" s="41">
        <v>51.764705882352942</v>
      </c>
      <c r="E54" s="41">
        <v>519.52941176470586</v>
      </c>
      <c r="F54" s="41">
        <v>1322.3529411764705</v>
      </c>
      <c r="G54" s="41">
        <v>2004.7058823529412</v>
      </c>
      <c r="H54" s="41">
        <v>1358.1176470588234</v>
      </c>
      <c r="I54" s="41">
        <v>282.35294117647061</v>
      </c>
      <c r="J54" s="41">
        <v>127.05882352941177</v>
      </c>
      <c r="K54" s="41">
        <v>178.8235294117647</v>
      </c>
      <c r="L54" s="41">
        <v>801.88235294117646</v>
      </c>
      <c r="M54" s="41">
        <v>1896.4705882352941</v>
      </c>
      <c r="N54" s="41">
        <v>1468.2352941176471</v>
      </c>
      <c r="O54" s="41">
        <v>1887.0588235294117</v>
      </c>
      <c r="P54" s="41">
        <v>1557.6470588235295</v>
      </c>
      <c r="Q54" s="41">
        <v>404.70588235294116</v>
      </c>
      <c r="R54" s="41">
        <v>23.529411764705884</v>
      </c>
      <c r="S54" s="41">
        <v>1402.3529411764705</v>
      </c>
      <c r="T54" s="41">
        <v>2730.3529411764707</v>
      </c>
      <c r="U54" s="41">
        <v>1011.7647058823529</v>
      </c>
      <c r="V54" s="41">
        <v>353.88235294117646</v>
      </c>
      <c r="W54" s="41">
        <v>318.11764705882354</v>
      </c>
      <c r="X54" s="41">
        <v>342.58823529411762</v>
      </c>
      <c r="Y54" s="41">
        <v>247.52941176470588</v>
      </c>
      <c r="Z54" s="41">
        <v>937.41176470588232</v>
      </c>
      <c r="AA54" s="41">
        <v>2045.1764705882354</v>
      </c>
      <c r="AB54" s="41">
        <v>1468.2352941176471</v>
      </c>
      <c r="AC54" s="41">
        <v>2224.9411764705883</v>
      </c>
      <c r="AD54" s="41">
        <v>1287.5294117647059</v>
      </c>
      <c r="AE54" s="41">
        <v>357.64705882352939</v>
      </c>
      <c r="AF54" s="41">
        <v>290.8235294117647</v>
      </c>
    </row>
    <row r="55" spans="1:32" x14ac:dyDescent="0.25">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row>
    <row r="56" spans="1:32" x14ac:dyDescent="0.25">
      <c r="A56" t="s">
        <v>41</v>
      </c>
      <c r="B56" s="41">
        <v>131.76470588235293</v>
      </c>
      <c r="C56" s="41">
        <v>47.058823529411768</v>
      </c>
      <c r="D56" s="41">
        <v>56.470588235294116</v>
      </c>
      <c r="E56" s="41">
        <v>51.764705882352942</v>
      </c>
      <c r="F56" s="41">
        <v>37.647058823529413</v>
      </c>
      <c r="G56" s="41">
        <v>37.647058823529413</v>
      </c>
      <c r="H56" s="41">
        <v>37.647058823529413</v>
      </c>
      <c r="I56" s="41">
        <v>108.23529411764706</v>
      </c>
      <c r="J56" s="41">
        <v>37.647058823529413</v>
      </c>
      <c r="K56" s="41">
        <v>37.647058823529413</v>
      </c>
      <c r="L56" s="41">
        <v>37.647058823529413</v>
      </c>
      <c r="M56" s="41">
        <v>51.764705882352942</v>
      </c>
      <c r="N56" s="41">
        <v>258.8235294117647</v>
      </c>
      <c r="O56" s="41">
        <v>112.94117647058823</v>
      </c>
      <c r="P56" s="41">
        <v>122.35294117647059</v>
      </c>
      <c r="Q56" s="41">
        <v>37.647058823529413</v>
      </c>
      <c r="R56" s="41">
        <v>37.647058823529413</v>
      </c>
      <c r="S56" s="41">
        <v>47.058823529411768</v>
      </c>
      <c r="T56" s="41">
        <v>47.058823529411768</v>
      </c>
      <c r="U56" s="41">
        <v>37.647058823529413</v>
      </c>
      <c r="V56" s="41">
        <v>37.647058823529413</v>
      </c>
      <c r="W56" s="41">
        <v>207.05882352941177</v>
      </c>
      <c r="X56" s="41">
        <v>141.1764705882353</v>
      </c>
      <c r="Y56" s="41">
        <v>61.176470588235297</v>
      </c>
      <c r="Z56" s="41">
        <v>75.294117647058826</v>
      </c>
      <c r="AA56" s="41">
        <v>61.176470588235297</v>
      </c>
      <c r="AB56" s="41">
        <v>61.176470588235297</v>
      </c>
      <c r="AC56" s="41">
        <v>61.176470588235297</v>
      </c>
      <c r="AD56" s="41">
        <v>75.294117647058826</v>
      </c>
      <c r="AE56" s="41">
        <v>28.235294117647058</v>
      </c>
      <c r="AF56" s="41">
        <v>47.058823529411768</v>
      </c>
    </row>
    <row r="57" spans="1:32" x14ac:dyDescent="0.25">
      <c r="A57" t="s">
        <v>26</v>
      </c>
      <c r="B57" s="41">
        <v>37.647058823529413</v>
      </c>
      <c r="C57" s="41">
        <v>75.294117647058826</v>
      </c>
      <c r="D57" s="41">
        <v>28.235294117647058</v>
      </c>
      <c r="E57" s="41">
        <v>28.235294117647058</v>
      </c>
      <c r="F57" s="41">
        <v>9.4117647058823533</v>
      </c>
      <c r="G57" s="41">
        <v>9.4117647058823533</v>
      </c>
      <c r="H57" s="41">
        <v>9.4117647058823533</v>
      </c>
      <c r="I57" s="41">
        <v>47.058823529411768</v>
      </c>
      <c r="J57" s="41">
        <v>37.647058823529413</v>
      </c>
      <c r="K57" s="41">
        <v>9.4117647058823533</v>
      </c>
      <c r="L57" s="41">
        <v>14.117647058823529</v>
      </c>
      <c r="M57" s="41">
        <v>23.529411764705884</v>
      </c>
      <c r="N57" s="41">
        <v>65.882352941176464</v>
      </c>
      <c r="O57" s="41">
        <v>75.294117647058826</v>
      </c>
      <c r="P57" s="41">
        <v>94.117647058823536</v>
      </c>
      <c r="Q57" s="41">
        <v>56.470588235294116</v>
      </c>
      <c r="R57" s="41">
        <v>18.823529411764707</v>
      </c>
      <c r="S57" s="41">
        <v>14.117647058823529</v>
      </c>
      <c r="T57" s="41">
        <v>23.529411764705884</v>
      </c>
      <c r="U57" s="41">
        <v>23.529411764705884</v>
      </c>
      <c r="V57" s="41">
        <v>14.117647058823529</v>
      </c>
      <c r="W57" s="41">
        <v>47.058823529411768</v>
      </c>
      <c r="X57" s="41">
        <v>37.647058823529413</v>
      </c>
      <c r="Y57" s="41">
        <v>28.235294117647058</v>
      </c>
      <c r="Z57" s="41">
        <v>9.4117647058823533</v>
      </c>
      <c r="AA57" s="41">
        <v>9.4117647058823533</v>
      </c>
      <c r="AB57" s="41">
        <v>18.823529411764707</v>
      </c>
      <c r="AC57" s="41">
        <v>18.823529411764707</v>
      </c>
      <c r="AD57" s="41">
        <v>70.588235294117652</v>
      </c>
      <c r="AE57" s="41">
        <v>47.058823529411768</v>
      </c>
      <c r="AF57" s="41">
        <v>14.117647058823529</v>
      </c>
    </row>
    <row r="58" spans="1:32" x14ac:dyDescent="0.25">
      <c r="A58" t="s">
        <v>100</v>
      </c>
      <c r="B58" s="41">
        <v>0</v>
      </c>
      <c r="C58" s="41">
        <v>0</v>
      </c>
      <c r="D58" s="41">
        <v>0</v>
      </c>
      <c r="E58" s="41">
        <v>0</v>
      </c>
      <c r="F58" s="41">
        <v>517.64705882352939</v>
      </c>
      <c r="G58" s="41">
        <v>0</v>
      </c>
      <c r="H58" s="41">
        <v>0</v>
      </c>
      <c r="I58" s="41">
        <v>47.058823529411768</v>
      </c>
      <c r="J58" s="41">
        <v>0</v>
      </c>
      <c r="K58" s="41">
        <v>28.235294117647058</v>
      </c>
      <c r="L58" s="41">
        <v>517.64705882352939</v>
      </c>
      <c r="M58" s="41">
        <v>0</v>
      </c>
      <c r="N58" s="41">
        <v>94.117647058823536</v>
      </c>
      <c r="O58" s="41">
        <v>47.058823529411768</v>
      </c>
      <c r="P58" s="41">
        <v>0</v>
      </c>
      <c r="Q58" s="41">
        <v>0</v>
      </c>
      <c r="R58" s="41">
        <v>0</v>
      </c>
      <c r="S58" s="41">
        <v>0</v>
      </c>
      <c r="T58" s="41">
        <v>0</v>
      </c>
      <c r="U58" s="41">
        <v>47.058823529411768</v>
      </c>
      <c r="V58" s="41">
        <v>0</v>
      </c>
      <c r="W58" s="41">
        <v>0</v>
      </c>
      <c r="X58" s="41">
        <v>0</v>
      </c>
      <c r="Y58" s="41">
        <v>0</v>
      </c>
      <c r="Z58" s="41">
        <v>0</v>
      </c>
      <c r="AA58" s="41">
        <v>658.82352941176475</v>
      </c>
      <c r="AB58" s="41">
        <v>602.35294117647061</v>
      </c>
      <c r="AC58" s="41">
        <v>18.823529411764707</v>
      </c>
      <c r="AD58" s="41">
        <v>658.82352941176475</v>
      </c>
      <c r="AE58" s="41">
        <v>282.35294117647061</v>
      </c>
      <c r="AF58" s="41">
        <v>216.47058823529412</v>
      </c>
    </row>
    <row r="59" spans="1:32" x14ac:dyDescent="0.25">
      <c r="A59" t="s">
        <v>25</v>
      </c>
      <c r="B59" s="41">
        <v>258.8235294117647</v>
      </c>
      <c r="C59" s="41">
        <v>94.117647058823536</v>
      </c>
      <c r="D59" s="41">
        <v>108.23529411764706</v>
      </c>
      <c r="E59" s="41">
        <v>75.294117647058826</v>
      </c>
      <c r="F59" s="41">
        <v>202.35294117647058</v>
      </c>
      <c r="G59" s="41">
        <v>37.647058823529413</v>
      </c>
      <c r="H59" s="41">
        <v>211.76470588235293</v>
      </c>
      <c r="I59" s="41">
        <v>282.35294117647061</v>
      </c>
      <c r="J59" s="41">
        <v>94.117647058823536</v>
      </c>
      <c r="K59" s="41">
        <v>94.117647058823536</v>
      </c>
      <c r="L59" s="41">
        <v>131.76470588235293</v>
      </c>
      <c r="M59" s="41">
        <v>188.23529411764707</v>
      </c>
      <c r="N59" s="41">
        <v>9.4117647058823533</v>
      </c>
      <c r="O59" s="41">
        <v>70.588235294117652</v>
      </c>
      <c r="P59" s="41">
        <v>150.58823529411765</v>
      </c>
      <c r="Q59" s="41">
        <v>94.117647058823536</v>
      </c>
      <c r="R59" s="41">
        <v>37.647058823529413</v>
      </c>
      <c r="S59" s="41">
        <v>47.058823529411768</v>
      </c>
      <c r="T59" s="41">
        <v>47.058823529411768</v>
      </c>
      <c r="U59" s="41">
        <v>216.47058823529412</v>
      </c>
      <c r="V59" s="41">
        <v>470.58823529411762</v>
      </c>
      <c r="W59" s="41">
        <v>404.70588235294116</v>
      </c>
      <c r="X59" s="41">
        <v>108.23529411764706</v>
      </c>
      <c r="Y59" s="41">
        <v>23.529411764705884</v>
      </c>
      <c r="Z59" s="41">
        <v>37.647058823529413</v>
      </c>
      <c r="AA59" s="41">
        <v>28.235294117647058</v>
      </c>
      <c r="AB59" s="41">
        <v>155.29411764705881</v>
      </c>
      <c r="AC59" s="41">
        <v>94.117647058823536</v>
      </c>
      <c r="AD59" s="41">
        <v>329.41176470588238</v>
      </c>
      <c r="AE59" s="41">
        <v>376.47058823529414</v>
      </c>
      <c r="AF59" s="41">
        <v>117.64705882352941</v>
      </c>
    </row>
    <row r="61" spans="1:32" x14ac:dyDescent="0.25">
      <c r="B61" s="68">
        <v>40330</v>
      </c>
      <c r="C61" s="68">
        <v>40331</v>
      </c>
      <c r="D61" s="68">
        <v>40332</v>
      </c>
      <c r="E61" s="68">
        <v>40333</v>
      </c>
      <c r="F61" s="68">
        <v>40334</v>
      </c>
      <c r="G61" s="68">
        <v>40335</v>
      </c>
      <c r="H61" s="68">
        <v>40336</v>
      </c>
      <c r="I61" s="68">
        <v>40337</v>
      </c>
      <c r="J61" s="68">
        <v>40338</v>
      </c>
      <c r="K61" s="68">
        <v>40339</v>
      </c>
      <c r="L61" s="68">
        <v>40340</v>
      </c>
      <c r="M61" s="68">
        <v>40341</v>
      </c>
      <c r="N61" s="68">
        <v>40342</v>
      </c>
      <c r="O61" s="68">
        <v>40343</v>
      </c>
      <c r="P61" s="68">
        <v>40344</v>
      </c>
      <c r="Q61" s="68">
        <v>40345</v>
      </c>
      <c r="R61" s="68">
        <v>40346</v>
      </c>
      <c r="S61" s="68">
        <v>40347</v>
      </c>
      <c r="T61" s="68">
        <v>40348</v>
      </c>
      <c r="U61" s="68">
        <v>40349</v>
      </c>
      <c r="V61" s="68">
        <v>40350</v>
      </c>
      <c r="W61" s="68">
        <v>40351</v>
      </c>
      <c r="X61" s="68">
        <v>40352</v>
      </c>
      <c r="Y61" s="68">
        <v>40353</v>
      </c>
      <c r="Z61" s="68">
        <v>40354</v>
      </c>
      <c r="AA61" s="68">
        <v>40355</v>
      </c>
      <c r="AB61" s="68">
        <v>40356</v>
      </c>
      <c r="AC61" s="68">
        <v>40357</v>
      </c>
      <c r="AD61" s="68">
        <v>40358</v>
      </c>
      <c r="AE61" s="68">
        <v>40359</v>
      </c>
    </row>
    <row r="62" spans="1:32" x14ac:dyDescent="0.25">
      <c r="A62" t="s">
        <v>38</v>
      </c>
      <c r="B62" s="41">
        <v>351.24705882352941</v>
      </c>
      <c r="C62" s="41">
        <v>271.57647058823528</v>
      </c>
      <c r="D62" s="41">
        <v>276.75294117647059</v>
      </c>
      <c r="E62" s="41">
        <v>277.50588235294117</v>
      </c>
      <c r="F62" s="41">
        <v>1262.964705882353</v>
      </c>
      <c r="G62" s="41">
        <v>711.29411764705878</v>
      </c>
      <c r="H62" s="41">
        <v>277.12941176470588</v>
      </c>
      <c r="I62" s="41">
        <v>365.97647058823532</v>
      </c>
      <c r="J62" s="41">
        <v>406.11764705882354</v>
      </c>
      <c r="K62" s="41">
        <v>391.05882352941177</v>
      </c>
      <c r="L62" s="41">
        <v>368.28235294117644</v>
      </c>
      <c r="M62" s="41">
        <v>1500.8941176470589</v>
      </c>
      <c r="N62" s="41">
        <v>976.61176470588236</v>
      </c>
      <c r="O62" s="41">
        <v>429.50588235294117</v>
      </c>
      <c r="P62" s="41">
        <v>328.8</v>
      </c>
      <c r="Q62" s="41">
        <v>491.85882352941178</v>
      </c>
      <c r="R62" s="41">
        <v>375.10588235294119</v>
      </c>
      <c r="S62" s="41">
        <v>392.37647058823529</v>
      </c>
      <c r="T62" s="41">
        <v>1992.6588235294118</v>
      </c>
      <c r="U62" s="41">
        <v>1034.1176470588234</v>
      </c>
      <c r="V62" s="41">
        <v>588.98823529411754</v>
      </c>
      <c r="W62" s="41">
        <v>853.36470588235295</v>
      </c>
      <c r="X62" s="41">
        <v>567.01176470588234</v>
      </c>
      <c r="Y62" s="41">
        <v>737.45882352941169</v>
      </c>
      <c r="Z62" s="41">
        <v>636.1882352941177</v>
      </c>
      <c r="AA62" s="41">
        <v>1961.9294117647057</v>
      </c>
      <c r="AB62" s="41">
        <v>1434.9176470588236</v>
      </c>
      <c r="AC62" s="41">
        <v>814.82352941176464</v>
      </c>
      <c r="AD62" s="41">
        <v>965.22352941176473</v>
      </c>
      <c r="AE62" s="41">
        <v>812.70588235294122</v>
      </c>
    </row>
    <row r="63" spans="1:32" x14ac:dyDescent="0.25">
      <c r="A63" t="s">
        <v>98</v>
      </c>
      <c r="B63" s="41">
        <v>502.4</v>
      </c>
      <c r="C63" s="41">
        <v>567.01176470588234</v>
      </c>
      <c r="D63" s="41">
        <v>622.07058823529417</v>
      </c>
      <c r="E63" s="41">
        <v>540.37647058823529</v>
      </c>
      <c r="F63" s="41">
        <v>1794.9176470588234</v>
      </c>
      <c r="G63" s="41">
        <v>1096.7058823529412</v>
      </c>
      <c r="H63" s="41">
        <v>413.69411764705887</v>
      </c>
      <c r="I63" s="41">
        <v>502.7294117647059</v>
      </c>
      <c r="J63" s="41">
        <v>497.41176470588232</v>
      </c>
      <c r="K63" s="41">
        <v>435.29411764705884</v>
      </c>
      <c r="L63" s="41">
        <v>536.1882352941177</v>
      </c>
      <c r="M63" s="41">
        <v>2807.8117647058825</v>
      </c>
      <c r="N63" s="41">
        <v>1938.2117647058824</v>
      </c>
      <c r="O63" s="41">
        <v>439.2</v>
      </c>
      <c r="P63" s="41">
        <v>633.08235294117651</v>
      </c>
      <c r="Q63" s="41">
        <v>689.31764705882358</v>
      </c>
      <c r="R63" s="41">
        <v>591.48235294117649</v>
      </c>
      <c r="S63" s="41">
        <v>645.74117647058824</v>
      </c>
      <c r="T63" s="41">
        <v>2587.1058823529411</v>
      </c>
      <c r="U63" s="41">
        <v>1683.0588235294117</v>
      </c>
      <c r="V63" s="41">
        <v>686.30588235294124</v>
      </c>
      <c r="W63" s="41">
        <v>893.4588235294118</v>
      </c>
      <c r="X63" s="41">
        <v>782.63529411764716</v>
      </c>
      <c r="Y63" s="41">
        <v>889.83529411764698</v>
      </c>
      <c r="Z63" s="41">
        <v>962.87058823529412</v>
      </c>
      <c r="AA63" s="41">
        <v>2907.7176470588233</v>
      </c>
      <c r="AB63" s="41">
        <v>1963.6705882352942</v>
      </c>
      <c r="AC63" s="41">
        <v>1170.1176470588234</v>
      </c>
      <c r="AD63" s="41">
        <v>1345.3647058823528</v>
      </c>
      <c r="AE63" s="41">
        <v>1136.4705882352941</v>
      </c>
    </row>
    <row r="64" spans="1:32" x14ac:dyDescent="0.25">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row>
    <row r="65" spans="1:32" x14ac:dyDescent="0.25">
      <c r="A65" t="s">
        <v>99</v>
      </c>
      <c r="B65" s="41">
        <v>200.47058823529412</v>
      </c>
      <c r="C65" s="41">
        <v>280.47058823529414</v>
      </c>
      <c r="D65" s="41">
        <v>434.8235294117647</v>
      </c>
      <c r="E65" s="41">
        <v>213.64705882352942</v>
      </c>
      <c r="F65" s="41">
        <v>2020.7058823529412</v>
      </c>
      <c r="G65" s="41">
        <v>1454.1176470588234</v>
      </c>
      <c r="H65" s="41">
        <v>76.235294117647058</v>
      </c>
      <c r="I65" s="41">
        <v>101.64705882352941</v>
      </c>
      <c r="J65" s="41">
        <v>308.70588235294116</v>
      </c>
      <c r="K65" s="41">
        <v>297.41176470588238</v>
      </c>
      <c r="L65" s="41">
        <v>284.23529411764707</v>
      </c>
      <c r="M65" s="41">
        <v>2512</v>
      </c>
      <c r="N65" s="41">
        <v>2440.4705882352941</v>
      </c>
      <c r="O65" s="41">
        <v>310.58823529411762</v>
      </c>
      <c r="P65" s="41">
        <v>201.41176470588235</v>
      </c>
      <c r="Q65" s="41">
        <v>336.94117647058823</v>
      </c>
      <c r="R65" s="41">
        <v>134.58823529411765</v>
      </c>
      <c r="S65" s="41">
        <v>201.41176470588235</v>
      </c>
      <c r="T65" s="41">
        <v>2657.8823529411766</v>
      </c>
      <c r="U65" s="41">
        <v>1895.5294117647059</v>
      </c>
      <c r="V65" s="41">
        <v>56.470588235294116</v>
      </c>
      <c r="W65" s="41">
        <v>148.70588235294119</v>
      </c>
      <c r="X65" s="41">
        <v>196.70588235294119</v>
      </c>
      <c r="Y65" s="41">
        <v>192.94117647058823</v>
      </c>
      <c r="Z65" s="41">
        <v>160</v>
      </c>
      <c r="AA65" s="41">
        <v>2746.3529411764707</v>
      </c>
      <c r="AB65" s="41">
        <v>2250.3529411764707</v>
      </c>
      <c r="AC65" s="41">
        <v>77.17647058823529</v>
      </c>
      <c r="AD65" s="41">
        <v>126.11764705882354</v>
      </c>
      <c r="AE65" s="41">
        <v>144.94117647058823</v>
      </c>
    </row>
    <row r="66" spans="1:32" x14ac:dyDescent="0.25">
      <c r="A66" t="s">
        <v>51</v>
      </c>
      <c r="B66" s="41">
        <v>240</v>
      </c>
      <c r="C66" s="41">
        <v>1237.6470588235295</v>
      </c>
      <c r="D66" s="41">
        <v>1253.6470588235295</v>
      </c>
      <c r="E66" s="41">
        <v>2365.1764705882351</v>
      </c>
      <c r="F66" s="41">
        <v>1684.7058823529412</v>
      </c>
      <c r="G66" s="41">
        <v>530.82352941176475</v>
      </c>
      <c r="H66" s="41">
        <v>150.58823529411765</v>
      </c>
      <c r="I66" s="41">
        <v>1308.2352941176471</v>
      </c>
      <c r="J66" s="41">
        <v>1768.4705882352941</v>
      </c>
      <c r="K66" s="41">
        <v>1075.7647058823529</v>
      </c>
      <c r="L66" s="41">
        <v>2164.705882352941</v>
      </c>
      <c r="M66" s="41">
        <v>2188.2352941176468</v>
      </c>
      <c r="N66" s="41">
        <v>724.70588235294122</v>
      </c>
      <c r="O66" s="41">
        <v>293.64705882352939</v>
      </c>
      <c r="P66" s="41">
        <v>800</v>
      </c>
      <c r="Q66" s="41">
        <v>2349.1764705882351</v>
      </c>
      <c r="R66" s="41">
        <v>1315.7647058823529</v>
      </c>
      <c r="S66" s="41">
        <v>2260.705882352941</v>
      </c>
      <c r="T66" s="41">
        <v>1648.9411764705883</v>
      </c>
      <c r="U66" s="41">
        <v>720</v>
      </c>
      <c r="V66" s="41">
        <v>486.58823529411762</v>
      </c>
      <c r="W66" s="41">
        <v>1247.0588235294117</v>
      </c>
      <c r="X66" s="41">
        <v>2896.9411764705883</v>
      </c>
      <c r="Y66" s="41">
        <v>1548.2352941176471</v>
      </c>
      <c r="Z66" s="41">
        <v>2442.3529411764707</v>
      </c>
      <c r="AA66" s="41">
        <v>2307.7647058823532</v>
      </c>
      <c r="AB66" s="41">
        <v>410.35294117647061</v>
      </c>
      <c r="AC66" s="41">
        <v>219.29411764705881</v>
      </c>
      <c r="AD66" s="41">
        <v>1096.4705882352941</v>
      </c>
      <c r="AE66" s="41">
        <v>1562.3529411764705</v>
      </c>
    </row>
    <row r="67" spans="1:32" x14ac:dyDescent="0.25">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c r="AE67" s="41"/>
    </row>
    <row r="68" spans="1:32" x14ac:dyDescent="0.25">
      <c r="A68" t="s">
        <v>41</v>
      </c>
      <c r="B68" s="41">
        <v>47.058823529411768</v>
      </c>
      <c r="C68" s="41">
        <v>47.058823529411768</v>
      </c>
      <c r="D68" s="41">
        <v>47.058823529411768</v>
      </c>
      <c r="E68" s="41">
        <v>56.470588235294116</v>
      </c>
      <c r="F68" s="41">
        <v>112.94117647058823</v>
      </c>
      <c r="G68" s="41">
        <v>47.058823529411768</v>
      </c>
      <c r="H68" s="41">
        <v>47.058823529411768</v>
      </c>
      <c r="I68" s="41">
        <v>47.058823529411768</v>
      </c>
      <c r="J68" s="41">
        <v>47.058823529411768</v>
      </c>
      <c r="K68" s="41">
        <v>47.058823529411768</v>
      </c>
      <c r="L68" s="41">
        <v>37.647058823529413</v>
      </c>
      <c r="M68" s="41">
        <v>94.117647058823536</v>
      </c>
      <c r="N68" s="41">
        <v>65.882352941176464</v>
      </c>
      <c r="O68" s="41">
        <v>65.882352941176464</v>
      </c>
      <c r="P68" s="41">
        <v>65.882352941176464</v>
      </c>
      <c r="Q68" s="41">
        <v>65.882352941176464</v>
      </c>
      <c r="R68" s="41">
        <v>65.882352941176464</v>
      </c>
      <c r="S68" s="41">
        <v>65.882352941176464</v>
      </c>
      <c r="T68" s="41">
        <v>94.117647058823536</v>
      </c>
      <c r="U68" s="41">
        <v>70.588235294117652</v>
      </c>
      <c r="V68" s="41">
        <v>70.588235294117652</v>
      </c>
      <c r="W68" s="41">
        <v>70.588235294117652</v>
      </c>
      <c r="X68" s="41">
        <v>70.588235294117652</v>
      </c>
      <c r="Y68" s="41">
        <v>70.588235294117652</v>
      </c>
      <c r="Z68" s="41">
        <v>70.588235294117652</v>
      </c>
      <c r="AA68" s="41">
        <v>94.117647058823536</v>
      </c>
      <c r="AB68" s="41">
        <v>47.058823529411768</v>
      </c>
      <c r="AC68" s="41">
        <v>70.588235294117652</v>
      </c>
      <c r="AD68" s="41">
        <v>70.588235294117652</v>
      </c>
      <c r="AE68" s="41">
        <v>70.588235294117652</v>
      </c>
    </row>
    <row r="69" spans="1:32" x14ac:dyDescent="0.25">
      <c r="A69" t="s">
        <v>26</v>
      </c>
      <c r="B69" s="41">
        <v>14.117647058823529</v>
      </c>
      <c r="C69" s="41">
        <v>18.823529411764707</v>
      </c>
      <c r="D69" s="41">
        <v>18.823529411764707</v>
      </c>
      <c r="E69" s="41">
        <v>9.4117647058823533</v>
      </c>
      <c r="F69" s="41">
        <v>47.058823529411768</v>
      </c>
      <c r="G69" s="41">
        <v>56.470588235294116</v>
      </c>
      <c r="H69" s="41">
        <v>14.117647058823529</v>
      </c>
      <c r="I69" s="41">
        <v>14.117647058823529</v>
      </c>
      <c r="J69" s="41">
        <v>14.117647058823529</v>
      </c>
      <c r="K69" s="41">
        <v>14.117647058823529</v>
      </c>
      <c r="L69" s="41">
        <v>14.117647058823529</v>
      </c>
      <c r="M69" s="41">
        <v>56.470588235294116</v>
      </c>
      <c r="N69" s="41">
        <v>37.647058823529413</v>
      </c>
      <c r="O69" s="41">
        <v>9.4117647058823533</v>
      </c>
      <c r="P69" s="41">
        <v>9.4117647058823533</v>
      </c>
      <c r="Q69" s="41">
        <v>9.4117647058823533</v>
      </c>
      <c r="R69" s="41">
        <v>9.4117647058823533</v>
      </c>
      <c r="S69" s="41">
        <v>9.4117647058823533</v>
      </c>
      <c r="T69" s="41">
        <v>47.058823529411768</v>
      </c>
      <c r="U69" s="41">
        <v>37.647058823529413</v>
      </c>
      <c r="V69" s="41">
        <v>14.117647058823529</v>
      </c>
      <c r="W69" s="41">
        <v>9.4117647058823533</v>
      </c>
      <c r="X69" s="41">
        <v>18.823529411764707</v>
      </c>
      <c r="Y69" s="41">
        <v>18.823529411764707</v>
      </c>
      <c r="Z69" s="41">
        <v>14.117647058823529</v>
      </c>
      <c r="AA69" s="41">
        <v>37.647058823529413</v>
      </c>
      <c r="AB69" s="41">
        <v>47.058823529411768</v>
      </c>
      <c r="AC69" s="41">
        <v>37.647058823529413</v>
      </c>
      <c r="AD69" s="41">
        <v>23.529411764705884</v>
      </c>
      <c r="AE69" s="41">
        <v>37.647058823529413</v>
      </c>
    </row>
    <row r="70" spans="1:32" x14ac:dyDescent="0.25">
      <c r="A70" t="s">
        <v>100</v>
      </c>
      <c r="B70" s="41">
        <v>28.235294117647058</v>
      </c>
      <c r="C70" s="41">
        <v>18.823529411764707</v>
      </c>
      <c r="D70" s="41">
        <v>376.47058823529414</v>
      </c>
      <c r="E70" s="41">
        <v>800</v>
      </c>
      <c r="F70" s="41">
        <v>423.52941176470586</v>
      </c>
      <c r="G70" s="41">
        <v>0</v>
      </c>
      <c r="H70" s="41">
        <v>1129.4117647058824</v>
      </c>
      <c r="I70" s="41">
        <v>28.235294117647058</v>
      </c>
      <c r="J70" s="41">
        <v>37.647058823529413</v>
      </c>
      <c r="K70" s="41">
        <v>141.1764705882353</v>
      </c>
      <c r="L70" s="41">
        <v>94.117647058823536</v>
      </c>
      <c r="M70" s="41">
        <v>282.35294117647061</v>
      </c>
      <c r="N70" s="41">
        <v>75.294117647058826</v>
      </c>
      <c r="O70" s="41">
        <v>14.117647058823529</v>
      </c>
      <c r="P70" s="41">
        <v>0</v>
      </c>
      <c r="Q70" s="41">
        <v>207.05882352941177</v>
      </c>
      <c r="R70" s="41">
        <v>301.1764705882353</v>
      </c>
      <c r="S70" s="41">
        <v>56.470588235294116</v>
      </c>
      <c r="T70" s="41">
        <v>329.41176470588238</v>
      </c>
      <c r="U70" s="41">
        <v>94.117647058823536</v>
      </c>
      <c r="V70" s="41">
        <v>18.823529411764707</v>
      </c>
      <c r="W70" s="41">
        <v>18.823529411764707</v>
      </c>
      <c r="X70" s="41">
        <v>47.058823529411768</v>
      </c>
      <c r="Y70" s="41">
        <v>47.058823529411768</v>
      </c>
      <c r="Z70" s="41">
        <v>188.23529411764707</v>
      </c>
      <c r="AA70" s="41">
        <v>94.117647058823536</v>
      </c>
      <c r="AB70" s="41">
        <v>94.117647058823536</v>
      </c>
      <c r="AC70" s="41">
        <v>28.235294117647058</v>
      </c>
      <c r="AD70" s="41">
        <v>65.882352941176464</v>
      </c>
      <c r="AE70" s="41">
        <v>28.235294117647058</v>
      </c>
    </row>
    <row r="71" spans="1:32" x14ac:dyDescent="0.25">
      <c r="A71" t="s">
        <v>25</v>
      </c>
      <c r="B71" s="41">
        <v>47.058823529411768</v>
      </c>
      <c r="C71" s="41">
        <v>37.647058823529413</v>
      </c>
      <c r="D71" s="41">
        <v>28.235294117647058</v>
      </c>
      <c r="E71" s="41">
        <v>75.294117647058826</v>
      </c>
      <c r="F71" s="41">
        <v>470.58823529411762</v>
      </c>
      <c r="G71" s="41">
        <v>122.35294117647059</v>
      </c>
      <c r="H71" s="41">
        <v>32.941176470588232</v>
      </c>
      <c r="I71" s="41">
        <v>56.470588235294116</v>
      </c>
      <c r="J71" s="41">
        <v>51.764705882352942</v>
      </c>
      <c r="K71" s="41">
        <v>117.64705882352941</v>
      </c>
      <c r="L71" s="41">
        <v>103.52941176470588</v>
      </c>
      <c r="M71" s="41">
        <v>254.11764705882354</v>
      </c>
      <c r="N71" s="41">
        <v>178.8235294117647</v>
      </c>
      <c r="O71" s="41">
        <v>51.764705882352942</v>
      </c>
      <c r="P71" s="41">
        <v>230.58823529411765</v>
      </c>
      <c r="Q71" s="41">
        <v>94.117647058823536</v>
      </c>
      <c r="R71" s="41">
        <v>400</v>
      </c>
      <c r="S71" s="41">
        <v>84.705882352941174</v>
      </c>
      <c r="T71" s="41">
        <v>3223.5294117647059</v>
      </c>
      <c r="U71" s="41">
        <v>258.8235294117647</v>
      </c>
      <c r="V71" s="41">
        <v>70.588235294117652</v>
      </c>
      <c r="W71" s="41">
        <v>117.64705882352941</v>
      </c>
      <c r="X71" s="41">
        <v>75.294117647058826</v>
      </c>
      <c r="Y71" s="41">
        <v>136.47058823529412</v>
      </c>
      <c r="Z71" s="41">
        <v>141.1764705882353</v>
      </c>
      <c r="AA71" s="41">
        <v>320</v>
      </c>
      <c r="AB71" s="41">
        <v>352.94117647058823</v>
      </c>
      <c r="AC71" s="41">
        <v>225.88235294117646</v>
      </c>
      <c r="AD71" s="41">
        <v>150.58823529411765</v>
      </c>
      <c r="AE71" s="41">
        <v>141.1764705882353</v>
      </c>
    </row>
    <row r="73" spans="1:32" x14ac:dyDescent="0.25">
      <c r="B73" s="68">
        <v>40360</v>
      </c>
      <c r="C73" s="68">
        <v>40361</v>
      </c>
      <c r="D73" s="68">
        <v>40362</v>
      </c>
      <c r="E73" s="68">
        <v>40363</v>
      </c>
      <c r="F73" s="68">
        <v>40364</v>
      </c>
      <c r="G73" s="68">
        <v>40365</v>
      </c>
      <c r="H73" s="68">
        <v>40366</v>
      </c>
      <c r="I73" s="68">
        <v>40367</v>
      </c>
      <c r="J73" s="68">
        <v>40368</v>
      </c>
      <c r="K73" s="68">
        <v>40369</v>
      </c>
      <c r="L73" s="68">
        <v>40370</v>
      </c>
      <c r="M73" s="68">
        <v>40371</v>
      </c>
      <c r="N73" s="68">
        <v>40372</v>
      </c>
      <c r="O73" s="68">
        <v>40373</v>
      </c>
      <c r="P73" s="68">
        <v>40374</v>
      </c>
      <c r="Q73" s="68">
        <v>40375</v>
      </c>
      <c r="R73" s="68">
        <v>40376</v>
      </c>
      <c r="S73" s="68">
        <v>40377</v>
      </c>
      <c r="T73" s="68">
        <v>40378</v>
      </c>
      <c r="U73" s="68">
        <v>40379</v>
      </c>
      <c r="V73" s="68">
        <v>40380</v>
      </c>
      <c r="W73" s="68">
        <v>40381</v>
      </c>
      <c r="X73" s="68">
        <v>40382</v>
      </c>
      <c r="Y73" s="68">
        <v>40383</v>
      </c>
      <c r="Z73" s="68">
        <v>40384</v>
      </c>
      <c r="AA73" s="68">
        <v>40385</v>
      </c>
      <c r="AB73" s="68">
        <v>40386</v>
      </c>
      <c r="AC73" s="68">
        <v>40387</v>
      </c>
      <c r="AD73" s="68">
        <v>40388</v>
      </c>
      <c r="AE73" s="68">
        <v>40389</v>
      </c>
      <c r="AF73" s="68">
        <v>40390</v>
      </c>
    </row>
    <row r="74" spans="1:32" x14ac:dyDescent="0.25">
      <c r="A74" t="s">
        <v>38</v>
      </c>
      <c r="B74" s="41">
        <v>998.44705882352935</v>
      </c>
      <c r="C74" s="41">
        <v>1100.2352941176471</v>
      </c>
      <c r="D74" s="41">
        <v>1796.7529411764706</v>
      </c>
      <c r="E74" s="41">
        <v>1618.1647058823528</v>
      </c>
      <c r="F74" s="41">
        <v>1759.2941176470588</v>
      </c>
      <c r="G74" s="41">
        <v>2033.3647058823531</v>
      </c>
      <c r="H74" s="41">
        <v>2049.0823529411764</v>
      </c>
      <c r="I74" s="41">
        <v>2325.3647058823526</v>
      </c>
      <c r="J74" s="41">
        <v>1701.6470588235295</v>
      </c>
      <c r="K74" s="41">
        <v>1809.1764705882351</v>
      </c>
      <c r="L74" s="41">
        <v>2756.2352941176468</v>
      </c>
      <c r="M74" s="41">
        <v>3500.8</v>
      </c>
      <c r="N74" s="41">
        <v>1920.6588235294116</v>
      </c>
      <c r="O74" s="41">
        <v>2364.2823529411767</v>
      </c>
      <c r="P74" s="41">
        <v>3464.6117647058823</v>
      </c>
      <c r="Q74" s="41">
        <v>2181.2235294117645</v>
      </c>
      <c r="R74" s="41">
        <v>2999.5294117647059</v>
      </c>
      <c r="S74" s="41">
        <v>2486.1176470588239</v>
      </c>
      <c r="T74" s="41">
        <v>3164.2352941176473</v>
      </c>
      <c r="U74" s="41">
        <v>2942.1176470588239</v>
      </c>
      <c r="V74" s="41">
        <v>2769.6470588235297</v>
      </c>
      <c r="W74" s="41">
        <v>2875.294117647059</v>
      </c>
      <c r="X74" s="41">
        <v>2463.2470588235292</v>
      </c>
      <c r="Y74" s="41">
        <v>2465.4117647058824</v>
      </c>
      <c r="Z74" s="41">
        <v>2018.2117647058822</v>
      </c>
      <c r="AA74" s="41">
        <v>2869.4117647058824</v>
      </c>
      <c r="AB74" s="41">
        <v>3593.6470588235297</v>
      </c>
      <c r="AC74" s="41">
        <v>3152.4705882352941</v>
      </c>
      <c r="AD74" s="41">
        <v>3304.2352941176468</v>
      </c>
      <c r="AE74" s="41">
        <v>2146.5411764705882</v>
      </c>
      <c r="AF74" s="41">
        <v>2256.3764705882354</v>
      </c>
    </row>
    <row r="75" spans="1:32" x14ac:dyDescent="0.25">
      <c r="A75" t="s">
        <v>98</v>
      </c>
      <c r="B75" s="41">
        <v>1403.4352941176469</v>
      </c>
      <c r="C75" s="41">
        <v>1616.9411764705883</v>
      </c>
      <c r="D75" s="41">
        <v>2854.5411764705882</v>
      </c>
      <c r="E75" s="41">
        <v>2192.6588235294116</v>
      </c>
      <c r="F75" s="41">
        <v>2222.8235294117649</v>
      </c>
      <c r="G75" s="41">
        <v>3288.0470588235294</v>
      </c>
      <c r="H75" s="41">
        <v>3130.2117647058826</v>
      </c>
      <c r="I75" s="41">
        <v>3040.2823529411767</v>
      </c>
      <c r="J75" s="41">
        <v>2578.8235294117644</v>
      </c>
      <c r="K75" s="41">
        <v>3707.0588235294117</v>
      </c>
      <c r="L75" s="41">
        <v>4792</v>
      </c>
      <c r="M75" s="41">
        <v>4190.4941176470593</v>
      </c>
      <c r="N75" s="41">
        <v>2431.3411764705884</v>
      </c>
      <c r="O75" s="41">
        <v>3039.0117647058823</v>
      </c>
      <c r="P75" s="41">
        <v>3851.1529411764704</v>
      </c>
      <c r="Q75" s="41">
        <v>2932.1882352941175</v>
      </c>
      <c r="R75" s="41">
        <v>3106.8235294117649</v>
      </c>
      <c r="S75" s="41">
        <v>2662.1176470588234</v>
      </c>
      <c r="T75" s="41">
        <v>3059.7647058823527</v>
      </c>
      <c r="U75" s="41">
        <v>4165.6470588235288</v>
      </c>
      <c r="V75" s="41">
        <v>3785.6470588235293</v>
      </c>
      <c r="W75" s="41">
        <v>3397.6470588235293</v>
      </c>
      <c r="X75" s="41">
        <v>2900.5176470588231</v>
      </c>
      <c r="Y75" s="41">
        <v>3330.3529411764703</v>
      </c>
      <c r="Z75" s="41">
        <v>3105.5529411764705</v>
      </c>
      <c r="AA75" s="41">
        <v>3412</v>
      </c>
      <c r="AB75" s="41">
        <v>4765.8823529411766</v>
      </c>
      <c r="AC75" s="41">
        <v>4286.588235294118</v>
      </c>
      <c r="AD75" s="41">
        <v>3638.8235294117649</v>
      </c>
      <c r="AE75" s="41">
        <v>2734.4</v>
      </c>
      <c r="AF75" s="41">
        <v>3239.1529411764709</v>
      </c>
    </row>
    <row r="76" spans="1:32" x14ac:dyDescent="0.25">
      <c r="B76" s="41"/>
      <c r="C76" s="41"/>
      <c r="D76" s="41"/>
      <c r="E76" s="41"/>
      <c r="F76" s="41"/>
      <c r="G76" s="41"/>
      <c r="H76" s="41"/>
      <c r="I76" s="41"/>
      <c r="J76" s="41"/>
      <c r="K76" s="41"/>
      <c r="L76" s="41"/>
      <c r="M76" s="41"/>
      <c r="N76" s="41"/>
      <c r="O76" s="41"/>
      <c r="P76" s="41"/>
      <c r="Q76" s="41"/>
      <c r="R76" s="41"/>
      <c r="S76" s="41"/>
      <c r="T76" s="41"/>
      <c r="U76" s="41"/>
      <c r="V76" s="41"/>
      <c r="W76" s="41"/>
      <c r="X76" s="41"/>
      <c r="Y76" s="41"/>
      <c r="Z76" s="41"/>
      <c r="AA76" s="41"/>
      <c r="AB76" s="41"/>
      <c r="AC76" s="41"/>
      <c r="AD76" s="41"/>
      <c r="AE76" s="41"/>
      <c r="AF76" s="41"/>
    </row>
    <row r="77" spans="1:32" x14ac:dyDescent="0.25">
      <c r="A77" t="s">
        <v>99</v>
      </c>
      <c r="B77" s="41">
        <v>50.823529411764703</v>
      </c>
      <c r="C77" s="41">
        <v>28.235294117647058</v>
      </c>
      <c r="D77" s="41">
        <v>1620.7058823529412</v>
      </c>
      <c r="E77" s="41">
        <v>1597.1764705882354</v>
      </c>
      <c r="F77" s="41">
        <v>45.176470588235297</v>
      </c>
      <c r="G77" s="41">
        <v>75.294117647058826</v>
      </c>
      <c r="H77" s="41">
        <v>367.05882352941177</v>
      </c>
      <c r="I77" s="41">
        <v>103.52941176470588</v>
      </c>
      <c r="J77" s="41">
        <v>227.76470588235293</v>
      </c>
      <c r="K77" s="41">
        <v>446.11764705882354</v>
      </c>
      <c r="L77" s="41">
        <v>610.82352941176475</v>
      </c>
      <c r="M77" s="41">
        <v>220.23529411764707</v>
      </c>
      <c r="N77" s="41">
        <v>96</v>
      </c>
      <c r="O77" s="41">
        <v>58.352941176470587</v>
      </c>
      <c r="P77" s="41">
        <v>0</v>
      </c>
      <c r="Q77" s="41">
        <v>135.52941176470588</v>
      </c>
      <c r="R77" s="41">
        <v>394.35294117647061</v>
      </c>
      <c r="S77" s="41">
        <v>567.52941176470586</v>
      </c>
      <c r="T77" s="41">
        <v>122.35294117647059</v>
      </c>
      <c r="U77" s="41">
        <v>229.64705882352942</v>
      </c>
      <c r="V77" s="41">
        <v>0</v>
      </c>
      <c r="W77" s="41">
        <v>169.41176470588235</v>
      </c>
      <c r="X77" s="41">
        <v>237.1764705882353</v>
      </c>
      <c r="Y77" s="41">
        <v>380.23529411764707</v>
      </c>
      <c r="Z77" s="41">
        <v>233.41176470588235</v>
      </c>
      <c r="AA77" s="41">
        <v>0</v>
      </c>
      <c r="AB77" s="41">
        <v>117.64705882352941</v>
      </c>
      <c r="AC77" s="41">
        <v>247.52941176470588</v>
      </c>
      <c r="AD77" s="41">
        <v>227.76470588235293</v>
      </c>
      <c r="AE77" s="41">
        <v>200.47058823529412</v>
      </c>
      <c r="AF77" s="41">
        <v>112.94117647058823</v>
      </c>
    </row>
    <row r="78" spans="1:32" x14ac:dyDescent="0.25">
      <c r="A78" t="s">
        <v>51</v>
      </c>
      <c r="B78" s="41">
        <v>658.82352941176475</v>
      </c>
      <c r="C78" s="41">
        <v>1181.1764705882354</v>
      </c>
      <c r="D78" s="41">
        <v>774.58823529411768</v>
      </c>
      <c r="E78" s="41">
        <v>452.70588235294116</v>
      </c>
      <c r="F78" s="41">
        <v>315.29411764705884</v>
      </c>
      <c r="G78" s="41">
        <v>355.76470588235293</v>
      </c>
      <c r="H78" s="41">
        <v>912</v>
      </c>
      <c r="I78" s="41">
        <v>1038.1176470588234</v>
      </c>
      <c r="J78" s="41">
        <v>743.52941176470586</v>
      </c>
      <c r="K78" s="41">
        <v>877.17647058823525</v>
      </c>
      <c r="L78" s="41">
        <v>267.29411764705884</v>
      </c>
      <c r="M78" s="41">
        <v>127.05882352941177</v>
      </c>
      <c r="N78" s="41">
        <v>112</v>
      </c>
      <c r="O78" s="41">
        <v>260.70588235294116</v>
      </c>
      <c r="P78" s="41">
        <v>341.64705882352939</v>
      </c>
      <c r="Q78" s="41">
        <v>608.94117647058829</v>
      </c>
      <c r="R78" s="41">
        <v>423.52941176470586</v>
      </c>
      <c r="S78" s="41">
        <v>225.88235294117646</v>
      </c>
      <c r="T78" s="41">
        <v>244.70588235294119</v>
      </c>
      <c r="U78" s="41">
        <v>362.35294117647061</v>
      </c>
      <c r="V78" s="41">
        <v>567.52941176470586</v>
      </c>
      <c r="W78" s="41">
        <v>531.76470588235293</v>
      </c>
      <c r="X78" s="41">
        <v>447.05882352941177</v>
      </c>
      <c r="Y78" s="41">
        <v>364.23529411764707</v>
      </c>
      <c r="Z78" s="41">
        <v>272.94117647058823</v>
      </c>
      <c r="AA78" s="41">
        <v>263.52941176470586</v>
      </c>
      <c r="AB78" s="41">
        <v>176</v>
      </c>
      <c r="AC78" s="41">
        <v>549.64705882352939</v>
      </c>
      <c r="AD78" s="41">
        <v>324.70588235294116</v>
      </c>
      <c r="AE78" s="41">
        <v>325.64705882352939</v>
      </c>
      <c r="AF78" s="41">
        <v>84.705882352941174</v>
      </c>
    </row>
    <row r="79" spans="1:32" x14ac:dyDescent="0.25">
      <c r="B79" s="41"/>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row>
    <row r="80" spans="1:32" x14ac:dyDescent="0.25">
      <c r="A80" t="s">
        <v>41</v>
      </c>
      <c r="B80" s="41">
        <v>70.588235294117652</v>
      </c>
      <c r="C80" s="41">
        <v>70.588235294117652</v>
      </c>
      <c r="D80" s="41">
        <v>112.94117647058823</v>
      </c>
      <c r="E80" s="41">
        <v>141.1764705882353</v>
      </c>
      <c r="F80" s="41">
        <v>169.41176470588235</v>
      </c>
      <c r="G80" s="41">
        <v>122.35294117647059</v>
      </c>
      <c r="H80" s="41">
        <v>112.94117647058823</v>
      </c>
      <c r="I80" s="41">
        <v>141.1764705882353</v>
      </c>
      <c r="J80" s="41">
        <v>178.8235294117647</v>
      </c>
      <c r="K80" s="41">
        <v>263.52941176470586</v>
      </c>
      <c r="L80" s="41">
        <v>258.8235294117647</v>
      </c>
      <c r="M80" s="41">
        <v>235.29411764705881</v>
      </c>
      <c r="N80" s="41">
        <v>141.1764705882353</v>
      </c>
      <c r="O80" s="41">
        <v>188.23529411764707</v>
      </c>
      <c r="P80" s="41">
        <v>164.70588235294119</v>
      </c>
      <c r="Q80" s="41">
        <v>174.11764705882354</v>
      </c>
      <c r="R80" s="41">
        <v>225.88235294117646</v>
      </c>
      <c r="S80" s="41">
        <v>188.23529411764707</v>
      </c>
      <c r="T80" s="41">
        <v>197.64705882352942</v>
      </c>
      <c r="U80" s="41">
        <v>197.64705882352942</v>
      </c>
      <c r="V80" s="41">
        <v>141.1764705882353</v>
      </c>
      <c r="W80" s="41">
        <v>235.29411764705881</v>
      </c>
      <c r="X80" s="41">
        <v>235.29411764705881</v>
      </c>
      <c r="Y80" s="41">
        <v>343.52941176470586</v>
      </c>
      <c r="Z80" s="41">
        <v>244.70588235294119</v>
      </c>
      <c r="AA80" s="41">
        <v>235.29411764705881</v>
      </c>
      <c r="AB80" s="41">
        <v>244.70588235294119</v>
      </c>
      <c r="AC80" s="41">
        <v>282.35294117647061</v>
      </c>
      <c r="AD80" s="41">
        <v>282.35294117647061</v>
      </c>
      <c r="AE80" s="41">
        <v>310.58823529411762</v>
      </c>
      <c r="AF80" s="41">
        <v>329.41176470588238</v>
      </c>
    </row>
    <row r="81" spans="1:32" x14ac:dyDescent="0.25">
      <c r="A81" t="s">
        <v>26</v>
      </c>
      <c r="B81" s="41">
        <v>18.823529411764707</v>
      </c>
      <c r="C81" s="41">
        <v>14.117647058823529</v>
      </c>
      <c r="D81" s="41">
        <v>37.647058823529413</v>
      </c>
      <c r="E81" s="41">
        <v>32.941176470588232</v>
      </c>
      <c r="F81" s="41">
        <v>23.529411764705884</v>
      </c>
      <c r="G81" s="41">
        <v>47.058823529411768</v>
      </c>
      <c r="H81" s="41">
        <v>18.77090071816238</v>
      </c>
      <c r="I81" s="41">
        <v>28.235294117647058</v>
      </c>
      <c r="J81" s="41">
        <v>42.352941176470587</v>
      </c>
      <c r="K81" s="41">
        <v>51.764705882352942</v>
      </c>
      <c r="L81" s="41">
        <v>42.352941176470587</v>
      </c>
      <c r="M81" s="41">
        <v>42.234526615865356</v>
      </c>
      <c r="N81" s="41">
        <v>56.470588235294116</v>
      </c>
      <c r="O81" s="41">
        <v>47.058823529411768</v>
      </c>
      <c r="P81" s="41">
        <v>42.352941176470587</v>
      </c>
      <c r="Q81" s="41">
        <v>51.764705882352942</v>
      </c>
      <c r="R81" s="41">
        <v>28.156351077243571</v>
      </c>
      <c r="S81" s="41">
        <v>32.849076256784159</v>
      </c>
      <c r="T81" s="41">
        <v>42.352941176470587</v>
      </c>
      <c r="U81" s="41">
        <v>28.235294117647058</v>
      </c>
      <c r="V81" s="41">
        <v>51.619976974946546</v>
      </c>
      <c r="W81" s="41">
        <v>37.541801436324761</v>
      </c>
      <c r="X81" s="41">
        <v>32.849076256784159</v>
      </c>
      <c r="Y81" s="41">
        <v>37.647058823529413</v>
      </c>
      <c r="Z81" s="41">
        <v>37.647058823529413</v>
      </c>
      <c r="AA81" s="41">
        <v>56.470588235294116</v>
      </c>
      <c r="AB81" s="41">
        <v>37.647058823529413</v>
      </c>
      <c r="AC81" s="41">
        <v>47.058823529411768</v>
      </c>
      <c r="AD81" s="41">
        <v>70.656834162236336</v>
      </c>
      <c r="AE81" s="41">
        <v>56.470588235294116</v>
      </c>
      <c r="AF81" s="41">
        <v>75.367289773052079</v>
      </c>
    </row>
    <row r="82" spans="1:32" x14ac:dyDescent="0.25">
      <c r="A82" t="s">
        <v>100</v>
      </c>
      <c r="B82" s="41">
        <v>94.117647058823536</v>
      </c>
      <c r="C82" s="41">
        <v>1035.2941176470588</v>
      </c>
      <c r="D82" s="41">
        <v>141.1764705882353</v>
      </c>
      <c r="E82" s="41">
        <v>141.1764705882353</v>
      </c>
      <c r="F82" s="41">
        <v>117.64705882352941</v>
      </c>
      <c r="G82" s="41">
        <v>70.588235294117652</v>
      </c>
      <c r="H82" s="41">
        <v>70.588235294117652</v>
      </c>
      <c r="I82" s="41">
        <v>112.94117647058823</v>
      </c>
      <c r="J82" s="41">
        <v>94.117647058823536</v>
      </c>
      <c r="K82" s="41">
        <v>150.58823529411765</v>
      </c>
      <c r="L82" s="41">
        <v>216.47058823529412</v>
      </c>
      <c r="M82" s="41">
        <v>197.64705882352942</v>
      </c>
      <c r="N82" s="41">
        <v>150.58823529411765</v>
      </c>
      <c r="O82" s="41">
        <v>131.76470588235293</v>
      </c>
      <c r="P82" s="41">
        <v>7.5294117647058822</v>
      </c>
      <c r="Q82" s="41">
        <v>7.5294117647058822</v>
      </c>
      <c r="R82" s="41">
        <v>7.5294117647058822</v>
      </c>
      <c r="S82" s="41">
        <v>7.5294117647058822</v>
      </c>
      <c r="T82" s="41">
        <v>7.5294117647058822</v>
      </c>
      <c r="U82" s="41">
        <v>7.5294117647058822</v>
      </c>
      <c r="V82" s="41">
        <v>7.5294117647058822</v>
      </c>
      <c r="W82" s="41">
        <v>7.5294117647058822</v>
      </c>
      <c r="X82" s="41">
        <v>7.5294117647058822</v>
      </c>
      <c r="Y82" s="41">
        <v>7.5294117647058822</v>
      </c>
      <c r="Z82" s="41">
        <v>7.5294117647058822</v>
      </c>
      <c r="AA82" s="41">
        <v>7.5294117647058822</v>
      </c>
      <c r="AB82" s="41">
        <v>7.5294117647058822</v>
      </c>
      <c r="AC82" s="41">
        <v>7.5294117647058822</v>
      </c>
      <c r="AD82" s="41">
        <v>7.5294117647058822</v>
      </c>
      <c r="AE82" s="41">
        <v>7.5294117647058822</v>
      </c>
      <c r="AF82" s="41">
        <v>7.5294117647058822</v>
      </c>
    </row>
    <row r="83" spans="1:32" x14ac:dyDescent="0.25">
      <c r="A83" t="s">
        <v>25</v>
      </c>
      <c r="B83" s="41">
        <v>75.294117647058826</v>
      </c>
      <c r="C83" s="41">
        <v>131.76470588235293</v>
      </c>
      <c r="D83" s="41">
        <v>197.64705882352942</v>
      </c>
      <c r="E83" s="41">
        <v>141.1764705882353</v>
      </c>
      <c r="F83" s="41">
        <v>169.41176470588235</v>
      </c>
      <c r="G83" s="41">
        <v>70.588235294117652</v>
      </c>
      <c r="H83" s="41">
        <v>131.76470588235293</v>
      </c>
      <c r="I83" s="41">
        <v>291.76470588235293</v>
      </c>
      <c r="J83" s="41">
        <v>127.05882352941177</v>
      </c>
      <c r="K83" s="41">
        <v>112.94117647058823</v>
      </c>
      <c r="L83" s="41">
        <v>160</v>
      </c>
      <c r="M83" s="41">
        <v>225.88235294117646</v>
      </c>
      <c r="N83" s="41">
        <v>103.52941176470588</v>
      </c>
      <c r="O83" s="41">
        <v>131.76470588235293</v>
      </c>
      <c r="P83" s="41">
        <v>188.23529411764707</v>
      </c>
      <c r="Q83" s="41">
        <v>70.588235294117652</v>
      </c>
      <c r="R83" s="41">
        <v>263.52941176470586</v>
      </c>
      <c r="S83" s="41">
        <v>282.35294117647061</v>
      </c>
      <c r="T83" s="41">
        <v>225.88235294117646</v>
      </c>
      <c r="U83" s="41">
        <v>141.1764705882353</v>
      </c>
      <c r="V83" s="41">
        <v>112.94117647058823</v>
      </c>
      <c r="W83" s="41">
        <v>84.705882352941174</v>
      </c>
      <c r="X83" s="41">
        <v>94.117647058823536</v>
      </c>
      <c r="Y83" s="41">
        <v>131.76470588235293</v>
      </c>
      <c r="Z83" s="41">
        <v>141.1764705882353</v>
      </c>
      <c r="AA83" s="41">
        <v>164.70588235294119</v>
      </c>
      <c r="AB83" s="41">
        <v>141.1764705882353</v>
      </c>
      <c r="AC83" s="41">
        <v>122.35294117647059</v>
      </c>
      <c r="AD83" s="41">
        <v>141.1764705882353</v>
      </c>
      <c r="AE83" s="41">
        <v>84.705882352941174</v>
      </c>
      <c r="AF83" s="41">
        <v>160</v>
      </c>
    </row>
    <row r="85" spans="1:32" x14ac:dyDescent="0.25">
      <c r="B85" s="68">
        <v>40391</v>
      </c>
      <c r="C85" s="68">
        <v>40392</v>
      </c>
      <c r="D85" s="68">
        <v>40393</v>
      </c>
      <c r="E85" s="68">
        <v>40394</v>
      </c>
      <c r="F85" s="68">
        <v>40395</v>
      </c>
      <c r="G85" s="68">
        <v>40396</v>
      </c>
      <c r="H85" s="68">
        <v>40397</v>
      </c>
      <c r="I85" s="68">
        <v>40398</v>
      </c>
      <c r="J85" s="68">
        <v>40399</v>
      </c>
      <c r="K85" s="68">
        <v>40400</v>
      </c>
      <c r="L85" s="68">
        <v>40401</v>
      </c>
      <c r="M85" s="68">
        <v>40402</v>
      </c>
      <c r="N85" s="68">
        <v>40403</v>
      </c>
      <c r="O85" s="68">
        <v>40404</v>
      </c>
      <c r="P85" s="68">
        <v>40405</v>
      </c>
      <c r="Q85" s="68">
        <v>40406</v>
      </c>
      <c r="R85" s="68">
        <v>40407</v>
      </c>
      <c r="S85" s="68">
        <v>40408</v>
      </c>
      <c r="T85" s="68">
        <v>40409</v>
      </c>
      <c r="U85" s="68">
        <v>40410</v>
      </c>
      <c r="V85" s="68">
        <v>40411</v>
      </c>
      <c r="W85" s="68">
        <v>40412</v>
      </c>
      <c r="X85" s="68">
        <v>40413</v>
      </c>
      <c r="Y85" s="68">
        <v>40414</v>
      </c>
      <c r="Z85" s="68">
        <v>40415</v>
      </c>
      <c r="AA85" s="68">
        <v>40416</v>
      </c>
      <c r="AB85" s="68">
        <v>40417</v>
      </c>
      <c r="AC85" s="68">
        <v>40418</v>
      </c>
      <c r="AD85" s="68">
        <v>40419</v>
      </c>
      <c r="AE85" s="68">
        <v>40420</v>
      </c>
      <c r="AF85" s="68">
        <v>40421</v>
      </c>
    </row>
    <row r="86" spans="1:32" x14ac:dyDescent="0.25">
      <c r="A86" t="s">
        <v>38</v>
      </c>
      <c r="B86" s="41">
        <v>2538.5411764705882</v>
      </c>
      <c r="C86" s="41">
        <v>3938.3058823529414</v>
      </c>
      <c r="D86" s="41">
        <v>4728.8</v>
      </c>
      <c r="E86" s="41">
        <v>4380.4235294117652</v>
      </c>
      <c r="F86" s="41">
        <v>4496.9411764705883</v>
      </c>
      <c r="G86" s="41">
        <v>3471.8117647058825</v>
      </c>
      <c r="H86" s="41">
        <v>3435.0588235294117</v>
      </c>
      <c r="I86" s="41">
        <v>3453.035294117647</v>
      </c>
      <c r="J86" s="41">
        <v>4702.7294117647061</v>
      </c>
      <c r="K86" s="41">
        <v>5961.270588235293</v>
      </c>
      <c r="L86" s="41">
        <v>5908.4705882352946</v>
      </c>
      <c r="M86" s="41">
        <v>5503.5294117647063</v>
      </c>
      <c r="N86" s="41">
        <v>3508.4235294117648</v>
      </c>
      <c r="O86" s="41">
        <v>3300.0470588235294</v>
      </c>
      <c r="P86" s="41">
        <v>2902.2117647058826</v>
      </c>
      <c r="Q86" s="41">
        <v>4604.8</v>
      </c>
      <c r="R86" s="41">
        <v>5617.2235294117654</v>
      </c>
      <c r="S86" s="41">
        <v>4620.517647058824</v>
      </c>
      <c r="T86" s="41">
        <v>5105.0823529411764</v>
      </c>
      <c r="U86" s="41">
        <v>3495.2470588235296</v>
      </c>
      <c r="V86" s="41">
        <v>3079.670588235294</v>
      </c>
      <c r="W86" s="41">
        <v>2942.5882352941176</v>
      </c>
      <c r="X86" s="41">
        <v>3453.2235294117645</v>
      </c>
      <c r="Y86" s="41">
        <v>4066.1176470588234</v>
      </c>
      <c r="Z86" s="41">
        <v>3781.4117647058824</v>
      </c>
      <c r="AA86" s="41">
        <v>3445.6470588235293</v>
      </c>
      <c r="AB86" s="41">
        <v>2284.6117647058823</v>
      </c>
      <c r="AC86" s="41">
        <v>2595.5294117647063</v>
      </c>
      <c r="AD86" s="41">
        <v>5687.2</v>
      </c>
      <c r="AE86" s="41">
        <v>2072.3764705882354</v>
      </c>
      <c r="AF86" s="41">
        <v>1051.9058823529413</v>
      </c>
    </row>
    <row r="87" spans="1:32" x14ac:dyDescent="0.25">
      <c r="A87" t="s">
        <v>98</v>
      </c>
      <c r="B87" s="41">
        <v>3334.4</v>
      </c>
      <c r="C87" s="41">
        <v>4650.8705882352942</v>
      </c>
      <c r="D87" s="41">
        <v>5907.4352941176476</v>
      </c>
      <c r="E87" s="41">
        <v>5676.0470588235294</v>
      </c>
      <c r="F87" s="41">
        <v>5637.6470588235297</v>
      </c>
      <c r="G87" s="41">
        <v>4857.6000000000004</v>
      </c>
      <c r="H87" s="41">
        <v>4801.1764705882351</v>
      </c>
      <c r="I87" s="41">
        <v>4778.4941176470593</v>
      </c>
      <c r="J87" s="41">
        <v>5945.7411764705885</v>
      </c>
      <c r="K87" s="41">
        <v>6809.5529411764701</v>
      </c>
      <c r="L87" s="41">
        <v>6948.9411764705883</v>
      </c>
      <c r="M87" s="41">
        <v>6037.1764705882351</v>
      </c>
      <c r="N87" s="41">
        <v>5164.5176470588231</v>
      </c>
      <c r="O87" s="41">
        <v>4867.4823529411769</v>
      </c>
      <c r="P87" s="41">
        <v>4608.376470588235</v>
      </c>
      <c r="Q87" s="41">
        <v>5236.1411764705881</v>
      </c>
      <c r="R87" s="41">
        <v>6345.1294117647058</v>
      </c>
      <c r="S87" s="41">
        <v>5970.5411764705887</v>
      </c>
      <c r="T87" s="41">
        <v>5817.2705882352948</v>
      </c>
      <c r="U87" s="41">
        <v>5044.0470588235294</v>
      </c>
      <c r="V87" s="41">
        <v>4479.8588235294119</v>
      </c>
      <c r="W87" s="41">
        <v>3610.8235294117644</v>
      </c>
      <c r="X87" s="41">
        <v>3754.3058823529414</v>
      </c>
      <c r="Y87" s="41">
        <v>4344.2352941176468</v>
      </c>
      <c r="Z87" s="41">
        <v>4100.9411764705883</v>
      </c>
      <c r="AA87" s="41">
        <v>3847.5294117647059</v>
      </c>
      <c r="AB87" s="41">
        <v>2957.7411764705885</v>
      </c>
      <c r="AC87" s="41">
        <v>3675.5294117647059</v>
      </c>
      <c r="AD87" s="41">
        <v>2578.2117647058826</v>
      </c>
      <c r="AE87" s="41">
        <v>1525.7411764705882</v>
      </c>
      <c r="AF87" s="41">
        <v>1115.6235294117646</v>
      </c>
    </row>
    <row r="88" spans="1:32" x14ac:dyDescent="0.25">
      <c r="B88" s="41"/>
      <c r="C88" s="41"/>
      <c r="D88" s="41"/>
      <c r="E88" s="41"/>
      <c r="F88" s="41"/>
      <c r="G88" s="41"/>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row>
    <row r="89" spans="1:32" x14ac:dyDescent="0.25">
      <c r="A89" t="s">
        <v>99</v>
      </c>
      <c r="B89" s="41">
        <v>81.882352941176464</v>
      </c>
      <c r="C89" s="41">
        <v>20.705882352941178</v>
      </c>
      <c r="D89" s="41">
        <v>155.29411764705881</v>
      </c>
      <c r="E89" s="41">
        <v>207.05882352941177</v>
      </c>
      <c r="F89" s="41">
        <v>109.17647058823529</v>
      </c>
      <c r="G89" s="41">
        <v>93.17647058823529</v>
      </c>
      <c r="H89" s="41">
        <v>92.235294117647058</v>
      </c>
      <c r="I89" s="41">
        <v>258.8235294117647</v>
      </c>
      <c r="J89" s="41">
        <v>27.294117647058822</v>
      </c>
      <c r="K89" s="41">
        <v>54.588235294117645</v>
      </c>
      <c r="L89" s="41">
        <v>101.64705882352941</v>
      </c>
      <c r="M89" s="41">
        <v>82.82352941176471</v>
      </c>
      <c r="N89" s="41">
        <v>136.47058823529412</v>
      </c>
      <c r="O89" s="41">
        <v>222.11764705882354</v>
      </c>
      <c r="P89" s="41">
        <v>72.470588235294116</v>
      </c>
      <c r="Q89" s="41">
        <v>104.47058823529412</v>
      </c>
      <c r="R89" s="41">
        <v>148.70588235294119</v>
      </c>
      <c r="S89" s="41">
        <v>23.529411764705884</v>
      </c>
      <c r="T89" s="41">
        <v>26.352941176470587</v>
      </c>
      <c r="U89" s="41">
        <v>139.29411764705881</v>
      </c>
      <c r="V89" s="41">
        <v>278.58823529411762</v>
      </c>
      <c r="W89" s="41">
        <v>200.47058823529412</v>
      </c>
      <c r="X89" s="41">
        <v>71.529411764705884</v>
      </c>
      <c r="Y89" s="41">
        <v>37.647058823529413</v>
      </c>
      <c r="Z89" s="41">
        <v>21.647058823529413</v>
      </c>
      <c r="AA89" s="41">
        <v>96</v>
      </c>
      <c r="AB89" s="41">
        <v>42.352941176470587</v>
      </c>
      <c r="AC89" s="41">
        <v>1066.3529411764705</v>
      </c>
      <c r="AD89" s="41">
        <v>760.47058823529414</v>
      </c>
      <c r="AE89" s="41">
        <v>0</v>
      </c>
      <c r="AF89" s="41">
        <v>108.23529411764706</v>
      </c>
    </row>
    <row r="90" spans="1:32" x14ac:dyDescent="0.25">
      <c r="A90" t="s">
        <v>51</v>
      </c>
      <c r="B90" s="41">
        <v>28.235294117647058</v>
      </c>
      <c r="C90" s="41">
        <v>16.941176470588236</v>
      </c>
      <c r="D90" s="41">
        <v>75.294117647058826</v>
      </c>
      <c r="E90" s="41">
        <v>164.70588235294119</v>
      </c>
      <c r="F90" s="41">
        <v>150.58823529411765</v>
      </c>
      <c r="G90" s="41">
        <v>268.23529411764707</v>
      </c>
      <c r="H90" s="41">
        <v>108.23529411764706</v>
      </c>
      <c r="I90" s="41">
        <v>103.52941176470588</v>
      </c>
      <c r="J90" s="41">
        <v>174.11764705882354</v>
      </c>
      <c r="K90" s="41">
        <v>145.88235294117646</v>
      </c>
      <c r="L90" s="41">
        <v>207.05882352941177</v>
      </c>
      <c r="M90" s="41">
        <v>205.1764705882353</v>
      </c>
      <c r="N90" s="41">
        <v>73.411764705882348</v>
      </c>
      <c r="O90" s="41">
        <v>75.294117647058826</v>
      </c>
      <c r="P90" s="41">
        <v>61.176470588235297</v>
      </c>
      <c r="Q90" s="41">
        <v>0</v>
      </c>
      <c r="R90" s="41">
        <v>84.705882352941174</v>
      </c>
      <c r="S90" s="41">
        <v>52.705882352941174</v>
      </c>
      <c r="T90" s="41">
        <v>141.1764705882353</v>
      </c>
      <c r="U90" s="41">
        <v>122.35294117647059</v>
      </c>
      <c r="V90" s="41">
        <v>89.411764705882348</v>
      </c>
      <c r="W90" s="41">
        <v>37.647058823529413</v>
      </c>
      <c r="X90" s="41">
        <v>18.823529411764707</v>
      </c>
      <c r="Y90" s="41">
        <v>150.58823529411765</v>
      </c>
      <c r="Z90" s="41">
        <v>351.05882352941177</v>
      </c>
      <c r="AA90" s="41">
        <v>550.58823529411768</v>
      </c>
      <c r="AB90" s="41">
        <v>272.94117647058823</v>
      </c>
      <c r="AC90" s="41">
        <v>197.64705882352942</v>
      </c>
      <c r="AD90" s="41">
        <v>70.588235294117652</v>
      </c>
      <c r="AE90" s="41">
        <v>75.294117647058826</v>
      </c>
      <c r="AF90" s="41">
        <v>129.88235294117646</v>
      </c>
    </row>
    <row r="91" spans="1:32" x14ac:dyDescent="0.25">
      <c r="B91" s="41"/>
      <c r="C91" s="41"/>
      <c r="D91" s="41"/>
      <c r="E91" s="41"/>
      <c r="F91" s="41"/>
      <c r="G91" s="41"/>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row>
    <row r="92" spans="1:32" x14ac:dyDescent="0.25">
      <c r="A92" t="s">
        <v>41</v>
      </c>
      <c r="B92" s="41">
        <v>282.35294117647061</v>
      </c>
      <c r="C92" s="41">
        <v>400</v>
      </c>
      <c r="D92" s="41">
        <v>400</v>
      </c>
      <c r="E92" s="41">
        <v>423.52941176470586</v>
      </c>
      <c r="F92" s="41">
        <v>423.52941176470586</v>
      </c>
      <c r="G92" s="41">
        <v>400</v>
      </c>
      <c r="H92" s="41">
        <v>583.52941176470586</v>
      </c>
      <c r="I92" s="41">
        <v>423.52941176470586</v>
      </c>
      <c r="J92" s="41">
        <v>470.58823529411762</v>
      </c>
      <c r="K92" s="41">
        <v>470.58823529411762</v>
      </c>
      <c r="L92" s="41">
        <v>423.52941176470586</v>
      </c>
      <c r="M92" s="41">
        <v>470.58823529411762</v>
      </c>
      <c r="N92" s="41">
        <v>470.58823529411762</v>
      </c>
      <c r="O92" s="41">
        <v>517.64705882352939</v>
      </c>
      <c r="P92" s="41">
        <v>352.94117647058823</v>
      </c>
      <c r="Q92" s="41">
        <v>564.70588235294122</v>
      </c>
      <c r="R92" s="41">
        <v>517.64705882352939</v>
      </c>
      <c r="S92" s="41">
        <v>423.52941176470586</v>
      </c>
      <c r="T92" s="41">
        <v>470.58823529411762</v>
      </c>
      <c r="U92" s="41">
        <v>470.58823529411762</v>
      </c>
      <c r="V92" s="41">
        <v>423.52941176470586</v>
      </c>
      <c r="W92" s="41">
        <v>282.35294117647061</v>
      </c>
      <c r="X92" s="41">
        <v>282.35294117647061</v>
      </c>
      <c r="Y92" s="41">
        <v>235.29411764705881</v>
      </c>
      <c r="Z92" s="41">
        <v>282.35294117647061</v>
      </c>
      <c r="AA92" s="41">
        <v>282.35294117647061</v>
      </c>
      <c r="AB92" s="41">
        <v>235.29411764705881</v>
      </c>
      <c r="AC92" s="41">
        <v>235.29411764705881</v>
      </c>
      <c r="AD92" s="41">
        <v>188.23529411764707</v>
      </c>
      <c r="AE92" s="41">
        <v>75.294117647058826</v>
      </c>
      <c r="AF92" s="41">
        <v>56.470588235294116</v>
      </c>
    </row>
    <row r="93" spans="1:32" x14ac:dyDescent="0.25">
      <c r="A93" t="s">
        <v>26</v>
      </c>
      <c r="B93" s="41">
        <v>61.235922940604802</v>
      </c>
      <c r="C93" s="41">
        <v>65.882352941176464</v>
      </c>
      <c r="D93" s="41">
        <v>51.764705882352942</v>
      </c>
      <c r="E93" s="41">
        <v>56.470588235294116</v>
      </c>
      <c r="F93" s="41">
        <v>51.764705882352942</v>
      </c>
      <c r="G93" s="41">
        <v>47.058823529411768</v>
      </c>
      <c r="H93" s="41">
        <v>65.882352941176464</v>
      </c>
      <c r="I93" s="41">
        <v>65.882352941176464</v>
      </c>
      <c r="J93" s="41">
        <v>49.930829474646998</v>
      </c>
      <c r="K93" s="41">
        <v>51.815011718973302</v>
      </c>
      <c r="L93" s="41">
        <v>67.830560795746877</v>
      </c>
      <c r="M93" s="41">
        <v>51.815011718973302</v>
      </c>
      <c r="N93" s="41">
        <v>37.647058823529413</v>
      </c>
      <c r="O93" s="41">
        <v>42.352941176470587</v>
      </c>
      <c r="P93" s="41">
        <v>42.352941176470587</v>
      </c>
      <c r="Q93" s="41">
        <v>37.683644886526039</v>
      </c>
      <c r="R93" s="41">
        <v>75.367289773052079</v>
      </c>
      <c r="S93" s="41">
        <v>47.104556108157553</v>
      </c>
      <c r="T93" s="41">
        <v>70.588235294117652</v>
      </c>
      <c r="U93" s="41">
        <v>47.104556108157553</v>
      </c>
      <c r="V93" s="41">
        <v>56.525467329789052</v>
      </c>
      <c r="W93" s="41">
        <v>65.882352941176464</v>
      </c>
      <c r="X93" s="41">
        <v>75.294117647058826</v>
      </c>
      <c r="Y93" s="41">
        <v>103.52941176470588</v>
      </c>
      <c r="Z93" s="41">
        <v>95.058823529411768</v>
      </c>
      <c r="AA93" s="41">
        <v>61.235922940604802</v>
      </c>
      <c r="AB93" s="41">
        <v>56.470588235294116</v>
      </c>
      <c r="AC93" s="41">
        <v>42.352941176470587</v>
      </c>
      <c r="AD93" s="41">
        <v>47.058823529411768</v>
      </c>
      <c r="AE93" s="41">
        <v>42.352941176470587</v>
      </c>
      <c r="AF93" s="41">
        <v>37.647058823529413</v>
      </c>
    </row>
    <row r="94" spans="1:32" x14ac:dyDescent="0.25">
      <c r="A94" t="s">
        <v>100</v>
      </c>
      <c r="B94" s="41">
        <v>0</v>
      </c>
      <c r="C94" s="41">
        <v>0</v>
      </c>
      <c r="D94" s="41">
        <v>0</v>
      </c>
      <c r="E94" s="41">
        <v>0</v>
      </c>
      <c r="F94" s="41">
        <v>0</v>
      </c>
      <c r="G94" s="41">
        <v>0</v>
      </c>
      <c r="H94" s="41">
        <v>0</v>
      </c>
      <c r="I94" s="41">
        <v>0</v>
      </c>
      <c r="J94" s="41">
        <v>0</v>
      </c>
      <c r="K94" s="41">
        <v>0</v>
      </c>
      <c r="L94" s="41">
        <v>0</v>
      </c>
      <c r="M94" s="41">
        <v>0</v>
      </c>
      <c r="N94" s="41">
        <v>0</v>
      </c>
      <c r="O94" s="41">
        <v>0</v>
      </c>
      <c r="P94" s="41">
        <v>0</v>
      </c>
      <c r="Q94" s="41">
        <v>28.235294117647058</v>
      </c>
      <c r="R94" s="41">
        <v>18.823529411764707</v>
      </c>
      <c r="S94" s="41">
        <v>9.4117647058823533</v>
      </c>
      <c r="T94" s="41">
        <v>7.5294117647058822</v>
      </c>
      <c r="U94" s="41">
        <v>6.5882352941176467</v>
      </c>
      <c r="V94" s="41">
        <v>0</v>
      </c>
      <c r="W94" s="41">
        <v>0</v>
      </c>
      <c r="X94" s="41">
        <v>19.764705882352942</v>
      </c>
      <c r="Y94" s="41">
        <v>988.23529411764707</v>
      </c>
      <c r="Z94" s="41">
        <v>0</v>
      </c>
      <c r="AA94" s="41">
        <v>625.88235294117646</v>
      </c>
      <c r="AB94" s="41">
        <v>0</v>
      </c>
      <c r="AC94" s="41">
        <v>0</v>
      </c>
      <c r="AD94" s="41">
        <v>0</v>
      </c>
      <c r="AE94" s="41">
        <v>37.647058823529413</v>
      </c>
      <c r="AF94" s="41">
        <v>0</v>
      </c>
    </row>
    <row r="95" spans="1:32" x14ac:dyDescent="0.25">
      <c r="A95" t="s">
        <v>25</v>
      </c>
      <c r="B95" s="41">
        <v>141.1764705882353</v>
      </c>
      <c r="C95" s="41">
        <v>197.64705882352942</v>
      </c>
      <c r="D95" s="41">
        <v>282.35294117647061</v>
      </c>
      <c r="E95" s="41">
        <v>367.05882352941177</v>
      </c>
      <c r="F95" s="41">
        <v>197.64705882352942</v>
      </c>
      <c r="G95" s="41">
        <v>141.1764705882353</v>
      </c>
      <c r="H95" s="41">
        <v>197.64705882352942</v>
      </c>
      <c r="I95" s="41">
        <v>225.88235294117646</v>
      </c>
      <c r="J95" s="41">
        <v>216.47058823529412</v>
      </c>
      <c r="K95" s="41">
        <v>244.70588235294119</v>
      </c>
      <c r="L95" s="41">
        <v>207.05882352941177</v>
      </c>
      <c r="M95" s="41">
        <v>216.47058823529412</v>
      </c>
      <c r="N95" s="41">
        <v>178.8235294117647</v>
      </c>
      <c r="O95" s="41">
        <v>178.8235294117647</v>
      </c>
      <c r="P95" s="41">
        <v>141.1764705882353</v>
      </c>
      <c r="Q95" s="41">
        <v>235.29411764705881</v>
      </c>
      <c r="R95" s="41">
        <v>272.94117647058823</v>
      </c>
      <c r="S95" s="41">
        <v>230.58823529411765</v>
      </c>
      <c r="T95" s="41">
        <v>197.64705882352942</v>
      </c>
      <c r="U95" s="41">
        <v>207.05882352941177</v>
      </c>
      <c r="V95" s="41">
        <v>216.47058823529412</v>
      </c>
      <c r="W95" s="41">
        <v>141.1764705882353</v>
      </c>
      <c r="X95" s="41">
        <v>192.94117647058823</v>
      </c>
      <c r="Y95" s="41">
        <v>705.88235294117646</v>
      </c>
      <c r="Z95" s="41">
        <v>296.47058823529414</v>
      </c>
      <c r="AA95" s="41">
        <v>400</v>
      </c>
      <c r="AB95" s="41">
        <v>282.35294117647061</v>
      </c>
      <c r="AC95" s="41">
        <v>282.35294117647061</v>
      </c>
      <c r="AD95" s="41">
        <v>150.58823529411765</v>
      </c>
      <c r="AE95" s="41">
        <v>131.76470588235293</v>
      </c>
      <c r="AF95" s="41">
        <v>65.882352941176464</v>
      </c>
    </row>
    <row r="97" spans="1:32" x14ac:dyDescent="0.25">
      <c r="B97" s="68">
        <v>40422</v>
      </c>
      <c r="C97" s="68">
        <v>40423</v>
      </c>
      <c r="D97" s="68">
        <v>40424</v>
      </c>
      <c r="E97" s="68">
        <v>40425</v>
      </c>
      <c r="F97" s="68">
        <v>40426</v>
      </c>
      <c r="G97" s="68">
        <v>40427</v>
      </c>
      <c r="H97" s="68">
        <v>40428</v>
      </c>
      <c r="I97" s="68">
        <v>40429</v>
      </c>
      <c r="J97" s="68">
        <v>40430</v>
      </c>
      <c r="K97" s="68">
        <v>40431</v>
      </c>
      <c r="L97" s="68">
        <v>40432</v>
      </c>
      <c r="M97" s="68">
        <v>40433</v>
      </c>
      <c r="N97" s="68">
        <v>40434</v>
      </c>
      <c r="O97" s="68">
        <v>40435</v>
      </c>
      <c r="P97" s="68">
        <v>40436</v>
      </c>
      <c r="Q97" s="68">
        <v>40437</v>
      </c>
      <c r="R97" s="68">
        <v>40438</v>
      </c>
      <c r="S97" s="68">
        <v>40439</v>
      </c>
      <c r="T97" s="68">
        <v>40440</v>
      </c>
      <c r="U97" s="68">
        <v>40441</v>
      </c>
      <c r="V97" s="68">
        <v>40442</v>
      </c>
      <c r="W97" s="68">
        <v>40443</v>
      </c>
      <c r="X97" s="68">
        <v>40444</v>
      </c>
      <c r="Y97" s="68">
        <v>40445</v>
      </c>
      <c r="Z97" s="68">
        <v>40446</v>
      </c>
      <c r="AA97" s="68">
        <v>40447</v>
      </c>
      <c r="AB97" s="68">
        <v>40448</v>
      </c>
      <c r="AC97" s="68">
        <v>40449</v>
      </c>
      <c r="AD97" s="68">
        <v>40450</v>
      </c>
      <c r="AE97" s="68">
        <v>40451</v>
      </c>
    </row>
    <row r="98" spans="1:32" x14ac:dyDescent="0.25">
      <c r="A98" t="s">
        <v>38</v>
      </c>
      <c r="B98" s="41">
        <v>1332.2352941176471</v>
      </c>
      <c r="C98" s="41">
        <v>1242.776470588235</v>
      </c>
      <c r="D98" s="41">
        <v>1076.9882352941177</v>
      </c>
      <c r="E98" s="41">
        <v>2076.8941176470589</v>
      </c>
      <c r="F98" s="41">
        <v>1456.8</v>
      </c>
      <c r="G98" s="41">
        <v>741.83529411764709</v>
      </c>
      <c r="H98" s="41">
        <v>950.91764705882349</v>
      </c>
      <c r="I98" s="41">
        <v>899.15294117647056</v>
      </c>
      <c r="J98" s="41">
        <v>808.61176470588236</v>
      </c>
      <c r="K98" s="41">
        <v>765.17647058823536</v>
      </c>
      <c r="L98" s="41">
        <v>2044.8</v>
      </c>
      <c r="M98" s="41">
        <v>1449.5529411764708</v>
      </c>
      <c r="N98" s="41">
        <v>655.57647058823534</v>
      </c>
      <c r="O98" s="41">
        <v>570.68235294117642</v>
      </c>
      <c r="P98" s="41">
        <v>573.03529411764703</v>
      </c>
      <c r="Q98" s="41">
        <v>561.0823529411764</v>
      </c>
      <c r="R98" s="41">
        <v>570.44705882352946</v>
      </c>
      <c r="S98" s="41">
        <v>2023.0588235294117</v>
      </c>
      <c r="T98" s="41">
        <v>1447.4823529411767</v>
      </c>
      <c r="U98" s="41">
        <v>522.87058823529412</v>
      </c>
      <c r="V98" s="41">
        <v>581.36470588235284</v>
      </c>
      <c r="W98" s="41">
        <v>465.69411764705882</v>
      </c>
      <c r="X98" s="41">
        <v>505.88235294117646</v>
      </c>
      <c r="Y98" s="41">
        <v>469.97647058823526</v>
      </c>
      <c r="Z98" s="41">
        <v>2142.7294117647061</v>
      </c>
      <c r="AA98" s="41">
        <v>1439.8117647058825</v>
      </c>
      <c r="AB98" s="41">
        <v>406.21176470588239</v>
      </c>
      <c r="AC98" s="41">
        <v>360.98823529411771</v>
      </c>
      <c r="AD98" s="41">
        <v>414.35294117647061</v>
      </c>
      <c r="AE98" s="41">
        <v>408.564705882353</v>
      </c>
    </row>
    <row r="99" spans="1:32" x14ac:dyDescent="0.25">
      <c r="A99" t="s">
        <v>98</v>
      </c>
      <c r="B99" s="41">
        <v>1048.9411764705883</v>
      </c>
      <c r="C99" s="41">
        <v>1064.0470588235294</v>
      </c>
      <c r="D99" s="41">
        <v>808.18823529411759</v>
      </c>
      <c r="E99" s="41">
        <v>2317.4588235294118</v>
      </c>
      <c r="F99" s="41">
        <v>1488.1411764705883</v>
      </c>
      <c r="G99" s="41">
        <v>677.4588235294118</v>
      </c>
      <c r="H99" s="41">
        <v>885.31764705882358</v>
      </c>
      <c r="I99" s="41">
        <v>728.14117647058822</v>
      </c>
      <c r="J99" s="41">
        <v>703.85882352941178</v>
      </c>
      <c r="K99" s="41">
        <v>662.58823529411768</v>
      </c>
      <c r="L99" s="41">
        <v>2270.4941176470588</v>
      </c>
      <c r="M99" s="41">
        <v>1293.9764705882353</v>
      </c>
      <c r="N99" s="41">
        <v>456.89411764705881</v>
      </c>
      <c r="O99" s="41">
        <v>543.67058823529408</v>
      </c>
      <c r="P99" s="41">
        <v>562.96470588235297</v>
      </c>
      <c r="Q99" s="41">
        <v>467.62352941176471</v>
      </c>
      <c r="R99" s="41">
        <v>466.7294117647059</v>
      </c>
      <c r="S99" s="41">
        <v>2034.3529411764705</v>
      </c>
      <c r="T99" s="41">
        <v>1313.9294117647057</v>
      </c>
      <c r="U99" s="41">
        <v>432.42352941176466</v>
      </c>
      <c r="V99" s="41">
        <v>464.28235294117644</v>
      </c>
      <c r="W99" s="41">
        <v>455.71764705882356</v>
      </c>
      <c r="X99" s="41">
        <v>427.76470588235293</v>
      </c>
      <c r="Y99" s="41">
        <v>450.49411764705883</v>
      </c>
      <c r="Z99" s="41">
        <v>2329.7411764705885</v>
      </c>
      <c r="AA99" s="41">
        <v>1379.0117647058823</v>
      </c>
      <c r="AB99" s="41">
        <v>263.90588235294115</v>
      </c>
      <c r="AC99" s="41">
        <v>319.48235294117649</v>
      </c>
      <c r="AD99" s="41">
        <v>323.52941176470591</v>
      </c>
      <c r="AE99" s="41">
        <v>334.96470588235292</v>
      </c>
    </row>
    <row r="100" spans="1:32" x14ac:dyDescent="0.25">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row>
    <row r="101" spans="1:32" x14ac:dyDescent="0.25">
      <c r="A101" t="s">
        <v>99</v>
      </c>
      <c r="B101" s="41">
        <v>127.05882352941177</v>
      </c>
      <c r="C101" s="41">
        <v>183.52941176470588</v>
      </c>
      <c r="D101" s="41">
        <v>321.88235294117646</v>
      </c>
      <c r="E101" s="41">
        <v>1587.7647058823529</v>
      </c>
      <c r="F101" s="41">
        <v>1186.8235294117646</v>
      </c>
      <c r="G101" s="41">
        <v>195.76470588235293</v>
      </c>
      <c r="H101" s="41">
        <v>241.88235294117646</v>
      </c>
      <c r="I101" s="41">
        <v>183.52941176470588</v>
      </c>
      <c r="J101" s="41">
        <v>272.94117647058823</v>
      </c>
      <c r="K101" s="41">
        <v>404.70588235294116</v>
      </c>
      <c r="L101" s="41">
        <v>1974.5882352941176</v>
      </c>
      <c r="M101" s="41">
        <v>2288</v>
      </c>
      <c r="N101" s="41">
        <v>112.94117647058823</v>
      </c>
      <c r="O101" s="41">
        <v>0</v>
      </c>
      <c r="P101" s="41">
        <v>0</v>
      </c>
      <c r="Q101" s="41">
        <v>67.764705882352942</v>
      </c>
      <c r="R101" s="41">
        <v>297.41176470588238</v>
      </c>
      <c r="S101" s="41">
        <v>3453.1764705882351</v>
      </c>
      <c r="T101" s="41">
        <v>1889.8823529411766</v>
      </c>
      <c r="U101" s="41">
        <v>0</v>
      </c>
      <c r="V101" s="41">
        <v>32</v>
      </c>
      <c r="W101" s="41">
        <v>0</v>
      </c>
      <c r="X101" s="41">
        <v>249.41176470588235</v>
      </c>
      <c r="Y101" s="41">
        <v>242.8235294117647</v>
      </c>
      <c r="Z101" s="41">
        <v>3026.8235294117649</v>
      </c>
      <c r="AA101" s="41">
        <v>2067.7647058823532</v>
      </c>
      <c r="AB101" s="41">
        <v>116.70588235294117</v>
      </c>
      <c r="AC101" s="41">
        <v>80</v>
      </c>
      <c r="AD101" s="41">
        <v>144.94117647058823</v>
      </c>
      <c r="AE101" s="41">
        <v>18.823529411764707</v>
      </c>
    </row>
    <row r="102" spans="1:32" x14ac:dyDescent="0.25">
      <c r="A102" t="s">
        <v>51</v>
      </c>
      <c r="B102" s="41">
        <v>0</v>
      </c>
      <c r="C102" s="41">
        <v>0</v>
      </c>
      <c r="D102" s="41">
        <v>0</v>
      </c>
      <c r="E102" s="41">
        <v>0</v>
      </c>
      <c r="F102" s="41">
        <v>0</v>
      </c>
      <c r="G102" s="41">
        <v>37.647058823529413</v>
      </c>
      <c r="H102" s="41">
        <v>0</v>
      </c>
      <c r="I102" s="41">
        <v>56.470588235294116</v>
      </c>
      <c r="J102" s="41">
        <v>0</v>
      </c>
      <c r="K102" s="41">
        <v>213.64705882352942</v>
      </c>
      <c r="L102" s="41">
        <v>0</v>
      </c>
      <c r="M102" s="41">
        <v>19.764705882352942</v>
      </c>
      <c r="N102" s="41">
        <v>0</v>
      </c>
      <c r="O102" s="41">
        <v>0</v>
      </c>
      <c r="P102" s="41">
        <v>31.058823529411764</v>
      </c>
      <c r="Q102" s="41">
        <v>144</v>
      </c>
      <c r="R102" s="41">
        <v>229.64705882352942</v>
      </c>
      <c r="S102" s="41">
        <v>149.64705882352942</v>
      </c>
      <c r="T102" s="41">
        <v>65.882352941176464</v>
      </c>
      <c r="U102" s="41">
        <v>0</v>
      </c>
      <c r="V102" s="41">
        <v>62.117647058823529</v>
      </c>
      <c r="W102" s="41">
        <v>61.176470588235297</v>
      </c>
      <c r="X102" s="41">
        <v>54.588235294117645</v>
      </c>
      <c r="Y102" s="41">
        <v>56.470588235294116</v>
      </c>
      <c r="Z102" s="41">
        <v>151.52941176470588</v>
      </c>
      <c r="AA102" s="41">
        <v>39.529411764705884</v>
      </c>
      <c r="AB102" s="41">
        <v>0</v>
      </c>
      <c r="AC102" s="41">
        <v>116.70588235294117</v>
      </c>
      <c r="AD102" s="41">
        <v>284.23529411764707</v>
      </c>
      <c r="AE102" s="41">
        <v>92.235294117647058</v>
      </c>
    </row>
    <row r="103" spans="1:32" x14ac:dyDescent="0.25">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row>
    <row r="104" spans="1:32" x14ac:dyDescent="0.25">
      <c r="A104" t="s">
        <v>41</v>
      </c>
      <c r="B104" s="41">
        <v>28.235294117647058</v>
      </c>
      <c r="C104" s="41">
        <v>70.588235294117652</v>
      </c>
      <c r="D104" s="41">
        <v>47.058823529411768</v>
      </c>
      <c r="E104" s="41">
        <v>131.76470588235293</v>
      </c>
      <c r="F104" s="41">
        <v>80</v>
      </c>
      <c r="G104" s="41">
        <v>47.058823529411768</v>
      </c>
      <c r="H104" s="41">
        <v>65.882352941176464</v>
      </c>
      <c r="I104" s="41">
        <v>47.058823529411768</v>
      </c>
      <c r="J104" s="41">
        <v>84.705882352941174</v>
      </c>
      <c r="K104" s="41">
        <v>84.705882352941174</v>
      </c>
      <c r="L104" s="41">
        <v>112.94117647058823</v>
      </c>
      <c r="M104" s="41">
        <v>61.176470588235297</v>
      </c>
      <c r="N104" s="41">
        <v>47.058823529411768</v>
      </c>
      <c r="O104" s="41">
        <v>28.235294117647058</v>
      </c>
      <c r="P104" s="41">
        <v>18.823529411764707</v>
      </c>
      <c r="Q104" s="41">
        <v>28.235294117647058</v>
      </c>
      <c r="R104" s="41">
        <v>28.235294117647058</v>
      </c>
      <c r="S104" s="41">
        <v>94.117647058823536</v>
      </c>
      <c r="T104" s="41">
        <v>28.235294117647058</v>
      </c>
      <c r="U104" s="41">
        <v>9.4117647058823533</v>
      </c>
      <c r="V104" s="41">
        <v>32.941176470588232</v>
      </c>
      <c r="W104" s="41">
        <v>42.352941176470587</v>
      </c>
      <c r="X104" s="41">
        <v>23.529411764705884</v>
      </c>
      <c r="Y104" s="41">
        <v>42.352941176470587</v>
      </c>
      <c r="Z104" s="41">
        <v>94.117647058823536</v>
      </c>
      <c r="AA104" s="41">
        <v>28.235294117647058</v>
      </c>
      <c r="AB104" s="41">
        <v>47.058823529411768</v>
      </c>
      <c r="AC104" s="41">
        <v>28.235294117647058</v>
      </c>
      <c r="AD104" s="41">
        <v>23.529411764705884</v>
      </c>
      <c r="AE104" s="41">
        <v>28.235294117647058</v>
      </c>
    </row>
    <row r="105" spans="1:32" x14ac:dyDescent="0.25">
      <c r="A105" t="s">
        <v>26</v>
      </c>
      <c r="B105" s="41">
        <v>57.411764705882355</v>
      </c>
      <c r="C105" s="41">
        <v>56.470588235294116</v>
      </c>
      <c r="D105" s="41">
        <v>37.647058823529413</v>
      </c>
      <c r="E105" s="41">
        <v>65.722055245455849</v>
      </c>
      <c r="F105" s="41">
        <v>47.058823529411768</v>
      </c>
      <c r="G105" s="41">
        <v>18.823529411764707</v>
      </c>
      <c r="H105" s="41">
        <v>23.529411764705884</v>
      </c>
      <c r="I105" s="41">
        <v>42.352941176470587</v>
      </c>
      <c r="J105" s="41">
        <v>18.823529411764707</v>
      </c>
      <c r="K105" s="41">
        <v>9.4117647058823533</v>
      </c>
      <c r="L105" s="41">
        <v>48.822098182338628</v>
      </c>
      <c r="M105" s="41">
        <v>70.588235294117652</v>
      </c>
      <c r="N105" s="41">
        <v>9.4117647058823533</v>
      </c>
      <c r="O105" s="41">
        <v>4.7058823529411766</v>
      </c>
      <c r="P105" s="41">
        <v>18.823529411764707</v>
      </c>
      <c r="Q105" s="41">
        <v>9.4117647058823533</v>
      </c>
      <c r="R105" s="41">
        <v>5.6333190210390729</v>
      </c>
      <c r="S105" s="41">
        <v>37.647058823529413</v>
      </c>
      <c r="T105" s="41">
        <v>56.470588235294116</v>
      </c>
      <c r="U105" s="41">
        <v>9.4117647058823533</v>
      </c>
      <c r="V105" s="41">
        <v>4.6944325175325607</v>
      </c>
      <c r="W105" s="41">
        <v>23.529411764705884</v>
      </c>
      <c r="X105" s="41">
        <v>9.4117647058823533</v>
      </c>
      <c r="Y105" s="41">
        <v>14.117647058823529</v>
      </c>
      <c r="Z105" s="41">
        <v>42.352941176470587</v>
      </c>
      <c r="AA105" s="41">
        <v>42.352941176470587</v>
      </c>
      <c r="AB105" s="41">
        <v>9.4117647058823533</v>
      </c>
      <c r="AC105" s="41">
        <v>9.4117647058823533</v>
      </c>
      <c r="AD105" s="41">
        <v>14.117647058823529</v>
      </c>
      <c r="AE105" s="41">
        <v>18.823529411764707</v>
      </c>
    </row>
    <row r="106" spans="1:32" x14ac:dyDescent="0.25">
      <c r="A106" t="s">
        <v>100</v>
      </c>
      <c r="B106" s="41">
        <v>0</v>
      </c>
      <c r="C106" s="41">
        <v>978.82352941176464</v>
      </c>
      <c r="D106" s="41">
        <v>0</v>
      </c>
      <c r="E106" s="41">
        <v>0</v>
      </c>
      <c r="F106" s="41">
        <v>56.470588235294116</v>
      </c>
      <c r="G106" s="41">
        <v>0</v>
      </c>
      <c r="H106" s="41">
        <v>0</v>
      </c>
      <c r="I106" s="41">
        <v>81.882352941176464</v>
      </c>
      <c r="J106" s="41">
        <v>978.82352941176475</v>
      </c>
      <c r="K106" s="41">
        <v>37.647058823529413</v>
      </c>
      <c r="L106" s="41">
        <v>56.470588235294116</v>
      </c>
      <c r="M106" s="41">
        <v>0</v>
      </c>
      <c r="N106" s="41">
        <v>0</v>
      </c>
      <c r="O106" s="41">
        <v>0</v>
      </c>
      <c r="P106" s="41">
        <v>225.88235294117649</v>
      </c>
      <c r="Q106" s="41">
        <v>0</v>
      </c>
      <c r="R106" s="41">
        <v>0</v>
      </c>
      <c r="S106" s="41">
        <v>0</v>
      </c>
      <c r="T106" s="41">
        <v>0</v>
      </c>
      <c r="U106" s="41">
        <v>0</v>
      </c>
      <c r="V106" s="41">
        <v>0</v>
      </c>
      <c r="W106" s="41">
        <v>0</v>
      </c>
      <c r="X106" s="41">
        <v>37.647058823529413</v>
      </c>
      <c r="Y106" s="41">
        <v>517.64705882352939</v>
      </c>
      <c r="Z106" s="41">
        <v>800</v>
      </c>
      <c r="AA106" s="41">
        <v>65.882352941176464</v>
      </c>
      <c r="AB106" s="41">
        <v>0</v>
      </c>
      <c r="AC106" s="41">
        <v>0</v>
      </c>
      <c r="AD106" s="41">
        <v>0</v>
      </c>
      <c r="AE106" s="41">
        <v>0</v>
      </c>
    </row>
    <row r="107" spans="1:32" x14ac:dyDescent="0.25">
      <c r="A107" t="s">
        <v>25</v>
      </c>
      <c r="B107" s="41">
        <v>56.470588235294116</v>
      </c>
      <c r="C107" s="41">
        <v>65.882352941176464</v>
      </c>
      <c r="D107" s="41">
        <v>70.588235294117652</v>
      </c>
      <c r="E107" s="41">
        <v>216.47058823529412</v>
      </c>
      <c r="F107" s="41">
        <v>131.76470588235293</v>
      </c>
      <c r="G107" s="41">
        <v>84.705882352941174</v>
      </c>
      <c r="H107" s="41">
        <v>65.882352941176464</v>
      </c>
      <c r="I107" s="41">
        <v>47.058823529411768</v>
      </c>
      <c r="J107" s="41">
        <v>56.470588235294116</v>
      </c>
      <c r="K107" s="41">
        <v>47.058823529411768</v>
      </c>
      <c r="L107" s="41">
        <v>291.76470588235293</v>
      </c>
      <c r="M107" s="41">
        <v>164.70588235294119</v>
      </c>
      <c r="N107" s="41">
        <v>37.647058823529413</v>
      </c>
      <c r="O107" s="41">
        <v>70.588235294117652</v>
      </c>
      <c r="P107" s="41">
        <v>37.647058823529413</v>
      </c>
      <c r="Q107" s="41">
        <v>112.94117647058823</v>
      </c>
      <c r="R107" s="41">
        <v>47.058823529411768</v>
      </c>
      <c r="S107" s="41">
        <v>658.82352941176475</v>
      </c>
      <c r="T107" s="41">
        <v>301.1764705882353</v>
      </c>
      <c r="U107" s="41">
        <v>47.058823529411768</v>
      </c>
      <c r="V107" s="41">
        <v>56.470588235294116</v>
      </c>
      <c r="W107" s="41">
        <v>47.058823529411768</v>
      </c>
      <c r="X107" s="41">
        <v>65.882352941176464</v>
      </c>
      <c r="Y107" s="41">
        <v>178.8235294117647</v>
      </c>
      <c r="Z107" s="41">
        <v>517.64705882352939</v>
      </c>
      <c r="AA107" s="41">
        <v>207.05882352941177</v>
      </c>
      <c r="AB107" s="41">
        <v>47.058823529411768</v>
      </c>
      <c r="AC107" s="41">
        <v>37.647058823529413</v>
      </c>
      <c r="AD107" s="41">
        <v>47.058823529411768</v>
      </c>
      <c r="AE107" s="41">
        <v>42.352941176470587</v>
      </c>
    </row>
    <row r="109" spans="1:32" x14ac:dyDescent="0.25">
      <c r="B109" s="68">
        <v>40452</v>
      </c>
      <c r="C109" s="68">
        <v>40453</v>
      </c>
      <c r="D109" s="68">
        <v>40454</v>
      </c>
      <c r="E109" s="68">
        <v>40455</v>
      </c>
      <c r="F109" s="68">
        <v>40456</v>
      </c>
      <c r="G109" s="68">
        <v>40457</v>
      </c>
      <c r="H109" s="68">
        <v>40458</v>
      </c>
      <c r="I109" s="68">
        <v>40459</v>
      </c>
      <c r="J109" s="68">
        <v>40460</v>
      </c>
      <c r="K109" s="68">
        <v>40461</v>
      </c>
      <c r="L109" s="68">
        <v>40462</v>
      </c>
      <c r="M109" s="68">
        <v>40463</v>
      </c>
      <c r="N109" s="68">
        <v>40464</v>
      </c>
      <c r="O109" s="68">
        <v>40465</v>
      </c>
      <c r="P109" s="68">
        <v>40466</v>
      </c>
      <c r="Q109" s="68">
        <v>40467</v>
      </c>
      <c r="R109" s="68">
        <v>40468</v>
      </c>
      <c r="S109" s="68">
        <v>40469</v>
      </c>
      <c r="T109" s="68">
        <v>40470</v>
      </c>
      <c r="U109" s="68">
        <v>40471</v>
      </c>
      <c r="V109" s="68">
        <v>40472</v>
      </c>
      <c r="W109" s="68">
        <v>40473</v>
      </c>
      <c r="X109" s="68">
        <v>40474</v>
      </c>
      <c r="Y109" s="68">
        <v>40475</v>
      </c>
      <c r="Z109" s="68">
        <v>40476</v>
      </c>
      <c r="AA109" s="68">
        <v>40477</v>
      </c>
      <c r="AB109" s="68">
        <v>40478</v>
      </c>
      <c r="AC109" s="68">
        <v>40479</v>
      </c>
      <c r="AD109" s="68">
        <v>40480</v>
      </c>
      <c r="AE109" s="68">
        <v>40481</v>
      </c>
      <c r="AF109" s="68">
        <v>40482</v>
      </c>
    </row>
    <row r="110" spans="1:32" x14ac:dyDescent="0.25">
      <c r="A110" t="s">
        <v>38</v>
      </c>
      <c r="B110" s="41">
        <v>227.76470588235296</v>
      </c>
      <c r="C110" s="41">
        <v>1826.4941176470588</v>
      </c>
      <c r="D110" s="41">
        <v>1051.2470588235294</v>
      </c>
      <c r="E110" s="41">
        <v>160</v>
      </c>
      <c r="F110" s="41">
        <v>114.35294117647059</v>
      </c>
      <c r="G110" s="41">
        <v>97.129411764705878</v>
      </c>
      <c r="H110" s="41">
        <v>87.341176470588238</v>
      </c>
      <c r="I110" s="41">
        <v>95.435294117647061</v>
      </c>
      <c r="J110" s="41">
        <v>2086.447058823529</v>
      </c>
      <c r="K110" s="41">
        <v>1324.6588235294121</v>
      </c>
      <c r="L110" s="41">
        <v>193.97647058823529</v>
      </c>
      <c r="M110" s="41">
        <v>210.7294117647059</v>
      </c>
      <c r="N110" s="41">
        <v>183.85882352941178</v>
      </c>
      <c r="O110" s="41">
        <v>195.57647058823528</v>
      </c>
      <c r="P110" s="41">
        <v>184.09411764705879</v>
      </c>
      <c r="Q110" s="41">
        <v>2496.4235294117648</v>
      </c>
      <c r="R110" s="41">
        <v>1878.6823529411763</v>
      </c>
      <c r="S110" s="41">
        <v>218.49411764705883</v>
      </c>
      <c r="T110" s="41">
        <v>219.29411764705881</v>
      </c>
      <c r="U110" s="41">
        <v>146.44705882352943</v>
      </c>
      <c r="V110" s="41">
        <v>194.68235294117648</v>
      </c>
      <c r="W110" s="41">
        <v>213.1764705882353</v>
      </c>
      <c r="X110" s="41">
        <v>1673.458823529412</v>
      </c>
      <c r="Y110" s="41">
        <v>1595.2941176470588</v>
      </c>
      <c r="Z110" s="41">
        <v>1878.3058823529411</v>
      </c>
      <c r="AA110" s="41">
        <v>2073.6470588235297</v>
      </c>
      <c r="AB110" s="41">
        <v>2851.8588235294114</v>
      </c>
      <c r="AC110" s="41">
        <v>2548.0941176470587</v>
      </c>
      <c r="AD110" s="41">
        <v>2590.8235294117649</v>
      </c>
      <c r="AE110" s="41">
        <v>2224.8470588235291</v>
      </c>
      <c r="AF110" s="41">
        <v>3082.5882352941176</v>
      </c>
    </row>
    <row r="111" spans="1:32" x14ac:dyDescent="0.25">
      <c r="A111" t="s">
        <v>98</v>
      </c>
      <c r="B111" s="41">
        <v>283.29411764705878</v>
      </c>
      <c r="C111" s="41">
        <v>1792.329411764706</v>
      </c>
      <c r="D111" s="41">
        <v>1078.6352941176469</v>
      </c>
      <c r="E111" s="41">
        <v>257.88235294117646</v>
      </c>
      <c r="F111" s="41">
        <v>263.05882352941177</v>
      </c>
      <c r="G111" s="41">
        <v>240.75294117647059</v>
      </c>
      <c r="H111" s="41">
        <v>257.12941176470588</v>
      </c>
      <c r="I111" s="41">
        <v>332.8</v>
      </c>
      <c r="J111" s="41">
        <v>1613.3176470588237</v>
      </c>
      <c r="K111" s="41">
        <v>1007.5764705882352</v>
      </c>
      <c r="L111" s="41">
        <v>370.7294117647059</v>
      </c>
      <c r="M111" s="41">
        <v>476.32941176470592</v>
      </c>
      <c r="N111" s="41">
        <v>387.43529411764706</v>
      </c>
      <c r="O111" s="41">
        <v>281.60000000000002</v>
      </c>
      <c r="P111" s="41">
        <v>260.14117647058822</v>
      </c>
      <c r="Q111" s="41">
        <v>1793.4588235294118</v>
      </c>
      <c r="R111" s="41">
        <v>1238.4941176470588</v>
      </c>
      <c r="S111" s="41">
        <v>339.62352941176471</v>
      </c>
      <c r="T111" s="41">
        <v>433.88235294117646</v>
      </c>
      <c r="U111" s="41">
        <v>309.08235294117645</v>
      </c>
      <c r="V111" s="41">
        <v>281.5529411764706</v>
      </c>
      <c r="W111" s="41">
        <v>282.8235294117647</v>
      </c>
      <c r="X111" s="41">
        <v>2007.4823529411765</v>
      </c>
      <c r="Y111" s="41">
        <v>2954.3529411764707</v>
      </c>
      <c r="Z111" s="41">
        <v>4021.9294117647059</v>
      </c>
      <c r="AA111" s="41">
        <v>4566.3529411764712</v>
      </c>
      <c r="AB111" s="41">
        <v>3883.2</v>
      </c>
      <c r="AC111" s="41">
        <v>4378.0235294117647</v>
      </c>
      <c r="AD111" s="41">
        <v>4164.9411764705883</v>
      </c>
      <c r="AE111" s="41">
        <v>4669.2705882352939</v>
      </c>
      <c r="AF111" s="41">
        <v>4090.1176470588234</v>
      </c>
    </row>
    <row r="112" spans="1:32" x14ac:dyDescent="0.25">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row>
    <row r="113" spans="1:32" x14ac:dyDescent="0.25">
      <c r="A113" t="s">
        <v>99</v>
      </c>
      <c r="B113" s="41">
        <v>144.94117647058823</v>
      </c>
      <c r="C113" s="41">
        <v>2569.4117647058824</v>
      </c>
      <c r="D113" s="41">
        <v>2319.0588235294117</v>
      </c>
      <c r="E113" s="41">
        <v>0</v>
      </c>
      <c r="F113" s="41">
        <v>62.117647058823529</v>
      </c>
      <c r="G113" s="41">
        <v>62.117647058823529</v>
      </c>
      <c r="H113" s="41">
        <v>89.411764705882348</v>
      </c>
      <c r="I113" s="41">
        <v>84.705882352941174</v>
      </c>
      <c r="J113" s="41">
        <v>4178.8235294117649</v>
      </c>
      <c r="K113" s="41">
        <v>2311.5294117647059</v>
      </c>
      <c r="L113" s="41">
        <v>32.941176470588232</v>
      </c>
      <c r="M113" s="41">
        <v>80.941176470588232</v>
      </c>
      <c r="N113" s="41">
        <v>0</v>
      </c>
      <c r="O113" s="41">
        <v>75.294117647058826</v>
      </c>
      <c r="P113" s="41">
        <v>32.941176470588232</v>
      </c>
      <c r="Q113" s="41">
        <v>1363.7647058823529</v>
      </c>
      <c r="R113" s="41">
        <v>1330.8235294117646</v>
      </c>
      <c r="S113" s="41">
        <v>127.05882352941177</v>
      </c>
      <c r="T113" s="41">
        <v>75.294117647058826</v>
      </c>
      <c r="U113" s="41">
        <v>42.352941176470587</v>
      </c>
      <c r="V113" s="41">
        <v>70.588235294117652</v>
      </c>
      <c r="W113" s="41">
        <v>14.117647058823529</v>
      </c>
      <c r="X113" s="41">
        <v>1217.8823529411766</v>
      </c>
      <c r="Y113" s="41">
        <v>945.88235294117646</v>
      </c>
      <c r="Z113" s="41">
        <v>404.70588235294116</v>
      </c>
      <c r="AA113" s="41">
        <v>122.35294117647059</v>
      </c>
      <c r="AB113" s="41">
        <v>188.23529411764707</v>
      </c>
      <c r="AC113" s="41">
        <v>141.1764705882353</v>
      </c>
      <c r="AD113" s="41">
        <v>28.235294117647058</v>
      </c>
      <c r="AE113" s="41">
        <v>752.94117647058829</v>
      </c>
      <c r="AF113" s="41">
        <v>480</v>
      </c>
    </row>
    <row r="114" spans="1:32" x14ac:dyDescent="0.25">
      <c r="A114" t="s">
        <v>51</v>
      </c>
      <c r="B114" s="41">
        <v>112</v>
      </c>
      <c r="C114" s="41">
        <v>197.64705882352942</v>
      </c>
      <c r="D114" s="41">
        <v>202.35294117647058</v>
      </c>
      <c r="E114" s="41">
        <v>108.23529411764706</v>
      </c>
      <c r="F114" s="41">
        <v>28.235294117647058</v>
      </c>
      <c r="G114" s="41">
        <v>165.64705882352942</v>
      </c>
      <c r="H114" s="41">
        <v>18.823529411764707</v>
      </c>
      <c r="I114" s="41">
        <v>160</v>
      </c>
      <c r="J114" s="41">
        <v>86.588235294117652</v>
      </c>
      <c r="K114" s="41">
        <v>48.941176470588232</v>
      </c>
      <c r="L114" s="41">
        <v>0</v>
      </c>
      <c r="M114" s="41">
        <v>42.352941176470587</v>
      </c>
      <c r="N114" s="41">
        <v>145.88235294117646</v>
      </c>
      <c r="O114" s="41">
        <v>51.764705882352942</v>
      </c>
      <c r="P114" s="41">
        <v>184.47058823529412</v>
      </c>
      <c r="Q114" s="41">
        <v>24.470588235294116</v>
      </c>
      <c r="R114" s="41">
        <v>244.70588235294119</v>
      </c>
      <c r="S114" s="41">
        <v>242.8235294117647</v>
      </c>
      <c r="T114" s="41">
        <v>112.94117647058823</v>
      </c>
      <c r="U114" s="41">
        <v>230.58823529411765</v>
      </c>
      <c r="V114" s="41">
        <v>310.58823529411762</v>
      </c>
      <c r="W114" s="41">
        <v>225.88235294117646</v>
      </c>
      <c r="X114" s="41">
        <v>564.70588235294122</v>
      </c>
      <c r="Y114" s="41">
        <v>283.29411764705884</v>
      </c>
      <c r="Z114" s="41">
        <v>330.35294117647061</v>
      </c>
      <c r="AA114" s="41">
        <v>388.70588235294116</v>
      </c>
      <c r="AB114" s="41">
        <v>418.8235294117647</v>
      </c>
      <c r="AC114" s="41">
        <v>767.05882352941171</v>
      </c>
      <c r="AD114" s="41">
        <v>1102.1176470588234</v>
      </c>
      <c r="AE114" s="41">
        <v>1007.0588235294117</v>
      </c>
      <c r="AF114" s="41">
        <v>484.70588235294116</v>
      </c>
    </row>
    <row r="115" spans="1:32" x14ac:dyDescent="0.25">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row>
    <row r="116" spans="1:32" x14ac:dyDescent="0.25">
      <c r="A116" t="s">
        <v>41</v>
      </c>
      <c r="B116" s="41">
        <v>51.764705882352942</v>
      </c>
      <c r="C116" s="41">
        <v>103.52941176470588</v>
      </c>
      <c r="D116" s="41">
        <v>0</v>
      </c>
      <c r="E116" s="41">
        <v>0</v>
      </c>
      <c r="F116" s="41">
        <v>0</v>
      </c>
      <c r="G116" s="41">
        <v>0</v>
      </c>
      <c r="H116" s="41">
        <v>0</v>
      </c>
      <c r="I116" s="41">
        <v>0</v>
      </c>
      <c r="J116" s="41">
        <v>56.902437088195605</v>
      </c>
      <c r="K116" s="41">
        <v>0</v>
      </c>
      <c r="L116" s="41">
        <v>0</v>
      </c>
      <c r="M116" s="41">
        <v>0</v>
      </c>
      <c r="N116" s="41">
        <v>0</v>
      </c>
      <c r="O116" s="41">
        <v>0</v>
      </c>
      <c r="P116" s="41">
        <v>0</v>
      </c>
      <c r="Q116" s="41">
        <v>61.176470588235297</v>
      </c>
      <c r="R116" s="41">
        <v>0</v>
      </c>
      <c r="S116" s="41">
        <v>0</v>
      </c>
      <c r="T116" s="41">
        <v>0</v>
      </c>
      <c r="U116" s="41">
        <v>0</v>
      </c>
      <c r="V116" s="41">
        <v>0</v>
      </c>
      <c r="W116" s="41">
        <v>0</v>
      </c>
      <c r="X116" s="41">
        <v>94.117647058823536</v>
      </c>
      <c r="Y116" s="41">
        <v>94.117647058823536</v>
      </c>
      <c r="Z116" s="41">
        <v>117.64705882352941</v>
      </c>
      <c r="AA116" s="41">
        <v>94.117647058823536</v>
      </c>
      <c r="AB116" s="41">
        <v>141.4364640883978</v>
      </c>
      <c r="AC116" s="41">
        <v>103.52941176470588</v>
      </c>
      <c r="AD116" s="41">
        <v>94.117647058823536</v>
      </c>
      <c r="AE116" s="41">
        <v>65.882352941176464</v>
      </c>
      <c r="AF116" s="41">
        <v>65.882352941176464</v>
      </c>
    </row>
    <row r="117" spans="1:32" x14ac:dyDescent="0.25">
      <c r="A117" t="s">
        <v>26</v>
      </c>
      <c r="B117" s="41">
        <v>14.117647058823529</v>
      </c>
      <c r="C117" s="41">
        <v>37.647058823529413</v>
      </c>
      <c r="D117" s="41">
        <v>47.058823529411768</v>
      </c>
      <c r="E117" s="41">
        <v>9.4117647058823533</v>
      </c>
      <c r="F117" s="41">
        <v>9.4117647058823533</v>
      </c>
      <c r="G117" s="41">
        <v>9.4117647058823533</v>
      </c>
      <c r="H117" s="41">
        <v>4.7058823529411766</v>
      </c>
      <c r="I117" s="41">
        <v>9.4117647058823533</v>
      </c>
      <c r="J117" s="41">
        <v>37.647058823529413</v>
      </c>
      <c r="K117" s="41">
        <v>56.470588235294116</v>
      </c>
      <c r="L117" s="41">
        <v>4.7058823529411766</v>
      </c>
      <c r="M117" s="41">
        <v>9.4117647058823533</v>
      </c>
      <c r="N117" s="41">
        <v>9.4117647058823533</v>
      </c>
      <c r="O117" s="41">
        <v>9.4117647058823533</v>
      </c>
      <c r="P117" s="41">
        <v>4.7058823529411766</v>
      </c>
      <c r="Q117" s="41">
        <v>38.15465961665565</v>
      </c>
      <c r="R117" s="41">
        <v>56.470588235294116</v>
      </c>
      <c r="S117" s="41">
        <v>5.5836087243886325</v>
      </c>
      <c r="T117" s="41">
        <v>9.3060145406477197</v>
      </c>
      <c r="U117" s="41">
        <v>9.3060145406477197</v>
      </c>
      <c r="V117" s="41">
        <v>9.4117647058823533</v>
      </c>
      <c r="W117" s="41">
        <v>9.4117647058823533</v>
      </c>
      <c r="X117" s="41">
        <v>64.941176470588232</v>
      </c>
      <c r="Y117" s="41">
        <v>80</v>
      </c>
      <c r="Z117" s="41">
        <v>70.588235294117652</v>
      </c>
      <c r="AA117" s="41">
        <v>84.318212410822454</v>
      </c>
      <c r="AB117" s="41">
        <v>84.705882352941174</v>
      </c>
      <c r="AC117" s="41">
        <v>89.411764705882348</v>
      </c>
      <c r="AD117" s="41">
        <v>94.117647058823536</v>
      </c>
      <c r="AE117" s="41">
        <v>65.580831875084129</v>
      </c>
      <c r="AF117" s="41">
        <v>56.470588235294116</v>
      </c>
    </row>
    <row r="118" spans="1:32" x14ac:dyDescent="0.25">
      <c r="A118" t="s">
        <v>100</v>
      </c>
      <c r="B118" s="41">
        <v>0</v>
      </c>
      <c r="C118" s="41">
        <v>235.29411764705881</v>
      </c>
      <c r="D118" s="41">
        <v>0</v>
      </c>
      <c r="E118" s="41">
        <v>0</v>
      </c>
      <c r="F118" s="41">
        <v>0</v>
      </c>
      <c r="G118" s="41">
        <v>28.235294117647058</v>
      </c>
      <c r="H118" s="41">
        <v>0</v>
      </c>
      <c r="I118" s="41">
        <v>28.235294117647058</v>
      </c>
      <c r="J118" s="41">
        <v>0</v>
      </c>
      <c r="K118" s="41">
        <v>0</v>
      </c>
      <c r="L118" s="41">
        <v>0</v>
      </c>
      <c r="M118" s="41">
        <v>0</v>
      </c>
      <c r="N118" s="41">
        <v>235.29411764705881</v>
      </c>
      <c r="O118" s="41">
        <v>0</v>
      </c>
      <c r="P118" s="41">
        <v>112.94117647058823</v>
      </c>
      <c r="Q118" s="41">
        <v>112.94117647058823</v>
      </c>
      <c r="R118" s="41">
        <v>0</v>
      </c>
      <c r="S118" s="41">
        <v>0</v>
      </c>
      <c r="T118" s="41">
        <v>0</v>
      </c>
      <c r="U118" s="41">
        <v>32.941176470588232</v>
      </c>
      <c r="V118" s="41">
        <v>235.29411764705881</v>
      </c>
      <c r="W118" s="41">
        <v>0</v>
      </c>
      <c r="X118" s="41">
        <v>0</v>
      </c>
      <c r="Y118" s="41">
        <v>94.117647058823536</v>
      </c>
      <c r="Z118" s="41">
        <v>0</v>
      </c>
      <c r="AA118" s="41">
        <v>0</v>
      </c>
      <c r="AB118" s="41">
        <v>0</v>
      </c>
      <c r="AC118" s="41">
        <v>0</v>
      </c>
      <c r="AD118" s="41">
        <v>0</v>
      </c>
      <c r="AE118" s="41">
        <v>0</v>
      </c>
      <c r="AF118" s="41">
        <v>0</v>
      </c>
    </row>
    <row r="119" spans="1:32" x14ac:dyDescent="0.25">
      <c r="A119" t="s">
        <v>25</v>
      </c>
      <c r="B119" s="41">
        <v>28.235294117647058</v>
      </c>
      <c r="C119" s="41">
        <v>320</v>
      </c>
      <c r="D119" s="41">
        <v>197.64705882352942</v>
      </c>
      <c r="E119" s="41">
        <v>42.352941176470587</v>
      </c>
      <c r="F119" s="41">
        <v>164.70588235294119</v>
      </c>
      <c r="G119" s="41">
        <v>23.529411764705884</v>
      </c>
      <c r="H119" s="41">
        <v>28.235294117647058</v>
      </c>
      <c r="I119" s="41">
        <v>28.235294117647058</v>
      </c>
      <c r="J119" s="41">
        <v>324.70588235294116</v>
      </c>
      <c r="K119" s="41">
        <v>169.41176470588235</v>
      </c>
      <c r="L119" s="41">
        <v>42.352941176470587</v>
      </c>
      <c r="M119" s="41">
        <v>56.470588235294116</v>
      </c>
      <c r="N119" s="41">
        <v>37.647058823529413</v>
      </c>
      <c r="O119" s="41">
        <v>47.058823529411768</v>
      </c>
      <c r="P119" s="41">
        <v>94.117647058823536</v>
      </c>
      <c r="Q119" s="41">
        <v>781.17647058823525</v>
      </c>
      <c r="R119" s="41">
        <v>178.8235294117647</v>
      </c>
      <c r="S119" s="41">
        <v>32.941176470588232</v>
      </c>
      <c r="T119" s="41">
        <v>169.41176470588235</v>
      </c>
      <c r="U119" s="41">
        <v>32.941176470588232</v>
      </c>
      <c r="V119" s="41">
        <v>56.470588235294116</v>
      </c>
      <c r="W119" s="41">
        <v>47.058823529411768</v>
      </c>
      <c r="X119" s="41">
        <v>329.41176470588238</v>
      </c>
      <c r="Y119" s="41">
        <v>329.41176470588238</v>
      </c>
      <c r="Z119" s="41">
        <v>329.41176470588238</v>
      </c>
      <c r="AA119" s="41">
        <v>329.41176470588238</v>
      </c>
      <c r="AB119" s="41">
        <v>329.41176470588238</v>
      </c>
      <c r="AC119" s="41">
        <v>329.41176470588238</v>
      </c>
      <c r="AD119" s="41">
        <v>263.52941176470586</v>
      </c>
      <c r="AE119" s="41">
        <v>329.41176470588238</v>
      </c>
      <c r="AF119" s="41">
        <v>235.29411764705881</v>
      </c>
    </row>
    <row r="121" spans="1:32" x14ac:dyDescent="0.25">
      <c r="B121" s="68">
        <v>40483</v>
      </c>
      <c r="C121" s="68">
        <v>40484</v>
      </c>
      <c r="D121" s="68">
        <v>40485</v>
      </c>
      <c r="E121" s="68">
        <v>40486</v>
      </c>
      <c r="F121" s="68">
        <v>40487</v>
      </c>
      <c r="G121" s="68">
        <v>40488</v>
      </c>
      <c r="H121" s="68">
        <v>40489</v>
      </c>
      <c r="I121" s="68">
        <v>40490</v>
      </c>
      <c r="J121" s="68">
        <v>40491</v>
      </c>
      <c r="K121" s="68">
        <v>40492</v>
      </c>
      <c r="L121" s="68">
        <v>40493</v>
      </c>
      <c r="M121" s="68">
        <v>40494</v>
      </c>
      <c r="N121" s="68">
        <v>40495</v>
      </c>
      <c r="O121" s="68">
        <v>40496</v>
      </c>
      <c r="P121" s="68">
        <v>40497</v>
      </c>
      <c r="Q121" s="68">
        <v>40498</v>
      </c>
      <c r="R121" s="68">
        <v>40499</v>
      </c>
      <c r="S121" s="68">
        <v>40500</v>
      </c>
      <c r="T121" s="68">
        <v>40501</v>
      </c>
      <c r="U121" s="68">
        <v>40502</v>
      </c>
      <c r="V121" s="68">
        <v>40503</v>
      </c>
      <c r="W121" s="68">
        <v>40504</v>
      </c>
      <c r="X121" s="68">
        <v>40505</v>
      </c>
      <c r="Y121" s="68">
        <v>40506</v>
      </c>
      <c r="Z121" s="68">
        <v>40507</v>
      </c>
      <c r="AA121" s="68">
        <v>40508</v>
      </c>
      <c r="AB121" s="68">
        <v>40509</v>
      </c>
      <c r="AC121" s="68">
        <v>40510</v>
      </c>
      <c r="AD121" s="68">
        <v>40511</v>
      </c>
      <c r="AE121" s="68">
        <v>40512</v>
      </c>
    </row>
    <row r="122" spans="1:32" x14ac:dyDescent="0.25">
      <c r="A122" t="s">
        <v>38</v>
      </c>
      <c r="B122" s="41">
        <v>2244.2352941176468</v>
      </c>
      <c r="C122" s="41">
        <v>2374.0235294117647</v>
      </c>
      <c r="D122" s="41">
        <v>1405.4588235294118</v>
      </c>
      <c r="E122" s="41">
        <v>283.95294117647057</v>
      </c>
      <c r="F122" s="41">
        <v>150.4470588235294</v>
      </c>
      <c r="G122" s="41">
        <v>1126.0235294117647</v>
      </c>
      <c r="H122" s="41">
        <v>588.51764705882351</v>
      </c>
      <c r="I122" s="41">
        <v>787.15294117647068</v>
      </c>
      <c r="J122" s="41">
        <v>666.63529411764694</v>
      </c>
      <c r="K122" s="41">
        <v>651.38823529411764</v>
      </c>
      <c r="L122" s="41">
        <v>897.83529411764709</v>
      </c>
      <c r="M122" s="41">
        <v>899.435294117647</v>
      </c>
      <c r="N122" s="41">
        <v>1999.1058823529413</v>
      </c>
      <c r="O122" s="41">
        <v>1673.6941176470591</v>
      </c>
      <c r="P122" s="41">
        <v>0</v>
      </c>
      <c r="Q122" s="41">
        <v>0</v>
      </c>
      <c r="R122" s="41">
        <v>0</v>
      </c>
      <c r="S122" s="41">
        <v>0</v>
      </c>
      <c r="T122" s="41">
        <v>0</v>
      </c>
      <c r="U122" s="41">
        <v>778.49411764705883</v>
      </c>
      <c r="V122" s="41">
        <v>442.8235294117647</v>
      </c>
      <c r="W122" s="41">
        <v>0</v>
      </c>
      <c r="X122" s="41">
        <v>0</v>
      </c>
      <c r="Y122" s="41">
        <v>0</v>
      </c>
      <c r="Z122" s="41">
        <v>0</v>
      </c>
      <c r="AA122" s="41">
        <v>0</v>
      </c>
      <c r="AB122" s="41">
        <v>800.23529411764707</v>
      </c>
      <c r="AC122" s="41">
        <v>510.7294117647059</v>
      </c>
      <c r="AD122" s="41">
        <v>0</v>
      </c>
      <c r="AE122" s="41">
        <v>0</v>
      </c>
    </row>
    <row r="123" spans="1:32" x14ac:dyDescent="0.25">
      <c r="A123" t="s">
        <v>98</v>
      </c>
      <c r="B123" s="41">
        <v>4182.1176470588234</v>
      </c>
      <c r="C123" s="41">
        <v>2846.6823529411763</v>
      </c>
      <c r="D123" s="41">
        <v>603.95294117647063</v>
      </c>
      <c r="E123" s="41">
        <v>267.57647058823528</v>
      </c>
      <c r="F123" s="41">
        <v>218.49411764705883</v>
      </c>
      <c r="G123" s="41">
        <v>2409.035294117647</v>
      </c>
      <c r="H123" s="41">
        <v>3747.4823529411765</v>
      </c>
      <c r="I123" s="41">
        <v>2541.7882352941174</v>
      </c>
      <c r="J123" s="41">
        <v>818.5411764705882</v>
      </c>
      <c r="K123" s="41">
        <v>346.25882352941176</v>
      </c>
      <c r="L123" s="41">
        <v>261.69411764705882</v>
      </c>
      <c r="M123" s="41">
        <v>315.62352941176471</v>
      </c>
      <c r="N123" s="41">
        <v>2296.4235294117648</v>
      </c>
      <c r="O123" s="41">
        <v>1944.1882352941177</v>
      </c>
      <c r="P123" s="41">
        <v>0</v>
      </c>
      <c r="Q123" s="41">
        <v>0</v>
      </c>
      <c r="R123" s="41">
        <v>0</v>
      </c>
      <c r="S123" s="41">
        <v>0</v>
      </c>
      <c r="T123" s="41">
        <v>0</v>
      </c>
      <c r="U123" s="41">
        <v>1987.6235294117648</v>
      </c>
      <c r="V123" s="41">
        <v>1547.7647058823529</v>
      </c>
      <c r="W123" s="41">
        <v>0</v>
      </c>
      <c r="X123" s="41">
        <v>0</v>
      </c>
      <c r="Y123" s="41">
        <v>0</v>
      </c>
      <c r="Z123" s="41">
        <v>0</v>
      </c>
      <c r="AA123" s="41">
        <v>0</v>
      </c>
      <c r="AB123" s="41">
        <v>2187.0588235294117</v>
      </c>
      <c r="AC123" s="41">
        <v>1922.2117647058824</v>
      </c>
      <c r="AD123" s="41">
        <v>0</v>
      </c>
      <c r="AE123" s="41">
        <v>0</v>
      </c>
    </row>
    <row r="124" spans="1:32" x14ac:dyDescent="0.25">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row>
    <row r="125" spans="1:32" x14ac:dyDescent="0.25">
      <c r="A125" t="s">
        <v>99</v>
      </c>
      <c r="B125" s="41">
        <v>0</v>
      </c>
      <c r="C125" s="41">
        <v>0</v>
      </c>
      <c r="D125" s="41">
        <v>0</v>
      </c>
      <c r="E125" s="41">
        <v>0</v>
      </c>
      <c r="F125" s="41">
        <v>19.764705882352942</v>
      </c>
      <c r="G125" s="41">
        <v>1082.3529411764705</v>
      </c>
      <c r="H125" s="41">
        <v>1129.4117647058824</v>
      </c>
      <c r="I125" s="41">
        <v>84.705882352941174</v>
      </c>
      <c r="J125" s="41">
        <v>0</v>
      </c>
      <c r="K125" s="41">
        <v>61.176470588235297</v>
      </c>
      <c r="L125" s="41">
        <v>28.235294117647058</v>
      </c>
      <c r="M125" s="41">
        <v>32.941176470588232</v>
      </c>
      <c r="N125" s="41">
        <v>1793.8823529411766</v>
      </c>
      <c r="O125" s="41">
        <v>1764.7058823529412</v>
      </c>
      <c r="P125" s="41">
        <v>0</v>
      </c>
      <c r="Q125" s="41">
        <v>0</v>
      </c>
      <c r="R125" s="41">
        <v>0</v>
      </c>
      <c r="S125" s="41">
        <v>0</v>
      </c>
      <c r="T125" s="41">
        <v>0</v>
      </c>
      <c r="U125" s="41">
        <v>2480</v>
      </c>
      <c r="V125" s="41">
        <v>2117.6470588235293</v>
      </c>
      <c r="W125" s="41">
        <v>0</v>
      </c>
      <c r="X125" s="41">
        <v>0</v>
      </c>
      <c r="Y125" s="41">
        <v>0</v>
      </c>
      <c r="Z125" s="41">
        <v>0</v>
      </c>
      <c r="AA125" s="41">
        <v>0</v>
      </c>
      <c r="AB125" s="41">
        <v>2192.9411764705883</v>
      </c>
      <c r="AC125" s="41">
        <v>2047.0588235294117</v>
      </c>
      <c r="AD125" s="41">
        <v>0</v>
      </c>
      <c r="AE125" s="41">
        <v>0</v>
      </c>
    </row>
    <row r="126" spans="1:32" x14ac:dyDescent="0.25">
      <c r="A126" t="s">
        <v>51</v>
      </c>
      <c r="B126" s="41">
        <v>188.23529411764707</v>
      </c>
      <c r="C126" s="41">
        <v>87.529411764705884</v>
      </c>
      <c r="D126" s="41">
        <v>456.47058823529414</v>
      </c>
      <c r="E126" s="41">
        <v>785.88235294117646</v>
      </c>
      <c r="F126" s="41">
        <v>75.294117647058826</v>
      </c>
      <c r="G126" s="41">
        <v>156.23529411764707</v>
      </c>
      <c r="H126" s="41">
        <v>42.352941176470587</v>
      </c>
      <c r="I126" s="41">
        <v>95.058823529411768</v>
      </c>
      <c r="J126" s="41">
        <v>49.882352941176471</v>
      </c>
      <c r="K126" s="41">
        <v>47.058823529411768</v>
      </c>
      <c r="L126" s="41">
        <v>82.82352941176471</v>
      </c>
      <c r="M126" s="41">
        <v>112.94117647058823</v>
      </c>
      <c r="N126" s="41">
        <v>348.23529411764707</v>
      </c>
      <c r="O126" s="41">
        <v>214.58823529411765</v>
      </c>
      <c r="P126" s="41">
        <v>98.82352941176471</v>
      </c>
      <c r="Q126" s="41">
        <v>98.82352941176471</v>
      </c>
      <c r="R126" s="41">
        <v>0</v>
      </c>
      <c r="S126" s="41">
        <v>0</v>
      </c>
      <c r="T126" s="41">
        <v>0</v>
      </c>
      <c r="U126" s="41">
        <v>0</v>
      </c>
      <c r="V126" s="41">
        <v>0</v>
      </c>
      <c r="W126" s="41">
        <v>40.470588235294116</v>
      </c>
      <c r="X126" s="41">
        <v>0</v>
      </c>
      <c r="Y126" s="41">
        <v>0</v>
      </c>
      <c r="Z126" s="41">
        <v>0</v>
      </c>
      <c r="AA126" s="41">
        <v>0</v>
      </c>
      <c r="AB126" s="41">
        <v>0</v>
      </c>
      <c r="AC126" s="41">
        <v>0</v>
      </c>
      <c r="AD126" s="41">
        <v>28.235294117647058</v>
      </c>
      <c r="AE126" s="41">
        <v>0</v>
      </c>
    </row>
    <row r="127" spans="1:32" x14ac:dyDescent="0.25">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row>
    <row r="128" spans="1:32" x14ac:dyDescent="0.25">
      <c r="A128" t="s">
        <v>41</v>
      </c>
      <c r="B128" s="41">
        <v>65.882352941176464</v>
      </c>
      <c r="C128" s="41">
        <v>65.882352941176464</v>
      </c>
      <c r="D128" s="41">
        <v>0</v>
      </c>
      <c r="E128" s="41">
        <v>0</v>
      </c>
      <c r="F128" s="41">
        <v>0</v>
      </c>
      <c r="G128" s="41">
        <v>47.058823529411768</v>
      </c>
      <c r="H128" s="41">
        <v>0</v>
      </c>
      <c r="I128" s="41">
        <v>0</v>
      </c>
      <c r="J128" s="41">
        <v>0</v>
      </c>
      <c r="K128" s="41">
        <v>0</v>
      </c>
      <c r="L128" s="41">
        <v>0</v>
      </c>
      <c r="M128" s="41">
        <v>0</v>
      </c>
      <c r="N128" s="41">
        <v>14.117647058823529</v>
      </c>
      <c r="O128" s="41">
        <v>0</v>
      </c>
      <c r="P128" s="41">
        <v>0</v>
      </c>
      <c r="Q128" s="41">
        <v>0</v>
      </c>
      <c r="R128" s="41">
        <v>0</v>
      </c>
      <c r="S128" s="41">
        <v>0</v>
      </c>
      <c r="T128" s="41">
        <v>0</v>
      </c>
      <c r="U128" s="41">
        <v>14.117647058823529</v>
      </c>
      <c r="V128" s="41">
        <v>0</v>
      </c>
      <c r="W128" s="41">
        <v>0</v>
      </c>
      <c r="X128" s="41">
        <v>0</v>
      </c>
      <c r="Y128" s="41">
        <v>0</v>
      </c>
      <c r="Z128" s="41">
        <v>0</v>
      </c>
      <c r="AA128" s="41">
        <v>0</v>
      </c>
      <c r="AB128" s="41">
        <v>14.117647058823529</v>
      </c>
      <c r="AC128" s="41">
        <v>0</v>
      </c>
      <c r="AD128" s="41">
        <v>0</v>
      </c>
      <c r="AE128" s="41">
        <v>0</v>
      </c>
    </row>
    <row r="129" spans="1:32" x14ac:dyDescent="0.25">
      <c r="A129" t="s">
        <v>26</v>
      </c>
      <c r="B129" s="41">
        <v>14.117647058823529</v>
      </c>
      <c r="C129" s="41">
        <v>65.882352941176464</v>
      </c>
      <c r="D129" s="41">
        <v>74.949522142953285</v>
      </c>
      <c r="E129" s="41">
        <v>4.7058823529411766</v>
      </c>
      <c r="F129" s="41">
        <v>9.4117647058823533</v>
      </c>
      <c r="G129" s="41">
        <v>23.529411764705884</v>
      </c>
      <c r="H129" s="41">
        <v>32.941176470588232</v>
      </c>
      <c r="I129" s="41">
        <v>0</v>
      </c>
      <c r="J129" s="41">
        <v>0</v>
      </c>
      <c r="K129" s="41">
        <v>0</v>
      </c>
      <c r="L129" s="41">
        <v>0</v>
      </c>
      <c r="M129" s="41">
        <v>0</v>
      </c>
      <c r="N129" s="41">
        <v>23.529411764705884</v>
      </c>
      <c r="O129" s="41">
        <v>28.235294117647058</v>
      </c>
      <c r="P129" s="41">
        <v>0</v>
      </c>
      <c r="Q129" s="41">
        <v>0</v>
      </c>
      <c r="R129" s="41">
        <v>0</v>
      </c>
      <c r="S129" s="41">
        <v>0</v>
      </c>
      <c r="T129" s="41">
        <v>0</v>
      </c>
      <c r="U129" s="41">
        <v>32.941176470588232</v>
      </c>
      <c r="V129" s="41">
        <v>46.833661694342808</v>
      </c>
      <c r="W129" s="41">
        <v>0</v>
      </c>
      <c r="X129" s="41">
        <v>0</v>
      </c>
      <c r="Y129" s="41">
        <v>0</v>
      </c>
      <c r="Z129" s="41">
        <v>0</v>
      </c>
      <c r="AA129" s="41">
        <v>0</v>
      </c>
      <c r="AB129" s="41">
        <v>28.235294117647058</v>
      </c>
      <c r="AC129" s="41">
        <v>32.941176470588232</v>
      </c>
      <c r="AD129" s="41">
        <v>0</v>
      </c>
      <c r="AE129" s="41">
        <v>0</v>
      </c>
    </row>
    <row r="130" spans="1:32" x14ac:dyDescent="0.25">
      <c r="A130" t="s">
        <v>100</v>
      </c>
      <c r="B130" s="41">
        <v>0</v>
      </c>
      <c r="C130" s="41">
        <v>0</v>
      </c>
      <c r="D130" s="41">
        <v>0</v>
      </c>
      <c r="E130" s="41">
        <v>135.52941176470588</v>
      </c>
      <c r="F130" s="41">
        <v>56.470588235294116</v>
      </c>
      <c r="G130" s="41">
        <v>0</v>
      </c>
      <c r="H130" s="41">
        <v>57.411764705882355</v>
      </c>
      <c r="I130" s="41">
        <v>0</v>
      </c>
      <c r="J130" s="41">
        <v>0</v>
      </c>
      <c r="K130" s="41">
        <v>0</v>
      </c>
      <c r="L130" s="41">
        <v>0</v>
      </c>
      <c r="M130" s="41">
        <v>0</v>
      </c>
      <c r="N130" s="41">
        <v>56.470588235294116</v>
      </c>
      <c r="O130" s="41">
        <v>0</v>
      </c>
      <c r="P130" s="41">
        <v>0</v>
      </c>
      <c r="Q130" s="41">
        <v>0</v>
      </c>
      <c r="R130" s="41">
        <v>0</v>
      </c>
      <c r="S130" s="41">
        <v>0</v>
      </c>
      <c r="T130" s="41">
        <v>0</v>
      </c>
      <c r="U130" s="41">
        <v>282.35294117647061</v>
      </c>
      <c r="V130" s="41">
        <v>0</v>
      </c>
      <c r="W130" s="41">
        <v>0</v>
      </c>
      <c r="X130" s="41">
        <v>0</v>
      </c>
      <c r="Y130" s="41">
        <v>155.29411764705881</v>
      </c>
      <c r="Z130" s="41">
        <v>0</v>
      </c>
      <c r="AA130" s="41">
        <v>0</v>
      </c>
      <c r="AB130" s="41">
        <v>141.1764705882353</v>
      </c>
      <c r="AC130" s="41">
        <v>0</v>
      </c>
      <c r="AD130" s="41">
        <v>0</v>
      </c>
      <c r="AE130" s="41">
        <v>0</v>
      </c>
    </row>
    <row r="131" spans="1:32" x14ac:dyDescent="0.25">
      <c r="A131" t="s">
        <v>25</v>
      </c>
      <c r="B131" s="41">
        <v>470.58823529411762</v>
      </c>
      <c r="C131" s="41">
        <v>941.17647058823525</v>
      </c>
      <c r="D131" s="41">
        <v>705.88235294117646</v>
      </c>
      <c r="E131" s="41">
        <v>103.52941176470588</v>
      </c>
      <c r="F131" s="41">
        <v>122.35294117647059</v>
      </c>
      <c r="G131" s="41">
        <v>376.47058823529414</v>
      </c>
      <c r="H131" s="41">
        <v>216.47058823529412</v>
      </c>
      <c r="I131" s="41">
        <v>0</v>
      </c>
      <c r="J131" s="41">
        <v>0</v>
      </c>
      <c r="K131" s="41">
        <v>0</v>
      </c>
      <c r="L131" s="41">
        <v>141.1764705882353</v>
      </c>
      <c r="M131" s="41">
        <v>0</v>
      </c>
      <c r="N131" s="41">
        <v>320</v>
      </c>
      <c r="O131" s="41">
        <v>207.05882352941177</v>
      </c>
      <c r="P131" s="41">
        <v>0</v>
      </c>
      <c r="Q131" s="41">
        <v>0</v>
      </c>
      <c r="R131" s="41">
        <v>0</v>
      </c>
      <c r="S131" s="41">
        <v>0</v>
      </c>
      <c r="T131" s="41">
        <v>0</v>
      </c>
      <c r="U131" s="41">
        <v>635.29411764705878</v>
      </c>
      <c r="V131" s="41">
        <v>207.05882352941177</v>
      </c>
      <c r="W131" s="41">
        <v>0</v>
      </c>
      <c r="X131" s="41">
        <v>0</v>
      </c>
      <c r="Y131" s="41">
        <v>0</v>
      </c>
      <c r="Z131" s="41">
        <v>0</v>
      </c>
      <c r="AA131" s="41">
        <v>0</v>
      </c>
      <c r="AB131" s="41">
        <v>282.35294117647061</v>
      </c>
      <c r="AC131" s="41">
        <v>188.23529411764707</v>
      </c>
      <c r="AD131" s="41">
        <v>0</v>
      </c>
      <c r="AE131" s="41">
        <v>0</v>
      </c>
    </row>
    <row r="133" spans="1:32" x14ac:dyDescent="0.25">
      <c r="B133" s="68">
        <v>40513</v>
      </c>
      <c r="C133" s="68">
        <v>40514</v>
      </c>
      <c r="D133" s="68">
        <v>40515</v>
      </c>
      <c r="E133" s="68">
        <v>40516</v>
      </c>
      <c r="F133" s="68">
        <v>40517</v>
      </c>
      <c r="G133" s="68">
        <v>40518</v>
      </c>
      <c r="H133" s="68">
        <v>40519</v>
      </c>
      <c r="I133" s="68">
        <v>40520</v>
      </c>
      <c r="J133" s="68">
        <v>40521</v>
      </c>
      <c r="K133" s="68">
        <v>40522</v>
      </c>
      <c r="L133" s="68">
        <v>40523</v>
      </c>
      <c r="M133" s="68">
        <v>40524</v>
      </c>
      <c r="N133" s="68">
        <v>40525</v>
      </c>
      <c r="O133" s="68">
        <v>40526</v>
      </c>
      <c r="P133" s="68">
        <v>40527</v>
      </c>
      <c r="Q133" s="68">
        <v>40528</v>
      </c>
      <c r="R133" s="68">
        <v>40529</v>
      </c>
      <c r="S133" s="68">
        <v>40530</v>
      </c>
      <c r="T133" s="68">
        <v>40531</v>
      </c>
      <c r="U133" s="68">
        <v>40532</v>
      </c>
      <c r="V133" s="68">
        <v>40533</v>
      </c>
      <c r="W133" s="68">
        <v>40534</v>
      </c>
      <c r="X133" s="68">
        <v>40535</v>
      </c>
      <c r="Y133" s="68">
        <v>40536</v>
      </c>
      <c r="Z133" s="68">
        <v>40537</v>
      </c>
      <c r="AA133" s="68">
        <v>40538</v>
      </c>
      <c r="AB133" s="68">
        <v>40539</v>
      </c>
      <c r="AC133" s="68">
        <v>40540</v>
      </c>
      <c r="AD133" s="68">
        <v>40541</v>
      </c>
      <c r="AE133" s="68">
        <v>40542</v>
      </c>
      <c r="AF133" s="68">
        <v>40543</v>
      </c>
    </row>
    <row r="134" spans="1:32" x14ac:dyDescent="0.25">
      <c r="A134" t="s">
        <v>38</v>
      </c>
      <c r="B134" s="41">
        <v>0</v>
      </c>
      <c r="C134" s="41">
        <v>0</v>
      </c>
      <c r="D134" s="41">
        <v>0</v>
      </c>
      <c r="E134" s="41">
        <v>1027.7647058823529</v>
      </c>
      <c r="F134" s="41">
        <v>773.83529411764698</v>
      </c>
      <c r="G134" s="41">
        <v>0</v>
      </c>
      <c r="H134" s="41">
        <v>0</v>
      </c>
      <c r="I134" s="41">
        <v>0</v>
      </c>
      <c r="J134" s="41">
        <v>0</v>
      </c>
      <c r="K134" s="41">
        <v>0</v>
      </c>
      <c r="L134" s="41">
        <v>946.91764705882349</v>
      </c>
      <c r="M134" s="41">
        <v>655.71764705882356</v>
      </c>
      <c r="N134" s="41">
        <v>0</v>
      </c>
      <c r="O134" s="41">
        <v>0</v>
      </c>
      <c r="P134" s="41">
        <v>0</v>
      </c>
      <c r="Q134" s="41">
        <v>0</v>
      </c>
      <c r="R134" s="41">
        <v>0</v>
      </c>
      <c r="S134" s="41">
        <v>1490.0235294117647</v>
      </c>
      <c r="T134" s="41">
        <v>1652.8941176470589</v>
      </c>
      <c r="U134" s="41">
        <v>1742.0705882352941</v>
      </c>
      <c r="V134" s="41">
        <v>1709.7411764705882</v>
      </c>
      <c r="W134" s="41">
        <v>1691.8117647058825</v>
      </c>
      <c r="X134" s="41">
        <v>1748.3764705882354</v>
      </c>
      <c r="Y134" s="41">
        <v>652.51764705882351</v>
      </c>
      <c r="Z134" s="41">
        <v>462.44705882352946</v>
      </c>
      <c r="AA134" s="41">
        <v>2250.4941176470588</v>
      </c>
      <c r="AB134" s="41">
        <v>2454.964705882353</v>
      </c>
      <c r="AC134" s="41">
        <v>2410.1647058823528</v>
      </c>
      <c r="AD134" s="41">
        <v>2340.8470588235296</v>
      </c>
      <c r="AE134" s="41">
        <v>2124.8470588235296</v>
      </c>
      <c r="AF134" s="41">
        <v>1452.8470588235293</v>
      </c>
    </row>
    <row r="135" spans="1:32" x14ac:dyDescent="0.25">
      <c r="A135" t="s">
        <v>98</v>
      </c>
      <c r="B135" s="41">
        <v>0</v>
      </c>
      <c r="C135" s="41">
        <v>0</v>
      </c>
      <c r="D135" s="41">
        <v>0</v>
      </c>
      <c r="E135" s="41">
        <v>1341.1764705882354</v>
      </c>
      <c r="F135" s="41">
        <v>1267.5764705882352</v>
      </c>
      <c r="G135" s="41">
        <v>80</v>
      </c>
      <c r="H135" s="41">
        <v>0</v>
      </c>
      <c r="I135" s="41">
        <v>0</v>
      </c>
      <c r="J135" s="41">
        <v>0</v>
      </c>
      <c r="K135" s="41">
        <v>0</v>
      </c>
      <c r="L135" s="41">
        <v>897.78823529411761</v>
      </c>
      <c r="M135" s="41">
        <v>744.75294117647059</v>
      </c>
      <c r="N135" s="41">
        <v>0</v>
      </c>
      <c r="O135" s="41">
        <v>0</v>
      </c>
      <c r="P135" s="41">
        <v>0</v>
      </c>
      <c r="Q135" s="41">
        <v>0</v>
      </c>
      <c r="R135" s="41">
        <v>0</v>
      </c>
      <c r="S135" s="41">
        <v>2071.3882352941177</v>
      </c>
      <c r="T135" s="41">
        <v>3040.7529411764704</v>
      </c>
      <c r="U135" s="41">
        <v>2970.4</v>
      </c>
      <c r="V135" s="41">
        <v>3064.8470588235296</v>
      </c>
      <c r="W135" s="41">
        <v>2905.8352941176468</v>
      </c>
      <c r="X135" s="41">
        <v>2997.9764705882353</v>
      </c>
      <c r="Y135" s="41">
        <v>2150.3058823529414</v>
      </c>
      <c r="Z135" s="41">
        <v>2301.7882352941178</v>
      </c>
      <c r="AA135" s="41">
        <v>4651.1529411764704</v>
      </c>
      <c r="AB135" s="41">
        <v>5319.1529411764704</v>
      </c>
      <c r="AC135" s="41">
        <v>5198.3058823529409</v>
      </c>
      <c r="AD135" s="41">
        <v>5121.7411764705876</v>
      </c>
      <c r="AE135" s="41">
        <v>5121.2705882352948</v>
      </c>
      <c r="AF135" s="41">
        <v>3957.035294117647</v>
      </c>
    </row>
    <row r="136" spans="1:32" x14ac:dyDescent="0.25">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row>
    <row r="137" spans="1:32" x14ac:dyDescent="0.25">
      <c r="A137" t="s">
        <v>99</v>
      </c>
      <c r="B137" s="41">
        <v>0</v>
      </c>
      <c r="C137" s="41">
        <v>0</v>
      </c>
      <c r="D137" s="41">
        <v>0</v>
      </c>
      <c r="E137" s="41">
        <v>870.58823529411768</v>
      </c>
      <c r="F137" s="41">
        <v>905.41176470588232</v>
      </c>
      <c r="G137" s="41">
        <v>42.352941176470587</v>
      </c>
      <c r="H137" s="41">
        <v>0</v>
      </c>
      <c r="I137" s="41">
        <v>0</v>
      </c>
      <c r="J137" s="41">
        <v>0</v>
      </c>
      <c r="K137" s="41">
        <v>0</v>
      </c>
      <c r="L137" s="41">
        <v>414.11764705882354</v>
      </c>
      <c r="M137" s="41">
        <v>357.64705882352939</v>
      </c>
      <c r="N137" s="41">
        <v>0</v>
      </c>
      <c r="O137" s="41">
        <v>0</v>
      </c>
      <c r="P137" s="41">
        <v>0</v>
      </c>
      <c r="Q137" s="41">
        <v>0</v>
      </c>
      <c r="R137" s="41">
        <v>0</v>
      </c>
      <c r="S137" s="41">
        <v>409.41176470588238</v>
      </c>
      <c r="T137" s="41">
        <v>423.52941176470586</v>
      </c>
      <c r="U137" s="41">
        <v>47.058823529411768</v>
      </c>
      <c r="V137" s="41">
        <v>94.117647058823536</v>
      </c>
      <c r="W137" s="41">
        <v>56.470588235294116</v>
      </c>
      <c r="X137" s="41">
        <v>37.647058823529413</v>
      </c>
      <c r="Y137" s="41">
        <v>0</v>
      </c>
      <c r="Z137" s="41">
        <v>0</v>
      </c>
      <c r="AA137" s="41">
        <v>37.647058823529413</v>
      </c>
      <c r="AB137" s="41">
        <v>178.8235294117647</v>
      </c>
      <c r="AC137" s="41">
        <v>268.23529411764707</v>
      </c>
      <c r="AD137" s="41">
        <v>264.47058823529414</v>
      </c>
      <c r="AE137" s="41">
        <v>258.8235294117647</v>
      </c>
      <c r="AF137" s="41">
        <v>0</v>
      </c>
    </row>
    <row r="138" spans="1:32" x14ac:dyDescent="0.25">
      <c r="A138" t="s">
        <v>51</v>
      </c>
      <c r="B138" s="41">
        <v>0</v>
      </c>
      <c r="C138" s="41">
        <v>0</v>
      </c>
      <c r="D138" s="41">
        <v>0</v>
      </c>
      <c r="E138" s="41">
        <v>0</v>
      </c>
      <c r="F138" s="41">
        <v>0</v>
      </c>
      <c r="G138" s="41">
        <v>52.705882352941174</v>
      </c>
      <c r="H138" s="41">
        <v>305.88235294117646</v>
      </c>
      <c r="I138" s="41">
        <v>0</v>
      </c>
      <c r="J138" s="41">
        <v>0</v>
      </c>
      <c r="K138" s="41">
        <v>0</v>
      </c>
      <c r="L138" s="41">
        <v>0</v>
      </c>
      <c r="M138" s="41">
        <v>0</v>
      </c>
      <c r="N138" s="41">
        <v>89.411764705882348</v>
      </c>
      <c r="O138" s="41">
        <v>32.941176470588232</v>
      </c>
      <c r="P138" s="41">
        <v>0</v>
      </c>
      <c r="Q138" s="41">
        <v>0</v>
      </c>
      <c r="R138" s="41">
        <v>0</v>
      </c>
      <c r="S138" s="41">
        <v>0</v>
      </c>
      <c r="T138" s="41">
        <v>0</v>
      </c>
      <c r="U138" s="41">
        <v>0</v>
      </c>
      <c r="V138" s="41">
        <v>0</v>
      </c>
      <c r="W138" s="41">
        <v>183.52941176470588</v>
      </c>
      <c r="X138" s="41">
        <v>268.23529411764707</v>
      </c>
      <c r="Y138" s="41">
        <v>72.470588235294116</v>
      </c>
      <c r="Z138" s="41">
        <v>75.294117647058826</v>
      </c>
      <c r="AA138" s="41">
        <v>21.647058823529413</v>
      </c>
      <c r="AB138" s="41">
        <v>17.882352941176471</v>
      </c>
      <c r="AC138" s="41">
        <v>14.117647058823529</v>
      </c>
      <c r="AD138" s="41">
        <v>74.352941176470594</v>
      </c>
      <c r="AE138" s="41">
        <v>208</v>
      </c>
      <c r="AF138" s="41">
        <v>17.882352941176471</v>
      </c>
    </row>
    <row r="139" spans="1:32" x14ac:dyDescent="0.25">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row>
    <row r="140" spans="1:32" x14ac:dyDescent="0.25">
      <c r="A140" t="s">
        <v>41</v>
      </c>
      <c r="B140" s="41">
        <v>0</v>
      </c>
      <c r="C140" s="41">
        <v>0</v>
      </c>
      <c r="D140" s="41">
        <v>0</v>
      </c>
      <c r="E140" s="41">
        <v>14.117647058823529</v>
      </c>
      <c r="F140" s="41">
        <v>0</v>
      </c>
      <c r="G140" s="41">
        <v>0</v>
      </c>
      <c r="H140" s="41">
        <v>0</v>
      </c>
      <c r="I140" s="41">
        <v>0</v>
      </c>
      <c r="J140" s="41">
        <v>0</v>
      </c>
      <c r="K140" s="41">
        <v>0</v>
      </c>
      <c r="L140" s="41">
        <v>14.117647058823529</v>
      </c>
      <c r="M140" s="41">
        <v>0</v>
      </c>
      <c r="N140" s="41">
        <v>0</v>
      </c>
      <c r="O140" s="41">
        <v>0</v>
      </c>
      <c r="P140" s="41">
        <v>0</v>
      </c>
      <c r="Q140" s="41">
        <v>0</v>
      </c>
      <c r="R140" s="41">
        <v>0</v>
      </c>
      <c r="S140" s="41">
        <v>14.117647058823529</v>
      </c>
      <c r="T140" s="41">
        <v>14.117647058823529</v>
      </c>
      <c r="U140" s="41">
        <v>14.117647058823529</v>
      </c>
      <c r="V140" s="41">
        <v>14.117647058823529</v>
      </c>
      <c r="W140" s="41">
        <v>14.117647058823529</v>
      </c>
      <c r="X140" s="41">
        <v>14.117647058823529</v>
      </c>
      <c r="Y140" s="41">
        <v>14.117647058823529</v>
      </c>
      <c r="Z140" s="41">
        <v>14.117647058823529</v>
      </c>
      <c r="AA140" s="41">
        <v>14.117647058823529</v>
      </c>
      <c r="AB140" s="41">
        <v>14.117647058823529</v>
      </c>
      <c r="AC140" s="41">
        <v>14.117647058823529</v>
      </c>
      <c r="AD140" s="41">
        <v>14.117647058823529</v>
      </c>
      <c r="AE140" s="41">
        <v>13.176470588235293</v>
      </c>
      <c r="AF140" s="41">
        <v>0</v>
      </c>
    </row>
    <row r="141" spans="1:32" x14ac:dyDescent="0.25">
      <c r="A141" t="s">
        <v>26</v>
      </c>
      <c r="B141" s="41">
        <v>0</v>
      </c>
      <c r="C141" s="41">
        <v>0</v>
      </c>
      <c r="D141" s="41">
        <v>0</v>
      </c>
      <c r="E141" s="41">
        <v>37.647058823529413</v>
      </c>
      <c r="F141" s="41">
        <v>56.470588235294116</v>
      </c>
      <c r="G141" s="41">
        <v>0</v>
      </c>
      <c r="H141" s="41">
        <v>0</v>
      </c>
      <c r="I141" s="41">
        <v>0</v>
      </c>
      <c r="J141" s="41">
        <v>0</v>
      </c>
      <c r="K141" s="41">
        <v>0</v>
      </c>
      <c r="L141" s="41">
        <v>75.294117647058826</v>
      </c>
      <c r="M141" s="41">
        <v>160.29769572062401</v>
      </c>
      <c r="N141" s="41">
        <v>0</v>
      </c>
      <c r="O141" s="41">
        <v>0</v>
      </c>
      <c r="P141" s="41">
        <v>0</v>
      </c>
      <c r="Q141" s="41">
        <v>0</v>
      </c>
      <c r="R141" s="41">
        <v>0</v>
      </c>
      <c r="S141" s="41">
        <v>53.647058823529413</v>
      </c>
      <c r="T141" s="41">
        <v>42.352941176470587</v>
      </c>
      <c r="U141" s="41">
        <v>37.647058823529413</v>
      </c>
      <c r="V141" s="41">
        <v>37.647058823529413</v>
      </c>
      <c r="W141" s="41">
        <v>37.647058823529413</v>
      </c>
      <c r="X141" s="41">
        <v>37.647058823529413</v>
      </c>
      <c r="Y141" s="41">
        <v>37.647058823529413</v>
      </c>
      <c r="Z141" s="41">
        <v>37.647058823529413</v>
      </c>
      <c r="AA141" s="41">
        <v>37.647058823529413</v>
      </c>
      <c r="AB141" s="41">
        <v>37.647058823529413</v>
      </c>
      <c r="AC141" s="41">
        <v>37.647058823529413</v>
      </c>
      <c r="AD141" s="41">
        <v>37.647058823529413</v>
      </c>
      <c r="AE141" s="41">
        <v>37.647058823529413</v>
      </c>
      <c r="AF141" s="41">
        <v>37.647058823529413</v>
      </c>
    </row>
    <row r="142" spans="1:32" x14ac:dyDescent="0.25">
      <c r="A142" t="s">
        <v>100</v>
      </c>
      <c r="B142" s="41">
        <v>0</v>
      </c>
      <c r="C142" s="41">
        <v>0</v>
      </c>
      <c r="D142" s="41">
        <v>94.117647058823536</v>
      </c>
      <c r="E142" s="41">
        <v>0</v>
      </c>
      <c r="F142" s="41">
        <v>0</v>
      </c>
      <c r="G142" s="41">
        <v>0</v>
      </c>
      <c r="H142" s="41">
        <v>0</v>
      </c>
      <c r="I142" s="41">
        <v>0</v>
      </c>
      <c r="J142" s="41">
        <v>0</v>
      </c>
      <c r="K142" s="41">
        <v>0</v>
      </c>
      <c r="L142" s="41">
        <v>254.11764705882354</v>
      </c>
      <c r="M142" s="41">
        <v>169.41176470588235</v>
      </c>
      <c r="N142" s="41">
        <v>0</v>
      </c>
      <c r="O142" s="41">
        <v>0</v>
      </c>
      <c r="P142" s="41">
        <v>37.647058823529413</v>
      </c>
      <c r="Q142" s="41">
        <v>0</v>
      </c>
      <c r="R142" s="41">
        <v>0</v>
      </c>
      <c r="S142" s="41">
        <v>235.29411764705881</v>
      </c>
      <c r="T142" s="41">
        <v>57.411764705882355</v>
      </c>
      <c r="U142" s="41">
        <v>0</v>
      </c>
      <c r="V142" s="41">
        <v>0</v>
      </c>
      <c r="W142" s="41">
        <v>0</v>
      </c>
      <c r="X142" s="41">
        <v>0</v>
      </c>
      <c r="Y142" s="41">
        <v>0</v>
      </c>
      <c r="Z142" s="41">
        <v>0</v>
      </c>
      <c r="AA142" s="41">
        <v>0</v>
      </c>
      <c r="AB142" s="41">
        <v>0</v>
      </c>
      <c r="AC142" s="41">
        <v>0</v>
      </c>
      <c r="AD142" s="41">
        <v>0</v>
      </c>
      <c r="AE142" s="41">
        <v>0</v>
      </c>
      <c r="AF142" s="41">
        <v>0</v>
      </c>
    </row>
    <row r="143" spans="1:32" x14ac:dyDescent="0.25">
      <c r="A143" t="s">
        <v>25</v>
      </c>
      <c r="B143" s="41">
        <v>0</v>
      </c>
      <c r="C143" s="41">
        <v>0</v>
      </c>
      <c r="D143" s="41">
        <v>0</v>
      </c>
      <c r="E143" s="41">
        <v>282.35294117647061</v>
      </c>
      <c r="F143" s="41">
        <v>188.23529411764707</v>
      </c>
      <c r="G143" s="41">
        <v>0</v>
      </c>
      <c r="H143" s="41">
        <v>0</v>
      </c>
      <c r="I143" s="41">
        <v>0</v>
      </c>
      <c r="J143" s="41">
        <v>0</v>
      </c>
      <c r="K143" s="41">
        <v>0</v>
      </c>
      <c r="L143" s="41">
        <v>282.35294117647061</v>
      </c>
      <c r="M143" s="41">
        <v>188.23529411764707</v>
      </c>
      <c r="N143" s="41">
        <v>0</v>
      </c>
      <c r="O143" s="41">
        <v>0</v>
      </c>
      <c r="P143" s="41">
        <v>0</v>
      </c>
      <c r="Q143" s="41">
        <v>0</v>
      </c>
      <c r="R143" s="41">
        <v>0</v>
      </c>
      <c r="S143" s="41">
        <v>329.41176470588238</v>
      </c>
      <c r="T143" s="41">
        <v>329.41176470588238</v>
      </c>
      <c r="U143" s="41">
        <v>329.41176470588238</v>
      </c>
      <c r="V143" s="41">
        <v>282.35294117647061</v>
      </c>
      <c r="W143" s="41">
        <v>329.41176470588238</v>
      </c>
      <c r="X143" s="41">
        <v>329.41176470588238</v>
      </c>
      <c r="Y143" s="41">
        <v>329.41176470588238</v>
      </c>
      <c r="Z143" s="41">
        <v>329.41176470588238</v>
      </c>
      <c r="AA143" s="41">
        <v>329.41176470588238</v>
      </c>
      <c r="AB143" s="41">
        <v>329.41176470588238</v>
      </c>
      <c r="AC143" s="41">
        <v>329.41176470588238</v>
      </c>
      <c r="AD143" s="41">
        <v>329.41176470588238</v>
      </c>
      <c r="AE143" s="41">
        <v>0</v>
      </c>
      <c r="AF143" s="41">
        <v>0</v>
      </c>
    </row>
  </sheetData>
  <customSheetViews>
    <customSheetView guid="{0CC54A28-7FC1-4543-ABB1-95D1AD8E8D9F}" scale="55" state="hidden" showRuler="0">
      <selection activeCell="B8" sqref="B8:D8"/>
      <pageMargins left="0.78740157499999996" right="0.78740157499999996" top="0.984251969" bottom="0.984251969" header="0.4921259845" footer="0.4921259845"/>
      <headerFooter alignWithMargins="0"/>
    </customSheetView>
    <customSheetView guid="{D8F48EB3-00E5-442F-8070-706BAA7F0CFD}" scale="55" state="hidden" showRuler="0">
      <selection activeCell="B8" sqref="B8:D8"/>
      <pageMargins left="0.78740157499999996" right="0.78740157499999996" top="0.984251969" bottom="0.984251969" header="0.4921259845" footer="0.4921259845"/>
      <headerFooter alignWithMargins="0"/>
    </customSheetView>
    <customSheetView guid="{B01F54CA-E090-4080-803C-0DB26461E19A}" scale="55" state="hidden" showRuler="0">
      <selection activeCell="B8" sqref="B8:D8"/>
      <pageMargins left="0.78740157499999996" right="0.78740157499999996" top="0.984251969" bottom="0.984251969" header="0.4921259845" footer="0.4921259845"/>
      <headerFooter alignWithMargins="0"/>
    </customSheetView>
    <customSheetView guid="{265D6D4F-CC86-4F32-A61E-82B4DF4FE015}" scale="55" state="hidden" showRuler="0">
      <selection activeCell="B8" sqref="B8:D8"/>
      <pageMargins left="0.78740157499999996" right="0.78740157499999996" top="0.984251969" bottom="0.984251969" header="0.4921259845" footer="0.4921259845"/>
      <headerFooter alignWithMargins="0"/>
    </customSheetView>
    <customSheetView guid="{8289FB4F-06F1-4AB6-859E-CE679DDE8633}" scale="55" state="hidden" showRuler="0">
      <selection activeCell="B8" sqref="B8:D8"/>
      <pageMargins left="0.78740157499999996" right="0.78740157499999996" top="0.984251969" bottom="0.984251969" header="0.4921259845" footer="0.4921259845"/>
      <headerFooter alignWithMargins="0"/>
    </customSheetView>
    <customSheetView guid="{45244E67-D811-4150-BEA1-A7A1C54045A9}" scale="55" state="hidden" showRuler="0">
      <selection activeCell="B8" sqref="B8:D8"/>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3">
    <tabColor indexed="24"/>
    <pageSetUpPr fitToPage="1"/>
  </sheetPr>
  <dimension ref="A1:FW387"/>
  <sheetViews>
    <sheetView showGridLines="0" showZeros="0" defaultGridColor="0" topLeftCell="A3" colorId="24" zoomScale="75" zoomScaleNormal="100" zoomScaleSheetLayoutView="100" workbookViewId="0">
      <pane xSplit="43" ySplit="3" topLeftCell="AV332" activePane="bottomRight" state="frozen"/>
      <selection activeCell="A3" sqref="A3"/>
      <selection pane="topRight" activeCell="AR3" sqref="AR3"/>
      <selection pane="bottomLeft" activeCell="A6" sqref="A6"/>
      <selection pane="bottomRight" activeCell="C20" sqref="C20"/>
    </sheetView>
  </sheetViews>
  <sheetFormatPr baseColWidth="10" defaultColWidth="12.5546875" defaultRowHeight="13.2" outlineLevelCol="1" x14ac:dyDescent="0.25"/>
  <cols>
    <col min="1" max="1" width="10.6640625" style="59" bestFit="1" customWidth="1"/>
    <col min="2" max="2" width="12" style="59" customWidth="1"/>
    <col min="3" max="3" width="23.6640625" style="59" bestFit="1" customWidth="1"/>
    <col min="4" max="4" width="5.5546875" style="59" bestFit="1" customWidth="1"/>
    <col min="5" max="5" width="4.109375" style="59" bestFit="1" customWidth="1"/>
    <col min="6" max="6" width="3.88671875" style="59" bestFit="1" customWidth="1"/>
    <col min="7" max="7" width="10.88671875" style="59" bestFit="1" customWidth="1"/>
    <col min="8" max="8" width="4.109375" style="59" bestFit="1" customWidth="1"/>
    <col min="9" max="9" width="3.33203125" style="59" hidden="1" customWidth="1"/>
    <col min="10" max="10" width="3" style="59" hidden="1" customWidth="1"/>
    <col min="11" max="11" width="8.33203125" style="59" hidden="1" customWidth="1"/>
    <col min="12" max="12" width="10.109375" style="59" hidden="1" customWidth="1"/>
    <col min="13" max="13" width="9.33203125" style="59" hidden="1" customWidth="1"/>
    <col min="14" max="14" width="9.44140625" style="59" hidden="1" customWidth="1"/>
    <col min="15" max="15" width="10.33203125" style="59" hidden="1" customWidth="1"/>
    <col min="16" max="17" width="9.33203125" style="59" hidden="1" customWidth="1"/>
    <col min="18" max="18" width="10.44140625" style="59" hidden="1" customWidth="1"/>
    <col min="19" max="20" width="9.33203125" style="59" hidden="1" customWidth="1"/>
    <col min="21" max="21" width="10.33203125" style="59" hidden="1" customWidth="1"/>
    <col min="22" max="23" width="9.33203125" style="59" hidden="1" customWidth="1"/>
    <col min="24" max="24" width="10.88671875" style="59" hidden="1" customWidth="1"/>
    <col min="25" max="27" width="9.33203125" style="59" hidden="1" customWidth="1"/>
    <col min="28" max="28" width="10" style="59" hidden="1" customWidth="1"/>
    <col min="29" max="30" width="9.33203125" style="59" hidden="1" customWidth="1"/>
    <col min="31" max="31" width="10.109375" style="59" hidden="1" customWidth="1"/>
    <col min="32" max="33" width="9.33203125" style="59" hidden="1" customWidth="1"/>
    <col min="34" max="34" width="10.44140625" style="59" hidden="1" customWidth="1"/>
    <col min="35" max="36" width="9.33203125" style="59" hidden="1" customWidth="1"/>
    <col min="37" max="37" width="10.109375" style="59" hidden="1" customWidth="1"/>
    <col min="38" max="39" width="9.33203125" style="59" hidden="1" customWidth="1"/>
    <col min="40" max="40" width="10" style="59" hidden="1" customWidth="1"/>
    <col min="41" max="41" width="9.33203125" style="59" hidden="1" customWidth="1"/>
    <col min="42" max="42" width="11.109375" style="59" hidden="1" customWidth="1"/>
    <col min="43" max="43" width="9.44140625" style="59" hidden="1" customWidth="1"/>
    <col min="44" max="45" width="9.44140625" style="59" customWidth="1"/>
    <col min="46" max="46" width="10.6640625" style="59" bestFit="1" customWidth="1"/>
    <col min="47" max="47" width="10.33203125" style="59" customWidth="1" outlineLevel="1"/>
    <col min="48" max="48" width="9.33203125" style="59" bestFit="1" customWidth="1" outlineLevel="1"/>
    <col min="49" max="49" width="9.33203125" style="181" customWidth="1" outlineLevel="1"/>
    <col min="50" max="50" width="11" style="59" customWidth="1" outlineLevel="1"/>
    <col min="51" max="51" width="9.6640625" style="59" customWidth="1" outlineLevel="1"/>
    <col min="52" max="52" width="1.44140625" style="59" hidden="1" customWidth="1"/>
    <col min="53" max="56" width="12.33203125" style="59" hidden="1" customWidth="1"/>
    <col min="57" max="58" width="12.33203125" style="59" customWidth="1"/>
    <col min="59" max="59" width="10.33203125" style="59" bestFit="1" customWidth="1"/>
    <col min="60" max="61" width="11.6640625" style="59" bestFit="1" customWidth="1"/>
    <col min="62" max="16384" width="12.5546875" style="39"/>
  </cols>
  <sheetData>
    <row r="1" spans="1:179" hidden="1" x14ac:dyDescent="0.25"/>
    <row r="2" spans="1:179" ht="15.75" hidden="1" customHeight="1" thickBot="1" x14ac:dyDescent="0.3">
      <c r="K2" s="676" t="s">
        <v>101</v>
      </c>
      <c r="L2" s="677"/>
      <c r="M2" s="677"/>
      <c r="N2" s="678"/>
      <c r="O2" s="678"/>
      <c r="P2" s="678"/>
      <c r="Q2" s="678"/>
      <c r="R2" s="678"/>
      <c r="S2" s="678"/>
      <c r="T2" s="678"/>
      <c r="U2" s="678"/>
      <c r="V2" s="678"/>
      <c r="W2" s="678"/>
      <c r="X2" s="678"/>
      <c r="Y2" s="678"/>
      <c r="Z2" s="679"/>
      <c r="AA2" s="676" t="s">
        <v>102</v>
      </c>
      <c r="AB2" s="677"/>
      <c r="AC2" s="677"/>
      <c r="AD2" s="678"/>
      <c r="AE2" s="678"/>
      <c r="AF2" s="678"/>
      <c r="AG2" s="678"/>
      <c r="AH2" s="678"/>
      <c r="AI2" s="678"/>
      <c r="AJ2" s="678"/>
      <c r="AK2" s="678"/>
      <c r="AL2" s="678"/>
      <c r="AM2" s="678"/>
      <c r="AN2" s="678"/>
      <c r="AO2" s="678"/>
      <c r="AP2" s="678"/>
    </row>
    <row r="3" spans="1:179" ht="96" customHeight="1" thickBot="1" x14ac:dyDescent="0.3">
      <c r="B3" s="60" t="s">
        <v>103</v>
      </c>
      <c r="C3" s="61" t="s">
        <v>27</v>
      </c>
      <c r="D3" s="61" t="s">
        <v>0</v>
      </c>
      <c r="E3" s="62" t="s">
        <v>1</v>
      </c>
      <c r="F3" s="62" t="s">
        <v>37</v>
      </c>
      <c r="G3" s="63" t="s">
        <v>2</v>
      </c>
      <c r="H3" s="64" t="s">
        <v>3</v>
      </c>
      <c r="I3" s="64"/>
      <c r="J3" s="184"/>
      <c r="K3" s="680" t="s">
        <v>38</v>
      </c>
      <c r="L3" s="681"/>
      <c r="M3" s="682"/>
      <c r="N3" s="680" t="s">
        <v>39</v>
      </c>
      <c r="O3" s="681"/>
      <c r="P3" s="681"/>
      <c r="Q3" s="681"/>
      <c r="R3" s="681"/>
      <c r="S3" s="681"/>
      <c r="T3" s="681"/>
      <c r="U3" s="681"/>
      <c r="V3" s="681"/>
      <c r="W3" s="681"/>
      <c r="X3" s="681"/>
      <c r="Y3" s="682"/>
      <c r="Z3" s="187" t="s">
        <v>104</v>
      </c>
      <c r="AA3" s="680" t="s">
        <v>38</v>
      </c>
      <c r="AB3" s="681"/>
      <c r="AC3" s="682"/>
      <c r="AD3" s="680" t="s">
        <v>39</v>
      </c>
      <c r="AE3" s="681"/>
      <c r="AF3" s="681"/>
      <c r="AG3" s="681"/>
      <c r="AH3" s="681"/>
      <c r="AI3" s="681"/>
      <c r="AJ3" s="681"/>
      <c r="AK3" s="681"/>
      <c r="AL3" s="681"/>
      <c r="AM3" s="681"/>
      <c r="AN3" s="681"/>
      <c r="AO3" s="682"/>
      <c r="AP3" s="188" t="s">
        <v>105</v>
      </c>
      <c r="AQ3" s="189" t="s">
        <v>49</v>
      </c>
      <c r="AR3" s="190" t="s">
        <v>106</v>
      </c>
      <c r="AS3" s="190" t="s">
        <v>107</v>
      </c>
      <c r="AT3" s="191" t="s">
        <v>40</v>
      </c>
      <c r="AU3" s="60" t="s">
        <v>41</v>
      </c>
      <c r="AV3" s="60" t="s">
        <v>26</v>
      </c>
      <c r="AW3" s="60" t="s">
        <v>108</v>
      </c>
      <c r="AX3" s="60" t="s">
        <v>25</v>
      </c>
      <c r="AY3" s="60" t="s">
        <v>30</v>
      </c>
      <c r="AZ3" s="60"/>
      <c r="BA3" s="683" t="s">
        <v>50</v>
      </c>
      <c r="BB3" s="684"/>
      <c r="BC3" s="685"/>
      <c r="BD3" s="685"/>
      <c r="BE3" s="686"/>
      <c r="BF3" s="189" t="s">
        <v>109</v>
      </c>
      <c r="BG3" s="191" t="s">
        <v>52</v>
      </c>
      <c r="BH3" s="60" t="s">
        <v>53</v>
      </c>
      <c r="BI3" s="60" t="s">
        <v>110</v>
      </c>
      <c r="FE3" s="39" t="s">
        <v>111</v>
      </c>
      <c r="FF3" s="39" t="s">
        <v>59</v>
      </c>
      <c r="FG3" s="39" t="s">
        <v>112</v>
      </c>
      <c r="FH3" s="39" t="s">
        <v>29</v>
      </c>
      <c r="FI3" s="39" t="s">
        <v>113</v>
      </c>
      <c r="FJ3" s="39" t="s">
        <v>114</v>
      </c>
      <c r="FK3" s="39" t="s">
        <v>45</v>
      </c>
      <c r="FL3" s="39" t="s">
        <v>23</v>
      </c>
      <c r="FM3" s="39" t="s">
        <v>26</v>
      </c>
      <c r="FN3" s="39" t="s">
        <v>24</v>
      </c>
      <c r="FO3" s="39" t="s">
        <v>25</v>
      </c>
      <c r="FP3" s="39" t="s">
        <v>30</v>
      </c>
      <c r="FR3" s="39" t="s">
        <v>115</v>
      </c>
      <c r="FT3" s="39" t="s">
        <v>116</v>
      </c>
      <c r="FU3" s="39" t="s">
        <v>117</v>
      </c>
      <c r="FV3" s="39" t="s">
        <v>118</v>
      </c>
      <c r="FW3" s="39" t="s">
        <v>119</v>
      </c>
    </row>
    <row r="4" spans="1:179" ht="20.25" customHeight="1" x14ac:dyDescent="0.25">
      <c r="B4" s="182"/>
      <c r="C4" s="192"/>
      <c r="D4" s="192"/>
      <c r="E4" s="193"/>
      <c r="F4" s="193"/>
      <c r="G4" s="194"/>
      <c r="H4" s="195"/>
      <c r="I4" s="195"/>
      <c r="J4" s="195"/>
      <c r="K4" s="185"/>
      <c r="L4" s="186" t="s">
        <v>120</v>
      </c>
      <c r="M4" s="681" t="s">
        <v>101</v>
      </c>
      <c r="N4" s="688"/>
      <c r="O4" s="688"/>
      <c r="P4" s="688"/>
      <c r="Q4" s="688"/>
      <c r="R4" s="688"/>
      <c r="S4" s="688"/>
      <c r="T4" s="688"/>
      <c r="U4" s="688"/>
      <c r="V4" s="688"/>
      <c r="W4" s="688"/>
      <c r="X4" s="688"/>
      <c r="Y4" s="688"/>
      <c r="Z4" s="689"/>
      <c r="AA4" s="185"/>
      <c r="AB4" s="186" t="s">
        <v>120</v>
      </c>
      <c r="AC4" s="680" t="s">
        <v>102</v>
      </c>
      <c r="AD4" s="688"/>
      <c r="AE4" s="688"/>
      <c r="AF4" s="688"/>
      <c r="AG4" s="688"/>
      <c r="AH4" s="688"/>
      <c r="AI4" s="688"/>
      <c r="AJ4" s="688"/>
      <c r="AK4" s="688"/>
      <c r="AL4" s="688"/>
      <c r="AM4" s="688"/>
      <c r="AN4" s="688"/>
      <c r="AO4" s="688"/>
      <c r="AP4" s="689"/>
      <c r="AQ4" s="183"/>
      <c r="AR4" s="183"/>
      <c r="AS4" s="183"/>
      <c r="AT4" s="188"/>
      <c r="AU4" s="183"/>
      <c r="AV4" s="183"/>
      <c r="AW4" s="183"/>
      <c r="AX4" s="183"/>
      <c r="AY4" s="183"/>
      <c r="AZ4" s="183"/>
      <c r="BA4" s="687" t="s">
        <v>101</v>
      </c>
      <c r="BB4" s="687"/>
      <c r="BC4" s="687" t="s">
        <v>46</v>
      </c>
      <c r="BD4" s="687"/>
      <c r="BE4" s="687"/>
      <c r="BF4" s="188"/>
      <c r="BG4" s="188"/>
      <c r="BH4" s="196"/>
      <c r="BI4" s="196"/>
    </row>
    <row r="5" spans="1:179" ht="29.25" hidden="1" customHeight="1" x14ac:dyDescent="0.25">
      <c r="B5" s="182"/>
      <c r="C5" s="192"/>
      <c r="D5" s="192"/>
      <c r="E5" s="193"/>
      <c r="F5" s="193"/>
      <c r="G5" s="194"/>
      <c r="H5" s="195"/>
      <c r="I5" s="195"/>
      <c r="J5" s="195"/>
      <c r="K5" s="188" t="s">
        <v>121</v>
      </c>
      <c r="L5" s="188" t="s">
        <v>122</v>
      </c>
      <c r="M5" s="188" t="s">
        <v>46</v>
      </c>
      <c r="N5" s="188" t="s">
        <v>123</v>
      </c>
      <c r="O5" s="188" t="s">
        <v>122</v>
      </c>
      <c r="P5" s="188" t="s">
        <v>46</v>
      </c>
      <c r="Q5" s="188" t="s">
        <v>123</v>
      </c>
      <c r="R5" s="188" t="s">
        <v>122</v>
      </c>
      <c r="S5" s="188" t="s">
        <v>46</v>
      </c>
      <c r="T5" s="188" t="s">
        <v>123</v>
      </c>
      <c r="U5" s="188" t="s">
        <v>122</v>
      </c>
      <c r="V5" s="188" t="s">
        <v>53</v>
      </c>
      <c r="W5" s="188" t="s">
        <v>123</v>
      </c>
      <c r="X5" s="188" t="s">
        <v>122</v>
      </c>
      <c r="Y5" s="188" t="s">
        <v>46</v>
      </c>
      <c r="Z5" s="197"/>
      <c r="AA5" s="188" t="s">
        <v>121</v>
      </c>
      <c r="AB5" s="188" t="s">
        <v>122</v>
      </c>
      <c r="AC5" s="197" t="s">
        <v>46</v>
      </c>
      <c r="AD5" s="197" t="s">
        <v>123</v>
      </c>
      <c r="AE5" s="197" t="s">
        <v>122</v>
      </c>
      <c r="AF5" s="197" t="s">
        <v>46</v>
      </c>
      <c r="AG5" s="197" t="s">
        <v>123</v>
      </c>
      <c r="AH5" s="197" t="s">
        <v>122</v>
      </c>
      <c r="AI5" s="197" t="s">
        <v>46</v>
      </c>
      <c r="AJ5" s="197" t="s">
        <v>123</v>
      </c>
      <c r="AK5" s="197" t="s">
        <v>122</v>
      </c>
      <c r="AL5" s="197" t="s">
        <v>53</v>
      </c>
      <c r="AM5" s="197" t="s">
        <v>123</v>
      </c>
      <c r="AN5" s="197" t="s">
        <v>122</v>
      </c>
      <c r="AO5" s="197" t="s">
        <v>46</v>
      </c>
      <c r="AP5" s="183"/>
      <c r="AQ5" s="183"/>
      <c r="AR5" s="183"/>
      <c r="AS5" s="183"/>
      <c r="AT5" s="183"/>
      <c r="AU5" s="183"/>
      <c r="AV5" s="183"/>
      <c r="AW5" s="183"/>
      <c r="AX5" s="183"/>
      <c r="AY5" s="183"/>
      <c r="AZ5" s="183"/>
      <c r="BA5" s="188" t="s">
        <v>123</v>
      </c>
      <c r="BB5" s="188" t="s">
        <v>122</v>
      </c>
      <c r="BC5" s="188" t="s">
        <v>123</v>
      </c>
      <c r="BD5" s="188" t="s">
        <v>122</v>
      </c>
      <c r="BE5" s="188" t="s">
        <v>53</v>
      </c>
      <c r="BF5" s="188" t="s">
        <v>53</v>
      </c>
      <c r="BG5" s="183"/>
      <c r="BH5" s="196"/>
      <c r="BI5" s="196"/>
    </row>
    <row r="6" spans="1:179" x14ac:dyDescent="0.25">
      <c r="A6" s="142">
        <v>0</v>
      </c>
      <c r="B6" s="68">
        <v>40179</v>
      </c>
      <c r="C6" s="198">
        <v>40179</v>
      </c>
      <c r="D6" s="69">
        <v>39451</v>
      </c>
      <c r="E6" s="70">
        <v>40179</v>
      </c>
      <c r="F6" s="71">
        <v>0</v>
      </c>
      <c r="G6" s="72" t="s">
        <v>124</v>
      </c>
      <c r="H6" s="73" t="s">
        <v>4</v>
      </c>
      <c r="I6" s="199"/>
      <c r="J6" s="199"/>
      <c r="K6" s="200">
        <v>1536</v>
      </c>
      <c r="L6" s="200">
        <v>155.29411764705881</v>
      </c>
      <c r="M6" s="200">
        <v>1691.2941176470588</v>
      </c>
      <c r="N6" s="200">
        <v>425.41176470588238</v>
      </c>
      <c r="O6" s="200">
        <v>153.41176470588235</v>
      </c>
      <c r="P6" s="200">
        <v>578.82352941176475</v>
      </c>
      <c r="Q6" s="200">
        <v>53.647058823529413</v>
      </c>
      <c r="R6" s="200">
        <v>7.5294117647058822</v>
      </c>
      <c r="S6" s="200">
        <v>61.176470588235297</v>
      </c>
      <c r="T6" s="200">
        <v>321.88235294117646</v>
      </c>
      <c r="U6" s="200">
        <v>2870.5882352941176</v>
      </c>
      <c r="V6" s="200">
        <v>3192.4705882352941</v>
      </c>
      <c r="W6" s="200">
        <v>800.94117647058829</v>
      </c>
      <c r="X6" s="200">
        <v>3031.5294117647059</v>
      </c>
      <c r="Y6" s="200">
        <v>3832.4705882352941</v>
      </c>
      <c r="Z6" s="200">
        <v>5523.7647058823532</v>
      </c>
      <c r="AA6" s="200">
        <v>19.2</v>
      </c>
      <c r="AB6" s="200">
        <v>5.9294117647058826</v>
      </c>
      <c r="AC6" s="200">
        <v>25.129411764705882</v>
      </c>
      <c r="AD6" s="200">
        <v>0</v>
      </c>
      <c r="AE6" s="200">
        <v>0</v>
      </c>
      <c r="AF6" s="200">
        <v>0</v>
      </c>
      <c r="AG6" s="200">
        <v>44.8</v>
      </c>
      <c r="AH6" s="200">
        <v>13.835294117647058</v>
      </c>
      <c r="AI6" s="200">
        <v>58.635294117647057</v>
      </c>
      <c r="AJ6" s="200">
        <v>20.705882352941178</v>
      </c>
      <c r="AK6" s="200">
        <v>104.47058823529412</v>
      </c>
      <c r="AL6" s="200">
        <v>125.17647058823529</v>
      </c>
      <c r="AM6" s="200">
        <v>65.505882352941171</v>
      </c>
      <c r="AN6" s="200">
        <v>118.30588235294118</v>
      </c>
      <c r="AO6" s="200">
        <v>183.81176470588235</v>
      </c>
      <c r="AP6" s="200">
        <v>208.94117647058823</v>
      </c>
      <c r="AQ6" s="201">
        <v>0</v>
      </c>
      <c r="AR6" s="200">
        <v>1716.4235294117648</v>
      </c>
      <c r="AS6" s="200">
        <v>4016.2823529411767</v>
      </c>
      <c r="AT6" s="66">
        <v>5732.7058823529414</v>
      </c>
      <c r="AU6" s="75">
        <v>0</v>
      </c>
      <c r="AV6" s="75">
        <v>112.94117647058823</v>
      </c>
      <c r="AW6" s="75">
        <v>16</v>
      </c>
      <c r="AX6" s="75">
        <v>635.29411764705878</v>
      </c>
      <c r="AY6" s="66">
        <v>764.23529411764707</v>
      </c>
      <c r="AZ6" s="202">
        <v>0</v>
      </c>
      <c r="BA6" s="74">
        <v>0</v>
      </c>
      <c r="BB6" s="74">
        <v>0</v>
      </c>
      <c r="BC6" s="74">
        <v>0</v>
      </c>
      <c r="BD6" s="74">
        <v>0</v>
      </c>
      <c r="BE6" s="74">
        <v>0</v>
      </c>
      <c r="BF6" s="74">
        <v>0</v>
      </c>
      <c r="BG6" s="66">
        <v>0</v>
      </c>
      <c r="BH6" s="67">
        <v>6496.9411764705883</v>
      </c>
      <c r="BI6" s="67">
        <v>6496.9411764705883</v>
      </c>
      <c r="FE6" s="39">
        <v>40179</v>
      </c>
      <c r="FF6" s="39">
        <v>1536</v>
      </c>
      <c r="FG6" s="39">
        <v>425.41176470588238</v>
      </c>
      <c r="FH6" s="39">
        <v>1961.4117647058824</v>
      </c>
      <c r="FI6" s="39">
        <v>0</v>
      </c>
      <c r="FJ6" s="39" t="e">
        <v>#REF!</v>
      </c>
      <c r="FK6" s="39" t="e">
        <v>#REF!</v>
      </c>
      <c r="FL6" s="39">
        <v>0</v>
      </c>
      <c r="FM6" s="39">
        <v>112.94117647058823</v>
      </c>
      <c r="FN6" s="39" t="e">
        <v>#REF!</v>
      </c>
      <c r="FO6" s="39">
        <v>635.29411764705878</v>
      </c>
      <c r="FP6" s="39" t="e">
        <v>#REF!</v>
      </c>
      <c r="FR6" s="39" t="e">
        <v>#REF!</v>
      </c>
    </row>
    <row r="7" spans="1:179" x14ac:dyDescent="0.25">
      <c r="A7" s="142">
        <v>0</v>
      </c>
      <c r="B7" s="85">
        <v>40180</v>
      </c>
      <c r="C7" s="203">
        <v>40180</v>
      </c>
      <c r="D7" s="76">
        <v>39452</v>
      </c>
      <c r="E7" s="77">
        <v>40180</v>
      </c>
      <c r="F7" s="78">
        <v>0</v>
      </c>
      <c r="G7" s="79"/>
      <c r="H7" s="80" t="s">
        <v>4</v>
      </c>
      <c r="I7" s="199"/>
      <c r="J7" s="199"/>
      <c r="K7" s="204">
        <v>1668.7058823529412</v>
      </c>
      <c r="L7" s="204">
        <v>290.8235294117647</v>
      </c>
      <c r="M7" s="204">
        <v>1959.5294117647059</v>
      </c>
      <c r="N7" s="204">
        <v>363.29411764705884</v>
      </c>
      <c r="O7" s="204">
        <v>119.52941176470588</v>
      </c>
      <c r="P7" s="204">
        <v>482.8235294117647</v>
      </c>
      <c r="Q7" s="204">
        <v>50.823529411764703</v>
      </c>
      <c r="R7" s="204">
        <v>7.5294117647058822</v>
      </c>
      <c r="S7" s="204">
        <v>58.352941176470587</v>
      </c>
      <c r="T7" s="204">
        <v>336.94117647058823</v>
      </c>
      <c r="U7" s="204">
        <v>2881.8823529411766</v>
      </c>
      <c r="V7" s="204">
        <v>3218.8235294117649</v>
      </c>
      <c r="W7" s="204">
        <v>751.05882352941171</v>
      </c>
      <c r="X7" s="204">
        <v>3008.9411764705883</v>
      </c>
      <c r="Y7" s="204">
        <v>3760</v>
      </c>
      <c r="Z7" s="205">
        <v>5719.5294117647063</v>
      </c>
      <c r="AA7" s="204">
        <v>15.529411764705882</v>
      </c>
      <c r="AB7" s="204">
        <v>6.4941176470588236</v>
      </c>
      <c r="AC7" s="204">
        <v>22.023529411764706</v>
      </c>
      <c r="AD7" s="204">
        <v>0</v>
      </c>
      <c r="AE7" s="204">
        <v>0</v>
      </c>
      <c r="AF7" s="204">
        <v>0</v>
      </c>
      <c r="AG7" s="204">
        <v>36.235294117647058</v>
      </c>
      <c r="AH7" s="204">
        <v>15.152941176470589</v>
      </c>
      <c r="AI7" s="204">
        <v>51.388235294117649</v>
      </c>
      <c r="AJ7" s="204">
        <v>42.352941176470587</v>
      </c>
      <c r="AK7" s="204">
        <v>151.52941176470588</v>
      </c>
      <c r="AL7" s="204">
        <v>193.88235294117646</v>
      </c>
      <c r="AM7" s="204">
        <v>78.588235294117652</v>
      </c>
      <c r="AN7" s="204">
        <v>166.68235294117648</v>
      </c>
      <c r="AO7" s="204">
        <v>245.27058823529413</v>
      </c>
      <c r="AP7" s="205">
        <v>267.29411764705884</v>
      </c>
      <c r="AQ7" s="206">
        <v>0</v>
      </c>
      <c r="AR7" s="200">
        <v>1981.5529411764705</v>
      </c>
      <c r="AS7" s="200">
        <v>4005.2705882352943</v>
      </c>
      <c r="AT7" s="66">
        <v>5986.8235294117649</v>
      </c>
      <c r="AU7" s="207">
        <v>18.823529411764707</v>
      </c>
      <c r="AV7" s="207">
        <v>112.94117647058823</v>
      </c>
      <c r="AW7" s="75">
        <v>94.117647058823536</v>
      </c>
      <c r="AX7" s="207">
        <v>658.82352941176475</v>
      </c>
      <c r="AY7" s="66">
        <v>884.70588235294122</v>
      </c>
      <c r="AZ7" s="208">
        <v>0</v>
      </c>
      <c r="BA7" s="204">
        <v>0</v>
      </c>
      <c r="BB7" s="204">
        <v>0</v>
      </c>
      <c r="BC7" s="204">
        <v>0</v>
      </c>
      <c r="BD7" s="204">
        <v>0</v>
      </c>
      <c r="BE7" s="204">
        <v>0</v>
      </c>
      <c r="BF7" s="204">
        <v>0</v>
      </c>
      <c r="BG7" s="209">
        <v>0</v>
      </c>
      <c r="BH7" s="67">
        <v>6871.5294117647063</v>
      </c>
      <c r="BI7" s="67">
        <v>13368.470588235294</v>
      </c>
      <c r="FE7" s="39">
        <v>40180</v>
      </c>
      <c r="FF7" s="39">
        <v>1668.7058823529412</v>
      </c>
      <c r="FG7" s="39">
        <v>363.29411764705884</v>
      </c>
      <c r="FH7" s="39">
        <v>2032</v>
      </c>
      <c r="FI7" s="39">
        <v>0</v>
      </c>
      <c r="FJ7" s="39" t="e">
        <v>#REF!</v>
      </c>
      <c r="FK7" s="39" t="e">
        <v>#REF!</v>
      </c>
      <c r="FL7" s="39">
        <v>18.823529411764707</v>
      </c>
      <c r="FM7" s="39">
        <v>112.94117647058823</v>
      </c>
      <c r="FN7" s="39" t="e">
        <v>#REF!</v>
      </c>
      <c r="FO7" s="39">
        <v>658.82352941176475</v>
      </c>
      <c r="FP7" s="39" t="e">
        <v>#REF!</v>
      </c>
      <c r="FR7" s="39" t="e">
        <v>#REF!</v>
      </c>
    </row>
    <row r="8" spans="1:179" x14ac:dyDescent="0.25">
      <c r="A8" s="142">
        <v>0</v>
      </c>
      <c r="B8" s="85">
        <v>40181</v>
      </c>
      <c r="C8" s="203">
        <v>40181</v>
      </c>
      <c r="D8" s="76">
        <v>39453</v>
      </c>
      <c r="E8" s="77">
        <v>40181</v>
      </c>
      <c r="F8" s="78">
        <v>0</v>
      </c>
      <c r="G8" s="79"/>
      <c r="H8" s="80" t="s">
        <v>4</v>
      </c>
      <c r="I8" s="199"/>
      <c r="J8" s="199"/>
      <c r="K8" s="204">
        <v>847.05882352941171</v>
      </c>
      <c r="L8" s="204">
        <v>70.588235294117652</v>
      </c>
      <c r="M8" s="204">
        <v>917.64705882352939</v>
      </c>
      <c r="N8" s="204">
        <v>136.47058823529412</v>
      </c>
      <c r="O8" s="204">
        <v>58.352941176470587</v>
      </c>
      <c r="P8" s="204">
        <v>194.8235294117647</v>
      </c>
      <c r="Q8" s="204">
        <v>6.5882352941176467</v>
      </c>
      <c r="R8" s="204">
        <v>0</v>
      </c>
      <c r="S8" s="204">
        <v>6.5882352941176467</v>
      </c>
      <c r="T8" s="204">
        <v>102.58823529411765</v>
      </c>
      <c r="U8" s="204">
        <v>862.11764705882354</v>
      </c>
      <c r="V8" s="204">
        <v>964.70588235294122</v>
      </c>
      <c r="W8" s="204">
        <v>245.64705882352942</v>
      </c>
      <c r="X8" s="204">
        <v>920.47058823529414</v>
      </c>
      <c r="Y8" s="204">
        <v>1166.1176470588234</v>
      </c>
      <c r="Z8" s="205">
        <v>2083.7647058823532</v>
      </c>
      <c r="AA8" s="204">
        <v>9.3176470588235301</v>
      </c>
      <c r="AB8" s="204">
        <v>0</v>
      </c>
      <c r="AC8" s="204">
        <v>9.3176470588235301</v>
      </c>
      <c r="AD8" s="204">
        <v>1.8823529411764706</v>
      </c>
      <c r="AE8" s="204">
        <v>0</v>
      </c>
      <c r="AF8" s="204">
        <v>1.8823529411764706</v>
      </c>
      <c r="AG8" s="204">
        <v>21.741176470588236</v>
      </c>
      <c r="AH8" s="204">
        <v>0</v>
      </c>
      <c r="AI8" s="204">
        <v>21.741176470588236</v>
      </c>
      <c r="AJ8" s="204">
        <v>19.764705882352942</v>
      </c>
      <c r="AK8" s="204">
        <v>70.588235294117652</v>
      </c>
      <c r="AL8" s="204">
        <v>90.352941176470594</v>
      </c>
      <c r="AM8" s="204">
        <v>43.388235294117649</v>
      </c>
      <c r="AN8" s="204">
        <v>70.588235294117652</v>
      </c>
      <c r="AO8" s="204">
        <v>113.97647058823529</v>
      </c>
      <c r="AP8" s="205">
        <v>123.29411764705883</v>
      </c>
      <c r="AQ8" s="206">
        <v>0</v>
      </c>
      <c r="AR8" s="200">
        <v>926.96470588235297</v>
      </c>
      <c r="AS8" s="200">
        <v>1280.0941176470587</v>
      </c>
      <c r="AT8" s="66">
        <v>2207.0588235294117</v>
      </c>
      <c r="AU8" s="207">
        <v>18.823529411764707</v>
      </c>
      <c r="AV8" s="207">
        <v>112.94117647058823</v>
      </c>
      <c r="AW8" s="75">
        <v>541.17647058823525</v>
      </c>
      <c r="AX8" s="207">
        <v>357.64705882352939</v>
      </c>
      <c r="AY8" s="66">
        <v>1030.5882352941176</v>
      </c>
      <c r="AZ8" s="208">
        <v>0</v>
      </c>
      <c r="BA8" s="204">
        <v>0</v>
      </c>
      <c r="BB8" s="204">
        <v>0</v>
      </c>
      <c r="BC8" s="204">
        <v>0</v>
      </c>
      <c r="BD8" s="204">
        <v>0</v>
      </c>
      <c r="BE8" s="204">
        <v>0</v>
      </c>
      <c r="BF8" s="204">
        <v>0</v>
      </c>
      <c r="BG8" s="209">
        <v>0</v>
      </c>
      <c r="BH8" s="67">
        <v>3237.6470588235293</v>
      </c>
      <c r="BI8" s="67">
        <v>16606.117647058822</v>
      </c>
      <c r="FE8" s="39">
        <v>40181</v>
      </c>
      <c r="FF8" s="39">
        <v>847.05882352941171</v>
      </c>
      <c r="FG8" s="39">
        <v>136.47058823529412</v>
      </c>
      <c r="FH8" s="39">
        <v>983.52941176470586</v>
      </c>
      <c r="FI8" s="39">
        <v>0</v>
      </c>
      <c r="FJ8" s="39" t="e">
        <v>#REF!</v>
      </c>
      <c r="FK8" s="39" t="e">
        <v>#REF!</v>
      </c>
      <c r="FL8" s="39">
        <v>18.823529411764707</v>
      </c>
      <c r="FM8" s="39">
        <v>112.94117647058823</v>
      </c>
      <c r="FN8" s="39" t="e">
        <v>#REF!</v>
      </c>
      <c r="FO8" s="39">
        <v>357.64705882352939</v>
      </c>
      <c r="FP8" s="39" t="e">
        <v>#REF!</v>
      </c>
      <c r="FR8" s="39" t="e">
        <v>#REF!</v>
      </c>
    </row>
    <row r="9" spans="1:179" x14ac:dyDescent="0.25">
      <c r="A9" s="142">
        <v>0</v>
      </c>
      <c r="B9" s="81">
        <v>40182</v>
      </c>
      <c r="C9" s="198">
        <v>40182</v>
      </c>
      <c r="D9" s="69">
        <v>39454</v>
      </c>
      <c r="E9" s="70">
        <v>40182</v>
      </c>
      <c r="F9" s="71">
        <v>1</v>
      </c>
      <c r="G9" s="72"/>
      <c r="H9" s="82"/>
      <c r="I9" s="210"/>
      <c r="J9" s="210"/>
      <c r="K9" s="83">
        <v>0</v>
      </c>
      <c r="L9" s="83">
        <v>0</v>
      </c>
      <c r="M9" s="83">
        <v>0</v>
      </c>
      <c r="N9" s="83">
        <v>0</v>
      </c>
      <c r="O9" s="83">
        <v>0</v>
      </c>
      <c r="P9" s="83">
        <v>0</v>
      </c>
      <c r="Q9" s="83">
        <v>0</v>
      </c>
      <c r="R9" s="83">
        <v>0</v>
      </c>
      <c r="S9" s="83">
        <v>0</v>
      </c>
      <c r="T9" s="83">
        <v>0</v>
      </c>
      <c r="U9" s="83">
        <v>0</v>
      </c>
      <c r="V9" s="83">
        <v>0</v>
      </c>
      <c r="W9" s="83">
        <v>0</v>
      </c>
      <c r="X9" s="83">
        <v>0</v>
      </c>
      <c r="Y9" s="83">
        <v>0</v>
      </c>
      <c r="Z9" s="83">
        <v>0</v>
      </c>
      <c r="AA9" s="83">
        <v>0</v>
      </c>
      <c r="AB9" s="83">
        <v>0</v>
      </c>
      <c r="AC9" s="83">
        <v>0</v>
      </c>
      <c r="AD9" s="83">
        <v>0</v>
      </c>
      <c r="AE9" s="83">
        <v>0</v>
      </c>
      <c r="AF9" s="83">
        <v>0</v>
      </c>
      <c r="AG9" s="83">
        <v>0</v>
      </c>
      <c r="AH9" s="83">
        <v>0</v>
      </c>
      <c r="AI9" s="83">
        <v>0</v>
      </c>
      <c r="AJ9" s="83">
        <v>0</v>
      </c>
      <c r="AK9" s="83">
        <v>0</v>
      </c>
      <c r="AL9" s="83">
        <v>0</v>
      </c>
      <c r="AM9" s="83">
        <v>0</v>
      </c>
      <c r="AN9" s="83">
        <v>0</v>
      </c>
      <c r="AO9" s="83">
        <v>0</v>
      </c>
      <c r="AP9" s="83">
        <v>0</v>
      </c>
      <c r="AQ9" s="84">
        <v>0</v>
      </c>
      <c r="AR9" s="200">
        <v>0</v>
      </c>
      <c r="AS9" s="200">
        <v>0</v>
      </c>
      <c r="AT9" s="66">
        <v>0</v>
      </c>
      <c r="AU9" s="83">
        <v>0</v>
      </c>
      <c r="AV9" s="83">
        <v>0</v>
      </c>
      <c r="AW9" s="75">
        <v>0</v>
      </c>
      <c r="AX9" s="83">
        <v>0</v>
      </c>
      <c r="AY9" s="66">
        <v>0</v>
      </c>
      <c r="AZ9" s="83">
        <v>0</v>
      </c>
      <c r="BA9" s="83">
        <v>0</v>
      </c>
      <c r="BB9" s="83">
        <v>0</v>
      </c>
      <c r="BC9" s="83">
        <v>0</v>
      </c>
      <c r="BD9" s="83">
        <v>0</v>
      </c>
      <c r="BE9" s="83">
        <v>0</v>
      </c>
      <c r="BF9" s="83">
        <v>0</v>
      </c>
      <c r="BG9" s="66">
        <v>0</v>
      </c>
      <c r="BH9" s="67">
        <v>0</v>
      </c>
      <c r="BI9" s="67">
        <v>16606.117647058822</v>
      </c>
      <c r="FE9" s="39">
        <v>40182</v>
      </c>
      <c r="FF9" s="39">
        <v>0</v>
      </c>
      <c r="FG9" s="39">
        <v>0</v>
      </c>
      <c r="FH9" s="39">
        <v>0</v>
      </c>
      <c r="FI9" s="39">
        <v>0</v>
      </c>
      <c r="FJ9" s="39" t="e">
        <v>#REF!</v>
      </c>
      <c r="FK9" s="39" t="e">
        <v>#REF!</v>
      </c>
      <c r="FL9" s="39">
        <v>0</v>
      </c>
      <c r="FM9" s="39">
        <v>0</v>
      </c>
      <c r="FN9" s="39" t="e">
        <v>#REF!</v>
      </c>
      <c r="FO9" s="39">
        <v>0</v>
      </c>
      <c r="FP9" s="39" t="e">
        <v>#REF!</v>
      </c>
      <c r="FR9" s="39" t="e">
        <v>#REF!</v>
      </c>
    </row>
    <row r="10" spans="1:179" x14ac:dyDescent="0.25">
      <c r="A10" s="142">
        <v>0</v>
      </c>
      <c r="B10" s="81">
        <v>40183</v>
      </c>
      <c r="C10" s="198">
        <v>40183</v>
      </c>
      <c r="D10" s="69">
        <v>39455</v>
      </c>
      <c r="E10" s="70">
        <v>40183</v>
      </c>
      <c r="F10" s="71">
        <v>1</v>
      </c>
      <c r="G10" s="72"/>
      <c r="H10" s="82"/>
      <c r="I10" s="210"/>
      <c r="J10" s="210"/>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0</v>
      </c>
      <c r="AB10" s="83">
        <v>0</v>
      </c>
      <c r="AC10" s="83">
        <v>0</v>
      </c>
      <c r="AD10" s="83">
        <v>0</v>
      </c>
      <c r="AE10" s="83">
        <v>0</v>
      </c>
      <c r="AF10" s="83">
        <v>0</v>
      </c>
      <c r="AG10" s="83">
        <v>0</v>
      </c>
      <c r="AH10" s="83">
        <v>0</v>
      </c>
      <c r="AI10" s="83">
        <v>0</v>
      </c>
      <c r="AJ10" s="83">
        <v>0</v>
      </c>
      <c r="AK10" s="83">
        <v>0</v>
      </c>
      <c r="AL10" s="83">
        <v>0</v>
      </c>
      <c r="AM10" s="83">
        <v>0</v>
      </c>
      <c r="AN10" s="83">
        <v>0</v>
      </c>
      <c r="AO10" s="83">
        <v>0</v>
      </c>
      <c r="AP10" s="83">
        <v>0</v>
      </c>
      <c r="AQ10" s="84">
        <v>0</v>
      </c>
      <c r="AR10" s="200">
        <v>0</v>
      </c>
      <c r="AS10" s="200">
        <v>0</v>
      </c>
      <c r="AT10" s="66">
        <v>0</v>
      </c>
      <c r="AU10" s="83">
        <v>0</v>
      </c>
      <c r="AV10" s="83">
        <v>0</v>
      </c>
      <c r="AW10" s="75">
        <v>658.82352941176475</v>
      </c>
      <c r="AX10" s="83">
        <v>0</v>
      </c>
      <c r="AY10" s="66">
        <v>658.82352941176475</v>
      </c>
      <c r="AZ10" s="83">
        <v>0</v>
      </c>
      <c r="BA10" s="83">
        <v>0</v>
      </c>
      <c r="BB10" s="83">
        <v>0</v>
      </c>
      <c r="BC10" s="83">
        <v>0</v>
      </c>
      <c r="BD10" s="83">
        <v>0</v>
      </c>
      <c r="BE10" s="83">
        <v>0</v>
      </c>
      <c r="BF10" s="83">
        <v>0</v>
      </c>
      <c r="BG10" s="66">
        <v>0</v>
      </c>
      <c r="BH10" s="67">
        <v>658.82352941176475</v>
      </c>
      <c r="BI10" s="67">
        <v>17264.941176470587</v>
      </c>
      <c r="FE10" s="39">
        <v>40183</v>
      </c>
      <c r="FF10" s="39">
        <v>0</v>
      </c>
      <c r="FG10" s="39">
        <v>0</v>
      </c>
      <c r="FH10" s="39">
        <v>0</v>
      </c>
      <c r="FI10" s="39">
        <v>0</v>
      </c>
      <c r="FJ10" s="39" t="e">
        <v>#REF!</v>
      </c>
      <c r="FK10" s="39" t="e">
        <v>#REF!</v>
      </c>
      <c r="FL10" s="39">
        <v>0</v>
      </c>
      <c r="FM10" s="39">
        <v>0</v>
      </c>
      <c r="FN10" s="39" t="e">
        <v>#REF!</v>
      </c>
      <c r="FO10" s="39">
        <v>0</v>
      </c>
      <c r="FP10" s="39" t="e">
        <v>#REF!</v>
      </c>
      <c r="FR10" s="39" t="e">
        <v>#REF!</v>
      </c>
    </row>
    <row r="11" spans="1:179" x14ac:dyDescent="0.25">
      <c r="A11" s="142">
        <v>0</v>
      </c>
      <c r="B11" s="81">
        <v>40184</v>
      </c>
      <c r="C11" s="198">
        <v>40184</v>
      </c>
      <c r="D11" s="69">
        <v>39456</v>
      </c>
      <c r="E11" s="70">
        <v>40184</v>
      </c>
      <c r="F11" s="71">
        <v>1</v>
      </c>
      <c r="G11" s="72"/>
      <c r="H11" s="82"/>
      <c r="I11" s="210"/>
      <c r="J11" s="210"/>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4">
        <v>0</v>
      </c>
      <c r="AR11" s="200">
        <v>0</v>
      </c>
      <c r="AS11" s="200">
        <v>0</v>
      </c>
      <c r="AT11" s="66">
        <v>0</v>
      </c>
      <c r="AU11" s="83">
        <v>0</v>
      </c>
      <c r="AV11" s="83">
        <v>0</v>
      </c>
      <c r="AW11" s="75">
        <v>0</v>
      </c>
      <c r="AX11" s="83">
        <v>0</v>
      </c>
      <c r="AY11" s="66">
        <v>0</v>
      </c>
      <c r="AZ11" s="83">
        <v>0</v>
      </c>
      <c r="BA11" s="83">
        <v>0</v>
      </c>
      <c r="BB11" s="83">
        <v>0</v>
      </c>
      <c r="BC11" s="83">
        <v>0</v>
      </c>
      <c r="BD11" s="83">
        <v>0</v>
      </c>
      <c r="BE11" s="83">
        <v>0</v>
      </c>
      <c r="BF11" s="83">
        <v>0</v>
      </c>
      <c r="BG11" s="66">
        <v>0</v>
      </c>
      <c r="BH11" s="67">
        <v>0</v>
      </c>
      <c r="BI11" s="67">
        <v>17264.941176470587</v>
      </c>
      <c r="FE11" s="39">
        <v>40184</v>
      </c>
      <c r="FF11" s="39">
        <v>0</v>
      </c>
      <c r="FG11" s="39">
        <v>0</v>
      </c>
      <c r="FH11" s="39">
        <v>0</v>
      </c>
      <c r="FI11" s="39">
        <v>0</v>
      </c>
      <c r="FJ11" s="39" t="e">
        <v>#REF!</v>
      </c>
      <c r="FK11" s="39" t="e">
        <v>#REF!</v>
      </c>
      <c r="FL11" s="39">
        <v>0</v>
      </c>
      <c r="FM11" s="39">
        <v>0</v>
      </c>
      <c r="FN11" s="39" t="e">
        <v>#REF!</v>
      </c>
      <c r="FO11" s="39">
        <v>0</v>
      </c>
      <c r="FP11" s="39" t="e">
        <v>#REF!</v>
      </c>
      <c r="FR11" s="39" t="e">
        <v>#REF!</v>
      </c>
    </row>
    <row r="12" spans="1:179" x14ac:dyDescent="0.25">
      <c r="A12" s="142">
        <v>0</v>
      </c>
      <c r="B12" s="81">
        <v>40185</v>
      </c>
      <c r="C12" s="198">
        <v>40185</v>
      </c>
      <c r="D12" s="69">
        <v>39457</v>
      </c>
      <c r="E12" s="70">
        <v>40185</v>
      </c>
      <c r="F12" s="71">
        <v>1</v>
      </c>
      <c r="G12" s="72"/>
      <c r="H12" s="82"/>
      <c r="I12" s="210"/>
      <c r="J12" s="210"/>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4">
        <v>0</v>
      </c>
      <c r="AR12" s="200">
        <v>0</v>
      </c>
      <c r="AS12" s="200">
        <v>0</v>
      </c>
      <c r="AT12" s="66">
        <v>0</v>
      </c>
      <c r="AU12" s="83">
        <v>0</v>
      </c>
      <c r="AV12" s="83">
        <v>0</v>
      </c>
      <c r="AW12" s="75">
        <v>188.23529411764707</v>
      </c>
      <c r="AX12" s="83">
        <v>0</v>
      </c>
      <c r="AY12" s="66">
        <v>188.23529411764707</v>
      </c>
      <c r="AZ12" s="83">
        <v>0</v>
      </c>
      <c r="BA12" s="83">
        <v>0</v>
      </c>
      <c r="BB12" s="83">
        <v>0</v>
      </c>
      <c r="BC12" s="83">
        <v>0</v>
      </c>
      <c r="BD12" s="83">
        <v>0</v>
      </c>
      <c r="BE12" s="83">
        <v>0</v>
      </c>
      <c r="BF12" s="83">
        <v>0</v>
      </c>
      <c r="BG12" s="66">
        <v>0</v>
      </c>
      <c r="BH12" s="67">
        <v>188.23529411764707</v>
      </c>
      <c r="BI12" s="67">
        <v>17453.176470588234</v>
      </c>
      <c r="FE12" s="39">
        <v>40185</v>
      </c>
      <c r="FF12" s="39">
        <v>0</v>
      </c>
      <c r="FG12" s="39">
        <v>0</v>
      </c>
      <c r="FH12" s="39">
        <v>0</v>
      </c>
      <c r="FI12" s="39">
        <v>0</v>
      </c>
      <c r="FJ12" s="39" t="e">
        <v>#REF!</v>
      </c>
      <c r="FK12" s="39" t="e">
        <v>#REF!</v>
      </c>
      <c r="FL12" s="39">
        <v>0</v>
      </c>
      <c r="FM12" s="39">
        <v>0</v>
      </c>
      <c r="FN12" s="39" t="e">
        <v>#REF!</v>
      </c>
      <c r="FO12" s="39">
        <v>0</v>
      </c>
      <c r="FP12" s="39" t="e">
        <v>#REF!</v>
      </c>
      <c r="FR12" s="39" t="e">
        <v>#REF!</v>
      </c>
    </row>
    <row r="13" spans="1:179" x14ac:dyDescent="0.25">
      <c r="A13" s="142">
        <v>0</v>
      </c>
      <c r="B13" s="81">
        <v>40186</v>
      </c>
      <c r="C13" s="198">
        <v>40186</v>
      </c>
      <c r="D13" s="69">
        <v>39458</v>
      </c>
      <c r="E13" s="70">
        <v>40186</v>
      </c>
      <c r="F13" s="71">
        <v>1</v>
      </c>
      <c r="G13" s="72"/>
      <c r="H13" s="82"/>
      <c r="I13" s="210"/>
      <c r="J13" s="210"/>
      <c r="K13" s="83">
        <v>0</v>
      </c>
      <c r="L13" s="83">
        <v>0</v>
      </c>
      <c r="M13" s="83">
        <v>0</v>
      </c>
      <c r="N13" s="83">
        <v>0</v>
      </c>
      <c r="O13" s="83">
        <v>0</v>
      </c>
      <c r="P13" s="83">
        <v>0</v>
      </c>
      <c r="Q13" s="83">
        <v>0</v>
      </c>
      <c r="R13" s="83">
        <v>0</v>
      </c>
      <c r="S13" s="83">
        <v>0</v>
      </c>
      <c r="T13" s="83">
        <v>0</v>
      </c>
      <c r="U13" s="83">
        <v>0</v>
      </c>
      <c r="V13" s="83">
        <v>0</v>
      </c>
      <c r="W13" s="83">
        <v>0</v>
      </c>
      <c r="X13" s="83">
        <v>0</v>
      </c>
      <c r="Y13" s="83">
        <v>0</v>
      </c>
      <c r="Z13" s="83">
        <v>0</v>
      </c>
      <c r="AA13" s="83">
        <v>0</v>
      </c>
      <c r="AB13" s="83">
        <v>0</v>
      </c>
      <c r="AC13" s="83">
        <v>0</v>
      </c>
      <c r="AD13" s="83">
        <v>0</v>
      </c>
      <c r="AE13" s="83">
        <v>0</v>
      </c>
      <c r="AF13" s="83">
        <v>0</v>
      </c>
      <c r="AG13" s="83">
        <v>0</v>
      </c>
      <c r="AH13" s="83">
        <v>0</v>
      </c>
      <c r="AI13" s="83">
        <v>0</v>
      </c>
      <c r="AJ13" s="83">
        <v>0</v>
      </c>
      <c r="AK13" s="83">
        <v>0</v>
      </c>
      <c r="AL13" s="83">
        <v>0</v>
      </c>
      <c r="AM13" s="83">
        <v>0</v>
      </c>
      <c r="AN13" s="83">
        <v>0</v>
      </c>
      <c r="AO13" s="83">
        <v>0</v>
      </c>
      <c r="AP13" s="83">
        <v>0</v>
      </c>
      <c r="AQ13" s="84">
        <v>0</v>
      </c>
      <c r="AR13" s="200">
        <v>0</v>
      </c>
      <c r="AS13" s="200">
        <v>0</v>
      </c>
      <c r="AT13" s="66">
        <v>0</v>
      </c>
      <c r="AU13" s="83">
        <v>0</v>
      </c>
      <c r="AV13" s="83">
        <v>0</v>
      </c>
      <c r="AW13" s="75">
        <v>0</v>
      </c>
      <c r="AX13" s="83">
        <v>0</v>
      </c>
      <c r="AY13" s="66">
        <v>0</v>
      </c>
      <c r="AZ13" s="83">
        <v>0</v>
      </c>
      <c r="BA13" s="83">
        <v>0</v>
      </c>
      <c r="BB13" s="83">
        <v>0</v>
      </c>
      <c r="BC13" s="83">
        <v>0</v>
      </c>
      <c r="BD13" s="83">
        <v>0</v>
      </c>
      <c r="BE13" s="83">
        <v>0</v>
      </c>
      <c r="BF13" s="83">
        <v>0</v>
      </c>
      <c r="BG13" s="66">
        <v>0</v>
      </c>
      <c r="BH13" s="67">
        <v>0</v>
      </c>
      <c r="BI13" s="67">
        <v>17453.176470588234</v>
      </c>
      <c r="FE13" s="39">
        <v>40186</v>
      </c>
      <c r="FF13" s="39">
        <v>0</v>
      </c>
      <c r="FG13" s="39">
        <v>0</v>
      </c>
      <c r="FH13" s="39">
        <v>0</v>
      </c>
      <c r="FI13" s="39">
        <v>0</v>
      </c>
      <c r="FJ13" s="39" t="e">
        <v>#REF!</v>
      </c>
      <c r="FK13" s="39" t="e">
        <v>#REF!</v>
      </c>
      <c r="FL13" s="39">
        <v>0</v>
      </c>
      <c r="FM13" s="39">
        <v>0</v>
      </c>
      <c r="FN13" s="39" t="e">
        <v>#REF!</v>
      </c>
      <c r="FO13" s="39">
        <v>0</v>
      </c>
      <c r="FP13" s="39" t="e">
        <v>#REF!</v>
      </c>
      <c r="FR13" s="39" t="e">
        <v>#REF!</v>
      </c>
    </row>
    <row r="14" spans="1:179" x14ac:dyDescent="0.25">
      <c r="A14" s="142">
        <v>0</v>
      </c>
      <c r="B14" s="211">
        <v>40187</v>
      </c>
      <c r="C14" s="203">
        <v>40187</v>
      </c>
      <c r="D14" s="76">
        <v>39459</v>
      </c>
      <c r="E14" s="77">
        <v>40187</v>
      </c>
      <c r="F14" s="78">
        <v>1</v>
      </c>
      <c r="G14" s="79"/>
      <c r="H14" s="80"/>
      <c r="I14" s="212"/>
      <c r="J14" s="212"/>
      <c r="K14" s="213">
        <v>0</v>
      </c>
      <c r="L14" s="213">
        <v>0</v>
      </c>
      <c r="M14" s="213">
        <v>0</v>
      </c>
      <c r="N14" s="213">
        <v>0</v>
      </c>
      <c r="O14" s="213">
        <v>0</v>
      </c>
      <c r="P14" s="213">
        <v>0</v>
      </c>
      <c r="Q14" s="213">
        <v>0</v>
      </c>
      <c r="R14" s="213">
        <v>0</v>
      </c>
      <c r="S14" s="213">
        <v>0</v>
      </c>
      <c r="T14" s="213">
        <v>0</v>
      </c>
      <c r="U14" s="213">
        <v>0</v>
      </c>
      <c r="V14" s="213">
        <v>0</v>
      </c>
      <c r="W14" s="213">
        <v>0</v>
      </c>
      <c r="X14" s="213">
        <v>0</v>
      </c>
      <c r="Y14" s="213">
        <v>0</v>
      </c>
      <c r="Z14" s="213">
        <v>0</v>
      </c>
      <c r="AA14" s="213">
        <v>0</v>
      </c>
      <c r="AB14" s="213">
        <v>0</v>
      </c>
      <c r="AC14" s="213">
        <v>0</v>
      </c>
      <c r="AD14" s="213">
        <v>0</v>
      </c>
      <c r="AE14" s="213">
        <v>0</v>
      </c>
      <c r="AF14" s="213">
        <v>0</v>
      </c>
      <c r="AG14" s="213">
        <v>0</v>
      </c>
      <c r="AH14" s="213">
        <v>0</v>
      </c>
      <c r="AI14" s="213">
        <v>0</v>
      </c>
      <c r="AJ14" s="213">
        <v>0</v>
      </c>
      <c r="AK14" s="213">
        <v>0</v>
      </c>
      <c r="AL14" s="213">
        <v>0</v>
      </c>
      <c r="AM14" s="213">
        <v>0</v>
      </c>
      <c r="AN14" s="213">
        <v>0</v>
      </c>
      <c r="AO14" s="213">
        <v>0</v>
      </c>
      <c r="AP14" s="213">
        <v>0</v>
      </c>
      <c r="AQ14" s="214">
        <v>0</v>
      </c>
      <c r="AR14" s="200">
        <v>0</v>
      </c>
      <c r="AS14" s="200">
        <v>0</v>
      </c>
      <c r="AT14" s="66">
        <v>0</v>
      </c>
      <c r="AU14" s="213">
        <v>0</v>
      </c>
      <c r="AV14" s="213">
        <v>0</v>
      </c>
      <c r="AW14" s="75">
        <v>21.647058823529413</v>
      </c>
      <c r="AX14" s="213">
        <v>0</v>
      </c>
      <c r="AY14" s="66">
        <v>21.647058823529413</v>
      </c>
      <c r="AZ14" s="213">
        <v>0</v>
      </c>
      <c r="BA14" s="213">
        <v>0</v>
      </c>
      <c r="BB14" s="213">
        <v>0</v>
      </c>
      <c r="BC14" s="213">
        <v>0</v>
      </c>
      <c r="BD14" s="213">
        <v>0</v>
      </c>
      <c r="BE14" s="213">
        <v>0</v>
      </c>
      <c r="BF14" s="213">
        <v>0</v>
      </c>
      <c r="BG14" s="209">
        <v>0</v>
      </c>
      <c r="BH14" s="67">
        <v>21.647058823529413</v>
      </c>
      <c r="BI14" s="67">
        <v>17474.823529411762</v>
      </c>
      <c r="FE14" s="39">
        <v>40187</v>
      </c>
      <c r="FF14" s="39">
        <v>0</v>
      </c>
      <c r="FG14" s="39">
        <v>0</v>
      </c>
      <c r="FH14" s="39">
        <v>0</v>
      </c>
      <c r="FI14" s="39">
        <v>0</v>
      </c>
      <c r="FJ14" s="39" t="e">
        <v>#REF!</v>
      </c>
      <c r="FK14" s="39" t="e">
        <v>#REF!</v>
      </c>
      <c r="FL14" s="39">
        <v>0</v>
      </c>
      <c r="FM14" s="39">
        <v>0</v>
      </c>
      <c r="FN14" s="39" t="e">
        <v>#REF!</v>
      </c>
      <c r="FO14" s="39">
        <v>0</v>
      </c>
      <c r="FP14" s="39" t="e">
        <v>#REF!</v>
      </c>
      <c r="FR14" s="39" t="e">
        <v>#REF!</v>
      </c>
    </row>
    <row r="15" spans="1:179" x14ac:dyDescent="0.25">
      <c r="A15" s="142">
        <v>0</v>
      </c>
      <c r="B15" s="211">
        <v>40188</v>
      </c>
      <c r="C15" s="203">
        <v>40188</v>
      </c>
      <c r="D15" s="76">
        <v>39460</v>
      </c>
      <c r="E15" s="77">
        <v>40188</v>
      </c>
      <c r="F15" s="78">
        <v>1</v>
      </c>
      <c r="G15" s="79"/>
      <c r="H15" s="80"/>
      <c r="I15" s="212"/>
      <c r="J15" s="212"/>
      <c r="K15" s="213">
        <v>0</v>
      </c>
      <c r="L15" s="213">
        <v>0</v>
      </c>
      <c r="M15" s="213">
        <v>0</v>
      </c>
      <c r="N15" s="213">
        <v>0</v>
      </c>
      <c r="O15" s="213">
        <v>0</v>
      </c>
      <c r="P15" s="213">
        <v>0</v>
      </c>
      <c r="Q15" s="213">
        <v>0</v>
      </c>
      <c r="R15" s="213">
        <v>0</v>
      </c>
      <c r="S15" s="213">
        <v>0</v>
      </c>
      <c r="T15" s="213">
        <v>0</v>
      </c>
      <c r="U15" s="213">
        <v>0</v>
      </c>
      <c r="V15" s="213">
        <v>0</v>
      </c>
      <c r="W15" s="213">
        <v>0</v>
      </c>
      <c r="X15" s="213">
        <v>0</v>
      </c>
      <c r="Y15" s="213">
        <v>0</v>
      </c>
      <c r="Z15" s="213">
        <v>0</v>
      </c>
      <c r="AA15" s="213">
        <v>0</v>
      </c>
      <c r="AB15" s="213">
        <v>0</v>
      </c>
      <c r="AC15" s="213">
        <v>0</v>
      </c>
      <c r="AD15" s="213">
        <v>0</v>
      </c>
      <c r="AE15" s="213">
        <v>0</v>
      </c>
      <c r="AF15" s="213">
        <v>0</v>
      </c>
      <c r="AG15" s="213">
        <v>0</v>
      </c>
      <c r="AH15" s="213">
        <v>0</v>
      </c>
      <c r="AI15" s="213">
        <v>0</v>
      </c>
      <c r="AJ15" s="213">
        <v>0</v>
      </c>
      <c r="AK15" s="213">
        <v>0</v>
      </c>
      <c r="AL15" s="213">
        <v>0</v>
      </c>
      <c r="AM15" s="213">
        <v>0</v>
      </c>
      <c r="AN15" s="213">
        <v>0</v>
      </c>
      <c r="AO15" s="213">
        <v>0</v>
      </c>
      <c r="AP15" s="213">
        <v>0</v>
      </c>
      <c r="AQ15" s="214">
        <v>0</v>
      </c>
      <c r="AR15" s="200">
        <v>0</v>
      </c>
      <c r="AS15" s="200">
        <v>0</v>
      </c>
      <c r="AT15" s="66">
        <v>0</v>
      </c>
      <c r="AU15" s="213">
        <v>0</v>
      </c>
      <c r="AV15" s="213">
        <v>0</v>
      </c>
      <c r="AW15" s="75">
        <v>0</v>
      </c>
      <c r="AX15" s="213">
        <v>0</v>
      </c>
      <c r="AY15" s="66">
        <v>0</v>
      </c>
      <c r="AZ15" s="213">
        <v>0</v>
      </c>
      <c r="BA15" s="213">
        <v>0</v>
      </c>
      <c r="BB15" s="213">
        <v>0</v>
      </c>
      <c r="BC15" s="213">
        <v>0</v>
      </c>
      <c r="BD15" s="213">
        <v>0</v>
      </c>
      <c r="BE15" s="213">
        <v>0</v>
      </c>
      <c r="BF15" s="213">
        <v>0</v>
      </c>
      <c r="BG15" s="209">
        <v>0</v>
      </c>
      <c r="BH15" s="67">
        <v>0</v>
      </c>
      <c r="BI15" s="67">
        <v>17474.823529411762</v>
      </c>
      <c r="FE15" s="39">
        <v>40188</v>
      </c>
      <c r="FF15" s="39">
        <v>0</v>
      </c>
      <c r="FG15" s="39">
        <v>0</v>
      </c>
      <c r="FH15" s="39">
        <v>0</v>
      </c>
      <c r="FI15" s="39">
        <v>0</v>
      </c>
      <c r="FJ15" s="39" t="e">
        <v>#REF!</v>
      </c>
      <c r="FK15" s="39" t="e">
        <v>#REF!</v>
      </c>
      <c r="FL15" s="39">
        <v>0</v>
      </c>
      <c r="FM15" s="39">
        <v>0</v>
      </c>
      <c r="FN15" s="39" t="e">
        <v>#REF!</v>
      </c>
      <c r="FO15" s="39">
        <v>0</v>
      </c>
      <c r="FP15" s="39" t="e">
        <v>#REF!</v>
      </c>
      <c r="FR15" s="39" t="e">
        <v>#REF!</v>
      </c>
    </row>
    <row r="16" spans="1:179" x14ac:dyDescent="0.25">
      <c r="A16" s="142">
        <v>0</v>
      </c>
      <c r="B16" s="81">
        <v>40189</v>
      </c>
      <c r="C16" s="198">
        <v>40189</v>
      </c>
      <c r="D16" s="69">
        <v>39461</v>
      </c>
      <c r="E16" s="70">
        <v>40189</v>
      </c>
      <c r="F16" s="71">
        <v>2</v>
      </c>
      <c r="G16" s="72"/>
      <c r="H16" s="82"/>
      <c r="I16" s="210"/>
      <c r="J16" s="210"/>
      <c r="K16" s="83">
        <v>0</v>
      </c>
      <c r="L16" s="83">
        <v>0</v>
      </c>
      <c r="M16" s="83">
        <v>0</v>
      </c>
      <c r="N16" s="83">
        <v>0</v>
      </c>
      <c r="O16" s="83">
        <v>0</v>
      </c>
      <c r="P16" s="83">
        <v>0</v>
      </c>
      <c r="Q16" s="83">
        <v>0</v>
      </c>
      <c r="R16" s="83">
        <v>0</v>
      </c>
      <c r="S16" s="83">
        <v>0</v>
      </c>
      <c r="T16" s="83">
        <v>0</v>
      </c>
      <c r="U16" s="83">
        <v>0</v>
      </c>
      <c r="V16" s="83">
        <v>0</v>
      </c>
      <c r="W16" s="83">
        <v>0</v>
      </c>
      <c r="X16" s="83">
        <v>0</v>
      </c>
      <c r="Y16" s="83">
        <v>0</v>
      </c>
      <c r="Z16" s="83">
        <v>0</v>
      </c>
      <c r="AA16" s="83">
        <v>0</v>
      </c>
      <c r="AB16" s="83">
        <v>0</v>
      </c>
      <c r="AC16" s="83">
        <v>0</v>
      </c>
      <c r="AD16" s="83">
        <v>0</v>
      </c>
      <c r="AE16" s="83">
        <v>0</v>
      </c>
      <c r="AF16" s="83">
        <v>0</v>
      </c>
      <c r="AG16" s="83">
        <v>0</v>
      </c>
      <c r="AH16" s="83">
        <v>0</v>
      </c>
      <c r="AI16" s="83">
        <v>0</v>
      </c>
      <c r="AJ16" s="83">
        <v>0</v>
      </c>
      <c r="AK16" s="83">
        <v>0</v>
      </c>
      <c r="AL16" s="83">
        <v>0</v>
      </c>
      <c r="AM16" s="83">
        <v>0</v>
      </c>
      <c r="AN16" s="83">
        <v>0</v>
      </c>
      <c r="AO16" s="83">
        <v>0</v>
      </c>
      <c r="AP16" s="83">
        <v>0</v>
      </c>
      <c r="AQ16" s="84">
        <v>0</v>
      </c>
      <c r="AR16" s="200">
        <v>0</v>
      </c>
      <c r="AS16" s="200">
        <v>0</v>
      </c>
      <c r="AT16" s="66">
        <v>0</v>
      </c>
      <c r="AU16" s="83">
        <v>0</v>
      </c>
      <c r="AV16" s="83">
        <v>0</v>
      </c>
      <c r="AW16" s="75">
        <v>0</v>
      </c>
      <c r="AX16" s="83">
        <v>0</v>
      </c>
      <c r="AY16" s="66">
        <v>0</v>
      </c>
      <c r="AZ16" s="83">
        <v>0</v>
      </c>
      <c r="BA16" s="83">
        <v>0</v>
      </c>
      <c r="BB16" s="83">
        <v>0</v>
      </c>
      <c r="BC16" s="83">
        <v>0</v>
      </c>
      <c r="BD16" s="83">
        <v>0</v>
      </c>
      <c r="BE16" s="83">
        <v>0</v>
      </c>
      <c r="BF16" s="83">
        <v>0</v>
      </c>
      <c r="BG16" s="66">
        <v>0</v>
      </c>
      <c r="BH16" s="67">
        <v>0</v>
      </c>
      <c r="BI16" s="67">
        <v>17474.823529411762</v>
      </c>
      <c r="FE16" s="39">
        <v>40189</v>
      </c>
      <c r="FF16" s="39">
        <v>0</v>
      </c>
      <c r="FG16" s="39">
        <v>0</v>
      </c>
      <c r="FH16" s="39">
        <v>0</v>
      </c>
      <c r="FI16" s="39">
        <v>0</v>
      </c>
      <c r="FJ16" s="39" t="e">
        <v>#REF!</v>
      </c>
      <c r="FK16" s="39" t="e">
        <v>#REF!</v>
      </c>
      <c r="FL16" s="39">
        <v>0</v>
      </c>
      <c r="FM16" s="39">
        <v>0</v>
      </c>
      <c r="FN16" s="39" t="e">
        <v>#REF!</v>
      </c>
      <c r="FO16" s="39">
        <v>0</v>
      </c>
      <c r="FP16" s="39" t="e">
        <v>#REF!</v>
      </c>
      <c r="FR16" s="39" t="e">
        <v>#REF!</v>
      </c>
    </row>
    <row r="17" spans="1:174" x14ac:dyDescent="0.25">
      <c r="A17" s="142">
        <v>0</v>
      </c>
      <c r="B17" s="81">
        <v>40190</v>
      </c>
      <c r="C17" s="198">
        <v>40190</v>
      </c>
      <c r="D17" s="69">
        <v>39462</v>
      </c>
      <c r="E17" s="70">
        <v>40190</v>
      </c>
      <c r="F17" s="71">
        <v>2</v>
      </c>
      <c r="G17" s="72"/>
      <c r="H17" s="82"/>
      <c r="I17" s="210"/>
      <c r="J17" s="210"/>
      <c r="K17" s="83">
        <v>0</v>
      </c>
      <c r="L17" s="83">
        <v>0</v>
      </c>
      <c r="M17" s="83">
        <v>0</v>
      </c>
      <c r="N17" s="83">
        <v>0</v>
      </c>
      <c r="O17" s="83">
        <v>0</v>
      </c>
      <c r="P17" s="83">
        <v>0</v>
      </c>
      <c r="Q17" s="83">
        <v>0</v>
      </c>
      <c r="R17" s="83">
        <v>0</v>
      </c>
      <c r="S17" s="83">
        <v>0</v>
      </c>
      <c r="T17" s="83">
        <v>0</v>
      </c>
      <c r="U17" s="83">
        <v>0</v>
      </c>
      <c r="V17" s="83">
        <v>0</v>
      </c>
      <c r="W17" s="83">
        <v>0</v>
      </c>
      <c r="X17" s="83">
        <v>0</v>
      </c>
      <c r="Y17" s="83">
        <v>0</v>
      </c>
      <c r="Z17" s="83">
        <v>0</v>
      </c>
      <c r="AA17" s="83">
        <v>0</v>
      </c>
      <c r="AB17" s="83">
        <v>0</v>
      </c>
      <c r="AC17" s="83">
        <v>0</v>
      </c>
      <c r="AD17" s="83">
        <v>0</v>
      </c>
      <c r="AE17" s="83">
        <v>0</v>
      </c>
      <c r="AF17" s="83">
        <v>0</v>
      </c>
      <c r="AG17" s="83">
        <v>0</v>
      </c>
      <c r="AH17" s="83">
        <v>0</v>
      </c>
      <c r="AI17" s="83">
        <v>0</v>
      </c>
      <c r="AJ17" s="83">
        <v>0</v>
      </c>
      <c r="AK17" s="83">
        <v>0</v>
      </c>
      <c r="AL17" s="83">
        <v>0</v>
      </c>
      <c r="AM17" s="83">
        <v>0</v>
      </c>
      <c r="AN17" s="83">
        <v>0</v>
      </c>
      <c r="AO17" s="83">
        <v>0</v>
      </c>
      <c r="AP17" s="83">
        <v>0</v>
      </c>
      <c r="AQ17" s="84">
        <v>0</v>
      </c>
      <c r="AR17" s="200">
        <v>0</v>
      </c>
      <c r="AS17" s="200">
        <v>0</v>
      </c>
      <c r="AT17" s="66">
        <v>0</v>
      </c>
      <c r="AU17" s="83">
        <v>0</v>
      </c>
      <c r="AV17" s="83">
        <v>0</v>
      </c>
      <c r="AW17" s="75">
        <v>0</v>
      </c>
      <c r="AX17" s="83">
        <v>0</v>
      </c>
      <c r="AY17" s="66">
        <v>0</v>
      </c>
      <c r="AZ17" s="83">
        <v>0</v>
      </c>
      <c r="BA17" s="83">
        <v>0</v>
      </c>
      <c r="BB17" s="83">
        <v>0</v>
      </c>
      <c r="BC17" s="83">
        <v>0</v>
      </c>
      <c r="BD17" s="83">
        <v>0</v>
      </c>
      <c r="BE17" s="83">
        <v>0</v>
      </c>
      <c r="BF17" s="83">
        <v>0</v>
      </c>
      <c r="BG17" s="66">
        <v>0</v>
      </c>
      <c r="BH17" s="67">
        <v>0</v>
      </c>
      <c r="BI17" s="67">
        <v>17474.823529411762</v>
      </c>
      <c r="FE17" s="39">
        <v>40190</v>
      </c>
      <c r="FF17" s="39">
        <v>0</v>
      </c>
      <c r="FG17" s="39">
        <v>0</v>
      </c>
      <c r="FH17" s="39">
        <v>0</v>
      </c>
      <c r="FI17" s="39">
        <v>0</v>
      </c>
      <c r="FJ17" s="39" t="e">
        <v>#REF!</v>
      </c>
      <c r="FK17" s="39" t="e">
        <v>#REF!</v>
      </c>
      <c r="FL17" s="39">
        <v>0</v>
      </c>
      <c r="FM17" s="39">
        <v>0</v>
      </c>
      <c r="FN17" s="39" t="e">
        <v>#REF!</v>
      </c>
      <c r="FO17" s="39">
        <v>0</v>
      </c>
      <c r="FP17" s="39" t="e">
        <v>#REF!</v>
      </c>
      <c r="FR17" s="39" t="e">
        <v>#REF!</v>
      </c>
    </row>
    <row r="18" spans="1:174" x14ac:dyDescent="0.25">
      <c r="A18" s="142">
        <v>0</v>
      </c>
      <c r="B18" s="81">
        <v>40191</v>
      </c>
      <c r="C18" s="198">
        <v>40191</v>
      </c>
      <c r="D18" s="69">
        <v>39463</v>
      </c>
      <c r="E18" s="70">
        <v>40191</v>
      </c>
      <c r="F18" s="71">
        <v>2</v>
      </c>
      <c r="G18" s="72"/>
      <c r="H18" s="82"/>
      <c r="I18" s="210"/>
      <c r="J18" s="210"/>
      <c r="K18" s="83">
        <v>0</v>
      </c>
      <c r="L18" s="83">
        <v>0</v>
      </c>
      <c r="M18" s="83">
        <v>0</v>
      </c>
      <c r="N18" s="83">
        <v>0</v>
      </c>
      <c r="O18" s="83">
        <v>0</v>
      </c>
      <c r="P18" s="83">
        <v>0</v>
      </c>
      <c r="Q18" s="83">
        <v>0</v>
      </c>
      <c r="R18" s="83">
        <v>0</v>
      </c>
      <c r="S18" s="83">
        <v>0</v>
      </c>
      <c r="T18" s="83">
        <v>0</v>
      </c>
      <c r="U18" s="83">
        <v>0</v>
      </c>
      <c r="V18" s="83">
        <v>0</v>
      </c>
      <c r="W18" s="83">
        <v>0</v>
      </c>
      <c r="X18" s="83">
        <v>0</v>
      </c>
      <c r="Y18" s="83">
        <v>0</v>
      </c>
      <c r="Z18" s="83">
        <v>0</v>
      </c>
      <c r="AA18" s="83">
        <v>0</v>
      </c>
      <c r="AB18" s="83">
        <v>0</v>
      </c>
      <c r="AC18" s="83">
        <v>0</v>
      </c>
      <c r="AD18" s="83">
        <v>0</v>
      </c>
      <c r="AE18" s="83">
        <v>0</v>
      </c>
      <c r="AF18" s="83">
        <v>0</v>
      </c>
      <c r="AG18" s="83">
        <v>0</v>
      </c>
      <c r="AH18" s="83">
        <v>0</v>
      </c>
      <c r="AI18" s="83">
        <v>0</v>
      </c>
      <c r="AJ18" s="83">
        <v>0</v>
      </c>
      <c r="AK18" s="83">
        <v>0</v>
      </c>
      <c r="AL18" s="83">
        <v>0</v>
      </c>
      <c r="AM18" s="83">
        <v>0</v>
      </c>
      <c r="AN18" s="83">
        <v>0</v>
      </c>
      <c r="AO18" s="83">
        <v>0</v>
      </c>
      <c r="AP18" s="83">
        <v>0</v>
      </c>
      <c r="AQ18" s="84">
        <v>0</v>
      </c>
      <c r="AR18" s="200">
        <v>0</v>
      </c>
      <c r="AS18" s="200">
        <v>0</v>
      </c>
      <c r="AT18" s="66">
        <v>0</v>
      </c>
      <c r="AU18" s="83">
        <v>0</v>
      </c>
      <c r="AV18" s="83">
        <v>0</v>
      </c>
      <c r="AW18" s="75">
        <v>0</v>
      </c>
      <c r="AX18" s="83">
        <v>0</v>
      </c>
      <c r="AY18" s="66">
        <v>0</v>
      </c>
      <c r="AZ18" s="83">
        <v>0</v>
      </c>
      <c r="BA18" s="83">
        <v>0</v>
      </c>
      <c r="BB18" s="83">
        <v>0</v>
      </c>
      <c r="BC18" s="83">
        <v>0</v>
      </c>
      <c r="BD18" s="83">
        <v>0</v>
      </c>
      <c r="BE18" s="83">
        <v>0</v>
      </c>
      <c r="BF18" s="83">
        <v>0</v>
      </c>
      <c r="BG18" s="66">
        <v>0</v>
      </c>
      <c r="BH18" s="67">
        <v>0</v>
      </c>
      <c r="BI18" s="67">
        <v>17474.823529411762</v>
      </c>
      <c r="FE18" s="39">
        <v>40191</v>
      </c>
      <c r="FF18" s="39">
        <v>0</v>
      </c>
      <c r="FG18" s="39">
        <v>0</v>
      </c>
      <c r="FH18" s="39">
        <v>0</v>
      </c>
      <c r="FI18" s="39">
        <v>0</v>
      </c>
      <c r="FJ18" s="39" t="e">
        <v>#REF!</v>
      </c>
      <c r="FK18" s="39" t="e">
        <v>#REF!</v>
      </c>
      <c r="FL18" s="39">
        <v>0</v>
      </c>
      <c r="FM18" s="39">
        <v>0</v>
      </c>
      <c r="FN18" s="39" t="e">
        <v>#REF!</v>
      </c>
      <c r="FO18" s="39">
        <v>0</v>
      </c>
      <c r="FP18" s="39" t="e">
        <v>#REF!</v>
      </c>
      <c r="FR18" s="39" t="e">
        <v>#REF!</v>
      </c>
    </row>
    <row r="19" spans="1:174" x14ac:dyDescent="0.25">
      <c r="A19" s="142">
        <v>0</v>
      </c>
      <c r="B19" s="81">
        <v>40192</v>
      </c>
      <c r="C19" s="198">
        <v>40192</v>
      </c>
      <c r="D19" s="69">
        <v>39464</v>
      </c>
      <c r="E19" s="70">
        <v>40192</v>
      </c>
      <c r="F19" s="71">
        <v>2</v>
      </c>
      <c r="G19" s="72"/>
      <c r="H19" s="82"/>
      <c r="I19" s="210"/>
      <c r="J19" s="210"/>
      <c r="K19" s="83">
        <v>0</v>
      </c>
      <c r="L19" s="83">
        <v>0</v>
      </c>
      <c r="M19" s="83">
        <v>0</v>
      </c>
      <c r="N19" s="83">
        <v>0</v>
      </c>
      <c r="O19" s="83">
        <v>0</v>
      </c>
      <c r="P19" s="83">
        <v>0</v>
      </c>
      <c r="Q19" s="83">
        <v>0</v>
      </c>
      <c r="R19" s="83">
        <v>0</v>
      </c>
      <c r="S19" s="83">
        <v>0</v>
      </c>
      <c r="T19" s="83">
        <v>0</v>
      </c>
      <c r="U19" s="83">
        <v>0</v>
      </c>
      <c r="V19" s="83">
        <v>0</v>
      </c>
      <c r="W19" s="83">
        <v>0</v>
      </c>
      <c r="X19" s="83">
        <v>0</v>
      </c>
      <c r="Y19" s="83">
        <v>0</v>
      </c>
      <c r="Z19" s="83">
        <v>0</v>
      </c>
      <c r="AA19" s="83">
        <v>0</v>
      </c>
      <c r="AB19" s="83">
        <v>0</v>
      </c>
      <c r="AC19" s="83">
        <v>0</v>
      </c>
      <c r="AD19" s="83">
        <v>0</v>
      </c>
      <c r="AE19" s="83">
        <v>0</v>
      </c>
      <c r="AF19" s="83">
        <v>0</v>
      </c>
      <c r="AG19" s="83">
        <v>0</v>
      </c>
      <c r="AH19" s="83">
        <v>0</v>
      </c>
      <c r="AI19" s="83">
        <v>0</v>
      </c>
      <c r="AJ19" s="83">
        <v>0</v>
      </c>
      <c r="AK19" s="83">
        <v>0</v>
      </c>
      <c r="AL19" s="83">
        <v>0</v>
      </c>
      <c r="AM19" s="83">
        <v>0</v>
      </c>
      <c r="AN19" s="83">
        <v>0</v>
      </c>
      <c r="AO19" s="83">
        <v>0</v>
      </c>
      <c r="AP19" s="83">
        <v>0</v>
      </c>
      <c r="AQ19" s="84">
        <v>0</v>
      </c>
      <c r="AR19" s="200">
        <v>0</v>
      </c>
      <c r="AS19" s="200">
        <v>0</v>
      </c>
      <c r="AT19" s="66">
        <v>0</v>
      </c>
      <c r="AU19" s="83">
        <v>0</v>
      </c>
      <c r="AV19" s="83">
        <v>0</v>
      </c>
      <c r="AW19" s="75">
        <v>322.8235294117647</v>
      </c>
      <c r="AX19" s="83">
        <v>0</v>
      </c>
      <c r="AY19" s="66">
        <v>322.8235294117647</v>
      </c>
      <c r="AZ19" s="83">
        <v>0</v>
      </c>
      <c r="BA19" s="83">
        <v>0</v>
      </c>
      <c r="BB19" s="83">
        <v>0</v>
      </c>
      <c r="BC19" s="83">
        <v>0</v>
      </c>
      <c r="BD19" s="83">
        <v>0</v>
      </c>
      <c r="BE19" s="83">
        <v>0</v>
      </c>
      <c r="BF19" s="83">
        <v>0</v>
      </c>
      <c r="BG19" s="66">
        <v>0</v>
      </c>
      <c r="BH19" s="67">
        <v>322.8235294117647</v>
      </c>
      <c r="BI19" s="67">
        <v>17797.647058823528</v>
      </c>
      <c r="FE19" s="39">
        <v>40192</v>
      </c>
      <c r="FF19" s="39">
        <v>0</v>
      </c>
      <c r="FG19" s="39">
        <v>0</v>
      </c>
      <c r="FH19" s="39">
        <v>0</v>
      </c>
      <c r="FI19" s="39">
        <v>0</v>
      </c>
      <c r="FJ19" s="39" t="e">
        <v>#REF!</v>
      </c>
      <c r="FK19" s="39" t="e">
        <v>#REF!</v>
      </c>
      <c r="FL19" s="39">
        <v>0</v>
      </c>
      <c r="FM19" s="39">
        <v>0</v>
      </c>
      <c r="FN19" s="39" t="e">
        <v>#REF!</v>
      </c>
      <c r="FO19" s="39">
        <v>0</v>
      </c>
      <c r="FP19" s="39" t="e">
        <v>#REF!</v>
      </c>
      <c r="FR19" s="39" t="e">
        <v>#REF!</v>
      </c>
    </row>
    <row r="20" spans="1:174" x14ac:dyDescent="0.25">
      <c r="A20" s="142">
        <v>0</v>
      </c>
      <c r="B20" s="81">
        <v>40193</v>
      </c>
      <c r="C20" s="198">
        <v>40193</v>
      </c>
      <c r="D20" s="69">
        <v>39465</v>
      </c>
      <c r="E20" s="70">
        <v>40193</v>
      </c>
      <c r="F20" s="71">
        <v>2</v>
      </c>
      <c r="G20" s="72"/>
      <c r="H20" s="82"/>
      <c r="I20" s="210"/>
      <c r="J20" s="210"/>
      <c r="K20" s="83">
        <v>0</v>
      </c>
      <c r="L20" s="83">
        <v>0</v>
      </c>
      <c r="M20" s="83">
        <v>0</v>
      </c>
      <c r="N20" s="83">
        <v>0</v>
      </c>
      <c r="O20" s="83">
        <v>0</v>
      </c>
      <c r="P20" s="83">
        <v>0</v>
      </c>
      <c r="Q20" s="83">
        <v>0</v>
      </c>
      <c r="R20" s="83">
        <v>0</v>
      </c>
      <c r="S20" s="83">
        <v>0</v>
      </c>
      <c r="T20" s="83">
        <v>0</v>
      </c>
      <c r="U20" s="83">
        <v>0</v>
      </c>
      <c r="V20" s="83">
        <v>0</v>
      </c>
      <c r="W20" s="83">
        <v>0</v>
      </c>
      <c r="X20" s="83">
        <v>0</v>
      </c>
      <c r="Y20" s="83">
        <v>0</v>
      </c>
      <c r="Z20" s="83">
        <v>0</v>
      </c>
      <c r="AA20" s="83">
        <v>0</v>
      </c>
      <c r="AB20" s="83">
        <v>0</v>
      </c>
      <c r="AC20" s="83">
        <v>0</v>
      </c>
      <c r="AD20" s="83">
        <v>0</v>
      </c>
      <c r="AE20" s="83">
        <v>0</v>
      </c>
      <c r="AF20" s="83">
        <v>0</v>
      </c>
      <c r="AG20" s="83">
        <v>0</v>
      </c>
      <c r="AH20" s="83">
        <v>0</v>
      </c>
      <c r="AI20" s="83">
        <v>0</v>
      </c>
      <c r="AJ20" s="83">
        <v>0</v>
      </c>
      <c r="AK20" s="83">
        <v>0</v>
      </c>
      <c r="AL20" s="83">
        <v>0</v>
      </c>
      <c r="AM20" s="83">
        <v>0</v>
      </c>
      <c r="AN20" s="83">
        <v>0</v>
      </c>
      <c r="AO20" s="83">
        <v>0</v>
      </c>
      <c r="AP20" s="83">
        <v>0</v>
      </c>
      <c r="AQ20" s="84">
        <v>0</v>
      </c>
      <c r="AR20" s="200">
        <v>0</v>
      </c>
      <c r="AS20" s="200">
        <v>0</v>
      </c>
      <c r="AT20" s="66">
        <v>0</v>
      </c>
      <c r="AU20" s="83">
        <v>0</v>
      </c>
      <c r="AV20" s="83">
        <v>0</v>
      </c>
      <c r="AW20" s="75">
        <v>59.294117647058826</v>
      </c>
      <c r="AX20" s="83">
        <v>0</v>
      </c>
      <c r="AY20" s="66">
        <v>59.294117647058826</v>
      </c>
      <c r="AZ20" s="83">
        <v>0</v>
      </c>
      <c r="BA20" s="83">
        <v>0</v>
      </c>
      <c r="BB20" s="83">
        <v>0</v>
      </c>
      <c r="BC20" s="83">
        <v>0</v>
      </c>
      <c r="BD20" s="83">
        <v>0</v>
      </c>
      <c r="BE20" s="83">
        <v>0</v>
      </c>
      <c r="BF20" s="83">
        <v>0</v>
      </c>
      <c r="BG20" s="66">
        <v>0</v>
      </c>
      <c r="BH20" s="67">
        <v>59.294117647058826</v>
      </c>
      <c r="BI20" s="67">
        <v>17856.941176470587</v>
      </c>
      <c r="FE20" s="39">
        <v>40193</v>
      </c>
      <c r="FF20" s="39">
        <v>0</v>
      </c>
      <c r="FG20" s="39">
        <v>0</v>
      </c>
      <c r="FH20" s="39">
        <v>0</v>
      </c>
      <c r="FI20" s="39">
        <v>0</v>
      </c>
      <c r="FJ20" s="39" t="e">
        <v>#REF!</v>
      </c>
      <c r="FK20" s="39" t="e">
        <v>#REF!</v>
      </c>
      <c r="FL20" s="39">
        <v>0</v>
      </c>
      <c r="FM20" s="39">
        <v>0</v>
      </c>
      <c r="FN20" s="39" t="e">
        <v>#REF!</v>
      </c>
      <c r="FO20" s="39">
        <v>0</v>
      </c>
      <c r="FP20" s="39" t="e">
        <v>#REF!</v>
      </c>
      <c r="FR20" s="39" t="e">
        <v>#REF!</v>
      </c>
    </row>
    <row r="21" spans="1:174" x14ac:dyDescent="0.25">
      <c r="A21" s="142">
        <v>0</v>
      </c>
      <c r="B21" s="211">
        <v>40194</v>
      </c>
      <c r="C21" s="203">
        <v>40194</v>
      </c>
      <c r="D21" s="76">
        <v>39466</v>
      </c>
      <c r="E21" s="77">
        <v>40194</v>
      </c>
      <c r="F21" s="78">
        <v>2</v>
      </c>
      <c r="G21" s="79"/>
      <c r="H21" s="80"/>
      <c r="I21" s="212"/>
      <c r="J21" s="212"/>
      <c r="K21" s="213">
        <v>0</v>
      </c>
      <c r="L21" s="213">
        <v>0</v>
      </c>
      <c r="M21" s="213">
        <v>0</v>
      </c>
      <c r="N21" s="213">
        <v>0</v>
      </c>
      <c r="O21" s="213">
        <v>0</v>
      </c>
      <c r="P21" s="213">
        <v>0</v>
      </c>
      <c r="Q21" s="213">
        <v>0</v>
      </c>
      <c r="R21" s="213">
        <v>0</v>
      </c>
      <c r="S21" s="213">
        <v>0</v>
      </c>
      <c r="T21" s="213">
        <v>0</v>
      </c>
      <c r="U21" s="213">
        <v>0</v>
      </c>
      <c r="V21" s="213">
        <v>0</v>
      </c>
      <c r="W21" s="213">
        <v>0</v>
      </c>
      <c r="X21" s="213">
        <v>0</v>
      </c>
      <c r="Y21" s="213">
        <v>0</v>
      </c>
      <c r="Z21" s="213">
        <v>0</v>
      </c>
      <c r="AA21" s="213">
        <v>0</v>
      </c>
      <c r="AB21" s="213">
        <v>0</v>
      </c>
      <c r="AC21" s="213">
        <v>0</v>
      </c>
      <c r="AD21" s="213">
        <v>0</v>
      </c>
      <c r="AE21" s="213">
        <v>0</v>
      </c>
      <c r="AF21" s="213">
        <v>0</v>
      </c>
      <c r="AG21" s="213">
        <v>0</v>
      </c>
      <c r="AH21" s="213">
        <v>0</v>
      </c>
      <c r="AI21" s="213">
        <v>0</v>
      </c>
      <c r="AJ21" s="213">
        <v>0</v>
      </c>
      <c r="AK21" s="213">
        <v>0</v>
      </c>
      <c r="AL21" s="213">
        <v>0</v>
      </c>
      <c r="AM21" s="213">
        <v>0</v>
      </c>
      <c r="AN21" s="213">
        <v>0</v>
      </c>
      <c r="AO21" s="213">
        <v>0</v>
      </c>
      <c r="AP21" s="213">
        <v>0</v>
      </c>
      <c r="AQ21" s="214">
        <v>0</v>
      </c>
      <c r="AR21" s="200">
        <v>0</v>
      </c>
      <c r="AS21" s="200">
        <v>0</v>
      </c>
      <c r="AT21" s="66">
        <v>0</v>
      </c>
      <c r="AU21" s="213">
        <v>0</v>
      </c>
      <c r="AV21" s="213">
        <v>0</v>
      </c>
      <c r="AW21" s="75">
        <v>0</v>
      </c>
      <c r="AX21" s="213">
        <v>0</v>
      </c>
      <c r="AY21" s="66">
        <v>0</v>
      </c>
      <c r="AZ21" s="213">
        <v>0</v>
      </c>
      <c r="BA21" s="213">
        <v>0</v>
      </c>
      <c r="BB21" s="213">
        <v>0</v>
      </c>
      <c r="BC21" s="213">
        <v>0</v>
      </c>
      <c r="BD21" s="213">
        <v>0</v>
      </c>
      <c r="BE21" s="213">
        <v>0</v>
      </c>
      <c r="BF21" s="213">
        <v>0</v>
      </c>
      <c r="BG21" s="209">
        <v>0</v>
      </c>
      <c r="BH21" s="67">
        <v>0</v>
      </c>
      <c r="BI21" s="67">
        <v>17856.941176470587</v>
      </c>
      <c r="FE21" s="39">
        <v>40194</v>
      </c>
      <c r="FF21" s="39">
        <v>0</v>
      </c>
      <c r="FG21" s="39">
        <v>0</v>
      </c>
      <c r="FH21" s="39">
        <v>0</v>
      </c>
      <c r="FI21" s="39">
        <v>0</v>
      </c>
      <c r="FJ21" s="39" t="e">
        <v>#REF!</v>
      </c>
      <c r="FK21" s="39" t="e">
        <v>#REF!</v>
      </c>
      <c r="FL21" s="39">
        <v>0</v>
      </c>
      <c r="FM21" s="39">
        <v>0</v>
      </c>
      <c r="FN21" s="39" t="e">
        <v>#REF!</v>
      </c>
      <c r="FO21" s="39">
        <v>0</v>
      </c>
      <c r="FP21" s="39" t="e">
        <v>#REF!</v>
      </c>
      <c r="FR21" s="39" t="e">
        <v>#REF!</v>
      </c>
    </row>
    <row r="22" spans="1:174" x14ac:dyDescent="0.25">
      <c r="A22" s="142">
        <v>0</v>
      </c>
      <c r="B22" s="211">
        <v>40195</v>
      </c>
      <c r="C22" s="203">
        <v>40195</v>
      </c>
      <c r="D22" s="76">
        <v>39467</v>
      </c>
      <c r="E22" s="77">
        <v>40195</v>
      </c>
      <c r="F22" s="78">
        <v>2</v>
      </c>
      <c r="G22" s="79"/>
      <c r="H22" s="80"/>
      <c r="I22" s="212"/>
      <c r="J22" s="212"/>
      <c r="K22" s="213">
        <v>0</v>
      </c>
      <c r="L22" s="213">
        <v>0</v>
      </c>
      <c r="M22" s="213">
        <v>0</v>
      </c>
      <c r="N22" s="213">
        <v>0</v>
      </c>
      <c r="O22" s="213">
        <v>0</v>
      </c>
      <c r="P22" s="213">
        <v>0</v>
      </c>
      <c r="Q22" s="213">
        <v>0</v>
      </c>
      <c r="R22" s="213">
        <v>0</v>
      </c>
      <c r="S22" s="213">
        <v>0</v>
      </c>
      <c r="T22" s="213">
        <v>0</v>
      </c>
      <c r="U22" s="213">
        <v>0</v>
      </c>
      <c r="V22" s="213">
        <v>0</v>
      </c>
      <c r="W22" s="213">
        <v>0</v>
      </c>
      <c r="X22" s="213">
        <v>0</v>
      </c>
      <c r="Y22" s="213">
        <v>0</v>
      </c>
      <c r="Z22" s="213">
        <v>0</v>
      </c>
      <c r="AA22" s="213">
        <v>0</v>
      </c>
      <c r="AB22" s="213">
        <v>0</v>
      </c>
      <c r="AC22" s="213">
        <v>0</v>
      </c>
      <c r="AD22" s="213">
        <v>0</v>
      </c>
      <c r="AE22" s="213">
        <v>0</v>
      </c>
      <c r="AF22" s="213">
        <v>0</v>
      </c>
      <c r="AG22" s="213">
        <v>0</v>
      </c>
      <c r="AH22" s="213">
        <v>0</v>
      </c>
      <c r="AI22" s="213">
        <v>0</v>
      </c>
      <c r="AJ22" s="213">
        <v>0</v>
      </c>
      <c r="AK22" s="213">
        <v>0</v>
      </c>
      <c r="AL22" s="213">
        <v>0</v>
      </c>
      <c r="AM22" s="213">
        <v>0</v>
      </c>
      <c r="AN22" s="213">
        <v>0</v>
      </c>
      <c r="AO22" s="213">
        <v>0</v>
      </c>
      <c r="AP22" s="213">
        <v>0</v>
      </c>
      <c r="AQ22" s="214">
        <v>0</v>
      </c>
      <c r="AR22" s="200">
        <v>0</v>
      </c>
      <c r="AS22" s="200">
        <v>0</v>
      </c>
      <c r="AT22" s="66">
        <v>0</v>
      </c>
      <c r="AU22" s="213">
        <v>0</v>
      </c>
      <c r="AV22" s="213">
        <v>0</v>
      </c>
      <c r="AW22" s="75">
        <v>0</v>
      </c>
      <c r="AX22" s="213">
        <v>0</v>
      </c>
      <c r="AY22" s="66">
        <v>0</v>
      </c>
      <c r="AZ22" s="213">
        <v>0</v>
      </c>
      <c r="BA22" s="213">
        <v>0</v>
      </c>
      <c r="BB22" s="213">
        <v>0</v>
      </c>
      <c r="BC22" s="213">
        <v>0</v>
      </c>
      <c r="BD22" s="213">
        <v>0</v>
      </c>
      <c r="BE22" s="213">
        <v>0</v>
      </c>
      <c r="BF22" s="213">
        <v>0</v>
      </c>
      <c r="BG22" s="209">
        <v>0</v>
      </c>
      <c r="BH22" s="67">
        <v>0</v>
      </c>
      <c r="BI22" s="67">
        <v>17856.941176470587</v>
      </c>
      <c r="FE22" s="39">
        <v>40195</v>
      </c>
      <c r="FF22" s="39">
        <v>0</v>
      </c>
      <c r="FG22" s="39">
        <v>0</v>
      </c>
      <c r="FH22" s="39">
        <v>0</v>
      </c>
      <c r="FI22" s="39">
        <v>0</v>
      </c>
      <c r="FJ22" s="39" t="e">
        <v>#REF!</v>
      </c>
      <c r="FK22" s="39" t="e">
        <v>#REF!</v>
      </c>
      <c r="FL22" s="39">
        <v>0</v>
      </c>
      <c r="FM22" s="39">
        <v>0</v>
      </c>
      <c r="FN22" s="39" t="e">
        <v>#REF!</v>
      </c>
      <c r="FO22" s="39">
        <v>0</v>
      </c>
      <c r="FP22" s="39" t="e">
        <v>#REF!</v>
      </c>
      <c r="FR22" s="39" t="e">
        <v>#REF!</v>
      </c>
    </row>
    <row r="23" spans="1:174" x14ac:dyDescent="0.25">
      <c r="A23" s="142">
        <v>0</v>
      </c>
      <c r="B23" s="81">
        <v>40196</v>
      </c>
      <c r="C23" s="198">
        <v>40196</v>
      </c>
      <c r="D23" s="69">
        <v>39468</v>
      </c>
      <c r="E23" s="70">
        <v>40196</v>
      </c>
      <c r="F23" s="71">
        <v>3</v>
      </c>
      <c r="G23" s="72"/>
      <c r="H23" s="82"/>
      <c r="I23" s="210"/>
      <c r="J23" s="210"/>
      <c r="K23" s="83">
        <v>0</v>
      </c>
      <c r="L23" s="83">
        <v>0</v>
      </c>
      <c r="M23" s="83">
        <v>0</v>
      </c>
      <c r="N23" s="83">
        <v>0</v>
      </c>
      <c r="O23" s="83">
        <v>0</v>
      </c>
      <c r="P23" s="83">
        <v>0</v>
      </c>
      <c r="Q23" s="83">
        <v>0</v>
      </c>
      <c r="R23" s="83">
        <v>0</v>
      </c>
      <c r="S23" s="83">
        <v>0</v>
      </c>
      <c r="T23" s="83">
        <v>0</v>
      </c>
      <c r="U23" s="83">
        <v>0</v>
      </c>
      <c r="V23" s="83">
        <v>0</v>
      </c>
      <c r="W23" s="83">
        <v>0</v>
      </c>
      <c r="X23" s="83">
        <v>0</v>
      </c>
      <c r="Y23" s="83">
        <v>0</v>
      </c>
      <c r="Z23" s="83">
        <v>0</v>
      </c>
      <c r="AA23" s="83">
        <v>0</v>
      </c>
      <c r="AB23" s="83">
        <v>0</v>
      </c>
      <c r="AC23" s="83">
        <v>0</v>
      </c>
      <c r="AD23" s="83">
        <v>0</v>
      </c>
      <c r="AE23" s="83">
        <v>0</v>
      </c>
      <c r="AF23" s="83">
        <v>0</v>
      </c>
      <c r="AG23" s="83">
        <v>0</v>
      </c>
      <c r="AH23" s="83">
        <v>0</v>
      </c>
      <c r="AI23" s="83">
        <v>0</v>
      </c>
      <c r="AJ23" s="83">
        <v>0</v>
      </c>
      <c r="AK23" s="83">
        <v>0</v>
      </c>
      <c r="AL23" s="83">
        <v>0</v>
      </c>
      <c r="AM23" s="83">
        <v>0</v>
      </c>
      <c r="AN23" s="83">
        <v>0</v>
      </c>
      <c r="AO23" s="83">
        <v>0</v>
      </c>
      <c r="AP23" s="83">
        <v>0</v>
      </c>
      <c r="AQ23" s="84">
        <v>0</v>
      </c>
      <c r="AR23" s="200">
        <v>0</v>
      </c>
      <c r="AS23" s="200">
        <v>0</v>
      </c>
      <c r="AT23" s="66">
        <v>0</v>
      </c>
      <c r="AU23" s="83">
        <v>0</v>
      </c>
      <c r="AV23" s="83">
        <v>0</v>
      </c>
      <c r="AW23" s="75">
        <v>28.235294117647058</v>
      </c>
      <c r="AX23" s="83">
        <v>0</v>
      </c>
      <c r="AY23" s="66">
        <v>28.235294117647058</v>
      </c>
      <c r="AZ23" s="83">
        <v>0</v>
      </c>
      <c r="BA23" s="83">
        <v>0</v>
      </c>
      <c r="BB23" s="83">
        <v>0</v>
      </c>
      <c r="BC23" s="83">
        <v>0</v>
      </c>
      <c r="BD23" s="83">
        <v>0</v>
      </c>
      <c r="BE23" s="83">
        <v>0</v>
      </c>
      <c r="BF23" s="83">
        <v>0</v>
      </c>
      <c r="BG23" s="66">
        <v>0</v>
      </c>
      <c r="BH23" s="67">
        <v>28.235294117647058</v>
      </c>
      <c r="BI23" s="67">
        <v>17885.176470588234</v>
      </c>
      <c r="FE23" s="39">
        <v>40196</v>
      </c>
      <c r="FF23" s="39">
        <v>0</v>
      </c>
      <c r="FG23" s="39">
        <v>0</v>
      </c>
      <c r="FH23" s="39">
        <v>0</v>
      </c>
      <c r="FI23" s="39">
        <v>0</v>
      </c>
      <c r="FJ23" s="39" t="e">
        <v>#REF!</v>
      </c>
      <c r="FK23" s="39" t="e">
        <v>#REF!</v>
      </c>
      <c r="FL23" s="39">
        <v>0</v>
      </c>
      <c r="FM23" s="39">
        <v>0</v>
      </c>
      <c r="FN23" s="39" t="e">
        <v>#REF!</v>
      </c>
      <c r="FO23" s="39">
        <v>0</v>
      </c>
      <c r="FP23" s="39" t="e">
        <v>#REF!</v>
      </c>
      <c r="FR23" s="39" t="e">
        <v>#REF!</v>
      </c>
    </row>
    <row r="24" spans="1:174" x14ac:dyDescent="0.25">
      <c r="A24" s="142">
        <v>0</v>
      </c>
      <c r="B24" s="81">
        <v>40197</v>
      </c>
      <c r="C24" s="198">
        <v>40197</v>
      </c>
      <c r="D24" s="69">
        <v>39469</v>
      </c>
      <c r="E24" s="70">
        <v>40197</v>
      </c>
      <c r="F24" s="71">
        <v>3</v>
      </c>
      <c r="G24" s="72"/>
      <c r="H24" s="82"/>
      <c r="I24" s="210"/>
      <c r="J24" s="210"/>
      <c r="K24" s="83">
        <v>0</v>
      </c>
      <c r="L24" s="83">
        <v>0</v>
      </c>
      <c r="M24" s="83">
        <v>0</v>
      </c>
      <c r="N24" s="83">
        <v>0</v>
      </c>
      <c r="O24" s="83">
        <v>0</v>
      </c>
      <c r="P24" s="83">
        <v>0</v>
      </c>
      <c r="Q24" s="83">
        <v>0</v>
      </c>
      <c r="R24" s="83">
        <v>0</v>
      </c>
      <c r="S24" s="83">
        <v>0</v>
      </c>
      <c r="T24" s="83">
        <v>0</v>
      </c>
      <c r="U24" s="83">
        <v>0</v>
      </c>
      <c r="V24" s="83">
        <v>0</v>
      </c>
      <c r="W24" s="83">
        <v>0</v>
      </c>
      <c r="X24" s="83">
        <v>0</v>
      </c>
      <c r="Y24" s="83">
        <v>0</v>
      </c>
      <c r="Z24" s="83">
        <v>0</v>
      </c>
      <c r="AA24" s="83">
        <v>0</v>
      </c>
      <c r="AB24" s="83">
        <v>0</v>
      </c>
      <c r="AC24" s="83">
        <v>0</v>
      </c>
      <c r="AD24" s="83">
        <v>0</v>
      </c>
      <c r="AE24" s="83">
        <v>0</v>
      </c>
      <c r="AF24" s="83">
        <v>0</v>
      </c>
      <c r="AG24" s="83">
        <v>0</v>
      </c>
      <c r="AH24" s="83">
        <v>0</v>
      </c>
      <c r="AI24" s="83">
        <v>0</v>
      </c>
      <c r="AJ24" s="83">
        <v>0</v>
      </c>
      <c r="AK24" s="83">
        <v>0</v>
      </c>
      <c r="AL24" s="83">
        <v>0</v>
      </c>
      <c r="AM24" s="83">
        <v>0</v>
      </c>
      <c r="AN24" s="83">
        <v>0</v>
      </c>
      <c r="AO24" s="83">
        <v>0</v>
      </c>
      <c r="AP24" s="83">
        <v>0</v>
      </c>
      <c r="AQ24" s="84">
        <v>0</v>
      </c>
      <c r="AR24" s="200">
        <v>0</v>
      </c>
      <c r="AS24" s="200">
        <v>0</v>
      </c>
      <c r="AT24" s="66">
        <v>0</v>
      </c>
      <c r="AU24" s="83">
        <v>0</v>
      </c>
      <c r="AV24" s="83">
        <v>0</v>
      </c>
      <c r="AW24" s="75">
        <v>0</v>
      </c>
      <c r="AX24" s="83">
        <v>0</v>
      </c>
      <c r="AY24" s="66">
        <v>0</v>
      </c>
      <c r="AZ24" s="83">
        <v>0</v>
      </c>
      <c r="BA24" s="83">
        <v>0</v>
      </c>
      <c r="BB24" s="83">
        <v>0</v>
      </c>
      <c r="BC24" s="83">
        <v>0</v>
      </c>
      <c r="BD24" s="83">
        <v>0</v>
      </c>
      <c r="BE24" s="83">
        <v>0</v>
      </c>
      <c r="BF24" s="83">
        <v>0</v>
      </c>
      <c r="BG24" s="66">
        <v>0</v>
      </c>
      <c r="BH24" s="67">
        <v>0</v>
      </c>
      <c r="BI24" s="67">
        <v>17885.176470588234</v>
      </c>
      <c r="FE24" s="39">
        <v>40197</v>
      </c>
      <c r="FF24" s="39">
        <v>0</v>
      </c>
      <c r="FG24" s="39">
        <v>0</v>
      </c>
      <c r="FH24" s="39">
        <v>0</v>
      </c>
      <c r="FI24" s="39">
        <v>0</v>
      </c>
      <c r="FJ24" s="39" t="e">
        <v>#REF!</v>
      </c>
      <c r="FK24" s="39" t="e">
        <v>#REF!</v>
      </c>
      <c r="FL24" s="39">
        <v>0</v>
      </c>
      <c r="FM24" s="39">
        <v>0</v>
      </c>
      <c r="FN24" s="39" t="e">
        <v>#REF!</v>
      </c>
      <c r="FO24" s="39">
        <v>0</v>
      </c>
      <c r="FP24" s="39" t="e">
        <v>#REF!</v>
      </c>
      <c r="FR24" s="39" t="e">
        <v>#REF!</v>
      </c>
    </row>
    <row r="25" spans="1:174" x14ac:dyDescent="0.25">
      <c r="A25" s="142">
        <v>0</v>
      </c>
      <c r="B25" s="81">
        <v>40198</v>
      </c>
      <c r="C25" s="198">
        <v>40198</v>
      </c>
      <c r="D25" s="69">
        <v>39470</v>
      </c>
      <c r="E25" s="70">
        <v>40198</v>
      </c>
      <c r="F25" s="71">
        <v>3</v>
      </c>
      <c r="G25" s="72"/>
      <c r="H25" s="82"/>
      <c r="I25" s="210"/>
      <c r="J25" s="210"/>
      <c r="K25" s="83">
        <v>0</v>
      </c>
      <c r="L25" s="83">
        <v>0</v>
      </c>
      <c r="M25" s="83">
        <v>0</v>
      </c>
      <c r="N25" s="83">
        <v>0</v>
      </c>
      <c r="O25" s="83">
        <v>0</v>
      </c>
      <c r="P25" s="83">
        <v>0</v>
      </c>
      <c r="Q25" s="83">
        <v>0</v>
      </c>
      <c r="R25" s="83">
        <v>0</v>
      </c>
      <c r="S25" s="83">
        <v>0</v>
      </c>
      <c r="T25" s="83">
        <v>0</v>
      </c>
      <c r="U25" s="83">
        <v>0</v>
      </c>
      <c r="V25" s="83">
        <v>0</v>
      </c>
      <c r="W25" s="83">
        <v>0</v>
      </c>
      <c r="X25" s="83">
        <v>0</v>
      </c>
      <c r="Y25" s="83">
        <v>0</v>
      </c>
      <c r="Z25" s="83">
        <v>0</v>
      </c>
      <c r="AA25" s="83">
        <v>0</v>
      </c>
      <c r="AB25" s="83">
        <v>0</v>
      </c>
      <c r="AC25" s="83">
        <v>0</v>
      </c>
      <c r="AD25" s="83">
        <v>0</v>
      </c>
      <c r="AE25" s="83">
        <v>0</v>
      </c>
      <c r="AF25" s="83">
        <v>0</v>
      </c>
      <c r="AG25" s="83">
        <v>0</v>
      </c>
      <c r="AH25" s="83">
        <v>0</v>
      </c>
      <c r="AI25" s="83">
        <v>0</v>
      </c>
      <c r="AJ25" s="83">
        <v>0</v>
      </c>
      <c r="AK25" s="83">
        <v>0</v>
      </c>
      <c r="AL25" s="83">
        <v>0</v>
      </c>
      <c r="AM25" s="83">
        <v>0</v>
      </c>
      <c r="AN25" s="83">
        <v>0</v>
      </c>
      <c r="AO25" s="83">
        <v>0</v>
      </c>
      <c r="AP25" s="83">
        <v>0</v>
      </c>
      <c r="AQ25" s="84">
        <v>0</v>
      </c>
      <c r="AR25" s="200">
        <v>0</v>
      </c>
      <c r="AS25" s="200">
        <v>0</v>
      </c>
      <c r="AT25" s="66">
        <v>0</v>
      </c>
      <c r="AU25" s="83">
        <v>0</v>
      </c>
      <c r="AV25" s="83">
        <v>0</v>
      </c>
      <c r="AW25" s="75">
        <v>235.29411764705881</v>
      </c>
      <c r="AX25" s="83">
        <v>0</v>
      </c>
      <c r="AY25" s="66">
        <v>235.29411764705881</v>
      </c>
      <c r="AZ25" s="83">
        <v>0</v>
      </c>
      <c r="BA25" s="83">
        <v>0</v>
      </c>
      <c r="BB25" s="83">
        <v>0</v>
      </c>
      <c r="BC25" s="83">
        <v>0</v>
      </c>
      <c r="BD25" s="83">
        <v>0</v>
      </c>
      <c r="BE25" s="83">
        <v>0</v>
      </c>
      <c r="BF25" s="83">
        <v>0</v>
      </c>
      <c r="BG25" s="66">
        <v>0</v>
      </c>
      <c r="BH25" s="67">
        <v>235.29411764705881</v>
      </c>
      <c r="BI25" s="67">
        <v>18120.470588235294</v>
      </c>
      <c r="FE25" s="39">
        <v>40198</v>
      </c>
      <c r="FF25" s="39">
        <v>0</v>
      </c>
      <c r="FG25" s="39">
        <v>0</v>
      </c>
      <c r="FH25" s="39">
        <v>0</v>
      </c>
      <c r="FI25" s="39">
        <v>0</v>
      </c>
      <c r="FJ25" s="39" t="e">
        <v>#REF!</v>
      </c>
      <c r="FK25" s="39" t="e">
        <v>#REF!</v>
      </c>
      <c r="FL25" s="39">
        <v>0</v>
      </c>
      <c r="FM25" s="39">
        <v>0</v>
      </c>
      <c r="FN25" s="39" t="e">
        <v>#REF!</v>
      </c>
      <c r="FO25" s="39">
        <v>0</v>
      </c>
      <c r="FP25" s="39" t="e">
        <v>#REF!</v>
      </c>
      <c r="FR25" s="39" t="e">
        <v>#REF!</v>
      </c>
    </row>
    <row r="26" spans="1:174" x14ac:dyDescent="0.25">
      <c r="A26" s="142">
        <v>0</v>
      </c>
      <c r="B26" s="81">
        <v>40199</v>
      </c>
      <c r="C26" s="198">
        <v>40199</v>
      </c>
      <c r="D26" s="69">
        <v>39471</v>
      </c>
      <c r="E26" s="70">
        <v>40199</v>
      </c>
      <c r="F26" s="71">
        <v>3</v>
      </c>
      <c r="G26" s="72"/>
      <c r="H26" s="82"/>
      <c r="I26" s="210"/>
      <c r="J26" s="210"/>
      <c r="K26" s="83">
        <v>0</v>
      </c>
      <c r="L26" s="83">
        <v>0</v>
      </c>
      <c r="M26" s="83">
        <v>0</v>
      </c>
      <c r="N26" s="83">
        <v>0</v>
      </c>
      <c r="O26" s="83">
        <v>0</v>
      </c>
      <c r="P26" s="83">
        <v>0</v>
      </c>
      <c r="Q26" s="83">
        <v>0</v>
      </c>
      <c r="R26" s="83">
        <v>0</v>
      </c>
      <c r="S26" s="83">
        <v>0</v>
      </c>
      <c r="T26" s="83">
        <v>0</v>
      </c>
      <c r="U26" s="83">
        <v>0</v>
      </c>
      <c r="V26" s="83">
        <v>0</v>
      </c>
      <c r="W26" s="83">
        <v>0</v>
      </c>
      <c r="X26" s="83">
        <v>0</v>
      </c>
      <c r="Y26" s="83">
        <v>0</v>
      </c>
      <c r="Z26" s="83">
        <v>0</v>
      </c>
      <c r="AA26" s="83">
        <v>0</v>
      </c>
      <c r="AB26" s="83">
        <v>0</v>
      </c>
      <c r="AC26" s="83">
        <v>0</v>
      </c>
      <c r="AD26" s="83">
        <v>0</v>
      </c>
      <c r="AE26" s="83">
        <v>0</v>
      </c>
      <c r="AF26" s="83">
        <v>0</v>
      </c>
      <c r="AG26" s="83">
        <v>0</v>
      </c>
      <c r="AH26" s="83">
        <v>0</v>
      </c>
      <c r="AI26" s="83">
        <v>0</v>
      </c>
      <c r="AJ26" s="83">
        <v>0</v>
      </c>
      <c r="AK26" s="83">
        <v>0</v>
      </c>
      <c r="AL26" s="83">
        <v>0</v>
      </c>
      <c r="AM26" s="83">
        <v>0</v>
      </c>
      <c r="AN26" s="83">
        <v>0</v>
      </c>
      <c r="AO26" s="83">
        <v>0</v>
      </c>
      <c r="AP26" s="83">
        <v>0</v>
      </c>
      <c r="AQ26" s="84">
        <v>0</v>
      </c>
      <c r="AR26" s="200">
        <v>0</v>
      </c>
      <c r="AS26" s="200">
        <v>0</v>
      </c>
      <c r="AT26" s="66">
        <v>0</v>
      </c>
      <c r="AU26" s="83">
        <v>0</v>
      </c>
      <c r="AV26" s="83">
        <v>0</v>
      </c>
      <c r="AW26" s="75">
        <v>941.17647058823525</v>
      </c>
      <c r="AX26" s="83">
        <v>0</v>
      </c>
      <c r="AY26" s="66">
        <v>941.17647058823525</v>
      </c>
      <c r="AZ26" s="83">
        <v>0</v>
      </c>
      <c r="BA26" s="83">
        <v>0</v>
      </c>
      <c r="BB26" s="83">
        <v>0</v>
      </c>
      <c r="BC26" s="83">
        <v>0</v>
      </c>
      <c r="BD26" s="83">
        <v>0</v>
      </c>
      <c r="BE26" s="83">
        <v>0</v>
      </c>
      <c r="BF26" s="83">
        <v>0</v>
      </c>
      <c r="BG26" s="66">
        <v>0</v>
      </c>
      <c r="BH26" s="67">
        <v>941.17647058823525</v>
      </c>
      <c r="BI26" s="67">
        <v>19061.647058823528</v>
      </c>
      <c r="FE26" s="39">
        <v>40199</v>
      </c>
      <c r="FF26" s="39">
        <v>0</v>
      </c>
      <c r="FG26" s="39">
        <v>0</v>
      </c>
      <c r="FH26" s="39">
        <v>0</v>
      </c>
      <c r="FI26" s="39">
        <v>0</v>
      </c>
      <c r="FJ26" s="39" t="e">
        <v>#REF!</v>
      </c>
      <c r="FK26" s="39" t="e">
        <v>#REF!</v>
      </c>
      <c r="FL26" s="39">
        <v>0</v>
      </c>
      <c r="FM26" s="39">
        <v>0</v>
      </c>
      <c r="FN26" s="39" t="e">
        <v>#REF!</v>
      </c>
      <c r="FO26" s="39">
        <v>0</v>
      </c>
      <c r="FP26" s="39" t="e">
        <v>#REF!</v>
      </c>
      <c r="FR26" s="39" t="e">
        <v>#REF!</v>
      </c>
    </row>
    <row r="27" spans="1:174" x14ac:dyDescent="0.25">
      <c r="A27" s="142">
        <v>0</v>
      </c>
      <c r="B27" s="81">
        <v>40200</v>
      </c>
      <c r="C27" s="198">
        <v>40200</v>
      </c>
      <c r="D27" s="69">
        <v>39472</v>
      </c>
      <c r="E27" s="70">
        <v>40200</v>
      </c>
      <c r="F27" s="71">
        <v>3</v>
      </c>
      <c r="G27" s="72"/>
      <c r="H27" s="82"/>
      <c r="I27" s="210"/>
      <c r="J27" s="210"/>
      <c r="K27" s="83">
        <v>0</v>
      </c>
      <c r="L27" s="83">
        <v>0</v>
      </c>
      <c r="M27" s="83">
        <v>0</v>
      </c>
      <c r="N27" s="83">
        <v>0</v>
      </c>
      <c r="O27" s="83">
        <v>0</v>
      </c>
      <c r="P27" s="83">
        <v>0</v>
      </c>
      <c r="Q27" s="83">
        <v>0</v>
      </c>
      <c r="R27" s="83">
        <v>0</v>
      </c>
      <c r="S27" s="83">
        <v>0</v>
      </c>
      <c r="T27" s="83">
        <v>0</v>
      </c>
      <c r="U27" s="83">
        <v>0</v>
      </c>
      <c r="V27" s="83">
        <v>0</v>
      </c>
      <c r="W27" s="83">
        <v>0</v>
      </c>
      <c r="X27" s="83">
        <v>0</v>
      </c>
      <c r="Y27" s="83">
        <v>0</v>
      </c>
      <c r="Z27" s="83">
        <v>0</v>
      </c>
      <c r="AA27" s="83">
        <v>0</v>
      </c>
      <c r="AB27" s="83">
        <v>0</v>
      </c>
      <c r="AC27" s="83">
        <v>0</v>
      </c>
      <c r="AD27" s="83">
        <v>0</v>
      </c>
      <c r="AE27" s="83">
        <v>0</v>
      </c>
      <c r="AF27" s="83">
        <v>0</v>
      </c>
      <c r="AG27" s="83">
        <v>0</v>
      </c>
      <c r="AH27" s="83">
        <v>0</v>
      </c>
      <c r="AI27" s="83">
        <v>0</v>
      </c>
      <c r="AJ27" s="83">
        <v>0</v>
      </c>
      <c r="AK27" s="83">
        <v>0</v>
      </c>
      <c r="AL27" s="83">
        <v>0</v>
      </c>
      <c r="AM27" s="83">
        <v>0</v>
      </c>
      <c r="AN27" s="83">
        <v>0</v>
      </c>
      <c r="AO27" s="83">
        <v>0</v>
      </c>
      <c r="AP27" s="83">
        <v>0</v>
      </c>
      <c r="AQ27" s="84">
        <v>0</v>
      </c>
      <c r="AR27" s="200">
        <v>0</v>
      </c>
      <c r="AS27" s="200">
        <v>0</v>
      </c>
      <c r="AT27" s="66">
        <v>0</v>
      </c>
      <c r="AU27" s="83">
        <v>0</v>
      </c>
      <c r="AV27" s="83">
        <v>0</v>
      </c>
      <c r="AW27" s="75">
        <v>94.117647058823536</v>
      </c>
      <c r="AX27" s="83">
        <v>0</v>
      </c>
      <c r="AY27" s="66">
        <v>94.117647058823536</v>
      </c>
      <c r="AZ27" s="83">
        <v>0</v>
      </c>
      <c r="BA27" s="83">
        <v>0</v>
      </c>
      <c r="BB27" s="83">
        <v>0</v>
      </c>
      <c r="BC27" s="83">
        <v>0</v>
      </c>
      <c r="BD27" s="83">
        <v>0</v>
      </c>
      <c r="BE27" s="83">
        <v>0</v>
      </c>
      <c r="BF27" s="83">
        <v>0</v>
      </c>
      <c r="BG27" s="66">
        <v>0</v>
      </c>
      <c r="BH27" s="67">
        <v>94.117647058823536</v>
      </c>
      <c r="BI27" s="67">
        <v>19155.764705882353</v>
      </c>
      <c r="FE27" s="39">
        <v>40200</v>
      </c>
      <c r="FF27" s="39">
        <v>0</v>
      </c>
      <c r="FG27" s="39">
        <v>0</v>
      </c>
      <c r="FH27" s="39">
        <v>0</v>
      </c>
      <c r="FI27" s="39">
        <v>0</v>
      </c>
      <c r="FJ27" s="39" t="e">
        <v>#REF!</v>
      </c>
      <c r="FK27" s="39" t="e">
        <v>#REF!</v>
      </c>
      <c r="FL27" s="39">
        <v>0</v>
      </c>
      <c r="FM27" s="39">
        <v>0</v>
      </c>
      <c r="FN27" s="39" t="e">
        <v>#REF!</v>
      </c>
      <c r="FO27" s="39">
        <v>0</v>
      </c>
      <c r="FP27" s="39" t="e">
        <v>#REF!</v>
      </c>
      <c r="FR27" s="39" t="e">
        <v>#REF!</v>
      </c>
    </row>
    <row r="28" spans="1:174" x14ac:dyDescent="0.25">
      <c r="A28" s="142">
        <v>0</v>
      </c>
      <c r="B28" s="211">
        <v>40201</v>
      </c>
      <c r="C28" s="203">
        <v>40201</v>
      </c>
      <c r="D28" s="76">
        <v>39473</v>
      </c>
      <c r="E28" s="77">
        <v>40201</v>
      </c>
      <c r="F28" s="78">
        <v>3</v>
      </c>
      <c r="G28" s="79"/>
      <c r="H28" s="80"/>
      <c r="I28" s="212"/>
      <c r="J28" s="212"/>
      <c r="K28" s="213">
        <v>0</v>
      </c>
      <c r="L28" s="213">
        <v>0</v>
      </c>
      <c r="M28" s="213">
        <v>0</v>
      </c>
      <c r="N28" s="213">
        <v>0</v>
      </c>
      <c r="O28" s="213">
        <v>0</v>
      </c>
      <c r="P28" s="213">
        <v>0</v>
      </c>
      <c r="Q28" s="213">
        <v>0</v>
      </c>
      <c r="R28" s="213">
        <v>0</v>
      </c>
      <c r="S28" s="213">
        <v>0</v>
      </c>
      <c r="T28" s="213">
        <v>0</v>
      </c>
      <c r="U28" s="213">
        <v>0</v>
      </c>
      <c r="V28" s="213">
        <v>0</v>
      </c>
      <c r="W28" s="213">
        <v>0</v>
      </c>
      <c r="X28" s="213">
        <v>0</v>
      </c>
      <c r="Y28" s="213">
        <v>0</v>
      </c>
      <c r="Z28" s="213">
        <v>0</v>
      </c>
      <c r="AA28" s="213">
        <v>0</v>
      </c>
      <c r="AB28" s="213">
        <v>0</v>
      </c>
      <c r="AC28" s="213">
        <v>0</v>
      </c>
      <c r="AD28" s="213">
        <v>0</v>
      </c>
      <c r="AE28" s="213">
        <v>0</v>
      </c>
      <c r="AF28" s="213">
        <v>0</v>
      </c>
      <c r="AG28" s="213">
        <v>0</v>
      </c>
      <c r="AH28" s="213">
        <v>0</v>
      </c>
      <c r="AI28" s="213">
        <v>0</v>
      </c>
      <c r="AJ28" s="213">
        <v>0</v>
      </c>
      <c r="AK28" s="213">
        <v>0</v>
      </c>
      <c r="AL28" s="213">
        <v>0</v>
      </c>
      <c r="AM28" s="213">
        <v>0</v>
      </c>
      <c r="AN28" s="213">
        <v>0</v>
      </c>
      <c r="AO28" s="213">
        <v>0</v>
      </c>
      <c r="AP28" s="213">
        <v>0</v>
      </c>
      <c r="AQ28" s="214">
        <v>0</v>
      </c>
      <c r="AR28" s="200">
        <v>0</v>
      </c>
      <c r="AS28" s="200">
        <v>0</v>
      </c>
      <c r="AT28" s="66">
        <v>0</v>
      </c>
      <c r="AU28" s="213">
        <v>0</v>
      </c>
      <c r="AV28" s="213">
        <v>0</v>
      </c>
      <c r="AW28" s="75">
        <v>68.705882352941174</v>
      </c>
      <c r="AX28" s="213">
        <v>0</v>
      </c>
      <c r="AY28" s="66">
        <v>68.705882352941174</v>
      </c>
      <c r="AZ28" s="213">
        <v>0</v>
      </c>
      <c r="BA28" s="213">
        <v>0</v>
      </c>
      <c r="BB28" s="213">
        <v>0</v>
      </c>
      <c r="BC28" s="213">
        <v>0</v>
      </c>
      <c r="BD28" s="213">
        <v>0</v>
      </c>
      <c r="BE28" s="213">
        <v>0</v>
      </c>
      <c r="BF28" s="213">
        <v>0</v>
      </c>
      <c r="BG28" s="209">
        <v>0</v>
      </c>
      <c r="BH28" s="67">
        <v>68.705882352941174</v>
      </c>
      <c r="BI28" s="67">
        <v>19224.470588235294</v>
      </c>
      <c r="FE28" s="39">
        <v>40201</v>
      </c>
      <c r="FF28" s="39">
        <v>0</v>
      </c>
      <c r="FG28" s="39">
        <v>0</v>
      </c>
      <c r="FH28" s="39">
        <v>0</v>
      </c>
      <c r="FI28" s="39">
        <v>0</v>
      </c>
      <c r="FJ28" s="39" t="e">
        <v>#REF!</v>
      </c>
      <c r="FK28" s="39" t="e">
        <v>#REF!</v>
      </c>
      <c r="FL28" s="39">
        <v>0</v>
      </c>
      <c r="FM28" s="39">
        <v>0</v>
      </c>
      <c r="FN28" s="39" t="e">
        <v>#REF!</v>
      </c>
      <c r="FO28" s="39">
        <v>0</v>
      </c>
      <c r="FP28" s="39" t="e">
        <v>#REF!</v>
      </c>
      <c r="FR28" s="39" t="e">
        <v>#REF!</v>
      </c>
    </row>
    <row r="29" spans="1:174" x14ac:dyDescent="0.25">
      <c r="A29" s="142">
        <v>0</v>
      </c>
      <c r="B29" s="211">
        <v>40202</v>
      </c>
      <c r="C29" s="203">
        <v>40202</v>
      </c>
      <c r="D29" s="76">
        <v>39474</v>
      </c>
      <c r="E29" s="77">
        <v>40202</v>
      </c>
      <c r="F29" s="78">
        <v>3</v>
      </c>
      <c r="G29" s="79"/>
      <c r="H29" s="80"/>
      <c r="I29" s="212"/>
      <c r="J29" s="212"/>
      <c r="K29" s="213">
        <v>0</v>
      </c>
      <c r="L29" s="213">
        <v>0</v>
      </c>
      <c r="M29" s="213">
        <v>0</v>
      </c>
      <c r="N29" s="213">
        <v>0</v>
      </c>
      <c r="O29" s="213">
        <v>0</v>
      </c>
      <c r="P29" s="213">
        <v>0</v>
      </c>
      <c r="Q29" s="213">
        <v>0</v>
      </c>
      <c r="R29" s="213">
        <v>0</v>
      </c>
      <c r="S29" s="213">
        <v>0</v>
      </c>
      <c r="T29" s="213">
        <v>0</v>
      </c>
      <c r="U29" s="213">
        <v>0</v>
      </c>
      <c r="V29" s="213">
        <v>0</v>
      </c>
      <c r="W29" s="213">
        <v>0</v>
      </c>
      <c r="X29" s="213">
        <v>0</v>
      </c>
      <c r="Y29" s="213">
        <v>0</v>
      </c>
      <c r="Z29" s="213">
        <v>0</v>
      </c>
      <c r="AA29" s="213">
        <v>0</v>
      </c>
      <c r="AB29" s="213">
        <v>0</v>
      </c>
      <c r="AC29" s="213">
        <v>0</v>
      </c>
      <c r="AD29" s="213">
        <v>0</v>
      </c>
      <c r="AE29" s="213">
        <v>0</v>
      </c>
      <c r="AF29" s="213">
        <v>0</v>
      </c>
      <c r="AG29" s="213">
        <v>0</v>
      </c>
      <c r="AH29" s="213">
        <v>0</v>
      </c>
      <c r="AI29" s="213">
        <v>0</v>
      </c>
      <c r="AJ29" s="213">
        <v>0</v>
      </c>
      <c r="AK29" s="213">
        <v>0</v>
      </c>
      <c r="AL29" s="213">
        <v>0</v>
      </c>
      <c r="AM29" s="213">
        <v>0</v>
      </c>
      <c r="AN29" s="213">
        <v>0</v>
      </c>
      <c r="AO29" s="213">
        <v>0</v>
      </c>
      <c r="AP29" s="213">
        <v>0</v>
      </c>
      <c r="AQ29" s="214">
        <v>0</v>
      </c>
      <c r="AR29" s="200">
        <v>0</v>
      </c>
      <c r="AS29" s="200">
        <v>0</v>
      </c>
      <c r="AT29" s="66">
        <v>0</v>
      </c>
      <c r="AU29" s="213">
        <v>0</v>
      </c>
      <c r="AV29" s="213">
        <v>0</v>
      </c>
      <c r="AW29" s="75">
        <v>0</v>
      </c>
      <c r="AX29" s="213">
        <v>0</v>
      </c>
      <c r="AY29" s="66">
        <v>0</v>
      </c>
      <c r="AZ29" s="213">
        <v>0</v>
      </c>
      <c r="BA29" s="213">
        <v>0</v>
      </c>
      <c r="BB29" s="213">
        <v>0</v>
      </c>
      <c r="BC29" s="213">
        <v>0</v>
      </c>
      <c r="BD29" s="213">
        <v>0</v>
      </c>
      <c r="BE29" s="213">
        <v>0</v>
      </c>
      <c r="BF29" s="213">
        <v>0</v>
      </c>
      <c r="BG29" s="209">
        <v>0</v>
      </c>
      <c r="BH29" s="67">
        <v>0</v>
      </c>
      <c r="BI29" s="67">
        <v>19224.470588235294</v>
      </c>
      <c r="FE29" s="39">
        <v>40202</v>
      </c>
      <c r="FF29" s="39">
        <v>0</v>
      </c>
      <c r="FG29" s="39">
        <v>0</v>
      </c>
      <c r="FH29" s="39">
        <v>0</v>
      </c>
      <c r="FI29" s="39">
        <v>0</v>
      </c>
      <c r="FJ29" s="39" t="e">
        <v>#REF!</v>
      </c>
      <c r="FK29" s="39" t="e">
        <v>#REF!</v>
      </c>
      <c r="FL29" s="39">
        <v>0</v>
      </c>
      <c r="FM29" s="39">
        <v>0</v>
      </c>
      <c r="FN29" s="39" t="e">
        <v>#REF!</v>
      </c>
      <c r="FO29" s="39">
        <v>0</v>
      </c>
      <c r="FP29" s="39" t="e">
        <v>#REF!</v>
      </c>
      <c r="FR29" s="39" t="e">
        <v>#REF!</v>
      </c>
    </row>
    <row r="30" spans="1:174" x14ac:dyDescent="0.25">
      <c r="A30" s="142">
        <v>0</v>
      </c>
      <c r="B30" s="81">
        <v>40203</v>
      </c>
      <c r="C30" s="198">
        <v>40203</v>
      </c>
      <c r="D30" s="69">
        <v>39475</v>
      </c>
      <c r="E30" s="70">
        <v>40203</v>
      </c>
      <c r="F30" s="71">
        <v>4</v>
      </c>
      <c r="G30" s="72"/>
      <c r="H30" s="82"/>
      <c r="I30" s="210"/>
      <c r="J30" s="210"/>
      <c r="K30" s="83">
        <v>0</v>
      </c>
      <c r="L30" s="83">
        <v>0</v>
      </c>
      <c r="M30" s="83">
        <v>0</v>
      </c>
      <c r="N30" s="83">
        <v>0</v>
      </c>
      <c r="O30" s="83">
        <v>0</v>
      </c>
      <c r="P30" s="83">
        <v>0</v>
      </c>
      <c r="Q30" s="83">
        <v>0</v>
      </c>
      <c r="R30" s="83">
        <v>0</v>
      </c>
      <c r="S30" s="83">
        <v>0</v>
      </c>
      <c r="T30" s="83">
        <v>0</v>
      </c>
      <c r="U30" s="83">
        <v>0</v>
      </c>
      <c r="V30" s="83">
        <v>0</v>
      </c>
      <c r="W30" s="83">
        <v>0</v>
      </c>
      <c r="X30" s="83">
        <v>0</v>
      </c>
      <c r="Y30" s="83">
        <v>0</v>
      </c>
      <c r="Z30" s="83">
        <v>0</v>
      </c>
      <c r="AA30" s="83">
        <v>0</v>
      </c>
      <c r="AB30" s="83">
        <v>0</v>
      </c>
      <c r="AC30" s="83">
        <v>0</v>
      </c>
      <c r="AD30" s="83">
        <v>0</v>
      </c>
      <c r="AE30" s="83">
        <v>0</v>
      </c>
      <c r="AF30" s="83">
        <v>0</v>
      </c>
      <c r="AG30" s="83">
        <v>0</v>
      </c>
      <c r="AH30" s="83">
        <v>0</v>
      </c>
      <c r="AI30" s="83">
        <v>0</v>
      </c>
      <c r="AJ30" s="83">
        <v>0</v>
      </c>
      <c r="AK30" s="83">
        <v>0</v>
      </c>
      <c r="AL30" s="83">
        <v>0</v>
      </c>
      <c r="AM30" s="83">
        <v>0</v>
      </c>
      <c r="AN30" s="83">
        <v>0</v>
      </c>
      <c r="AO30" s="83">
        <v>0</v>
      </c>
      <c r="AP30" s="83">
        <v>0</v>
      </c>
      <c r="AQ30" s="84">
        <v>0</v>
      </c>
      <c r="AR30" s="200">
        <v>0</v>
      </c>
      <c r="AS30" s="200">
        <v>0</v>
      </c>
      <c r="AT30" s="66">
        <v>0</v>
      </c>
      <c r="AU30" s="83">
        <v>0</v>
      </c>
      <c r="AV30" s="83">
        <v>0</v>
      </c>
      <c r="AW30" s="75">
        <v>0</v>
      </c>
      <c r="AX30" s="83">
        <v>0</v>
      </c>
      <c r="AY30" s="66">
        <v>0</v>
      </c>
      <c r="AZ30" s="83">
        <v>0</v>
      </c>
      <c r="BA30" s="83">
        <v>0</v>
      </c>
      <c r="BB30" s="83">
        <v>0</v>
      </c>
      <c r="BC30" s="83">
        <v>0</v>
      </c>
      <c r="BD30" s="83">
        <v>0</v>
      </c>
      <c r="BE30" s="83">
        <v>0</v>
      </c>
      <c r="BF30" s="83">
        <v>0</v>
      </c>
      <c r="BG30" s="66">
        <v>0</v>
      </c>
      <c r="BH30" s="67">
        <v>0</v>
      </c>
      <c r="BI30" s="67">
        <v>19224.470588235294</v>
      </c>
      <c r="FE30" s="39">
        <v>40203</v>
      </c>
      <c r="FF30" s="39">
        <v>0</v>
      </c>
      <c r="FG30" s="39">
        <v>0</v>
      </c>
      <c r="FH30" s="39">
        <v>0</v>
      </c>
      <c r="FI30" s="39">
        <v>0</v>
      </c>
      <c r="FJ30" s="39" t="e">
        <v>#REF!</v>
      </c>
      <c r="FK30" s="39" t="e">
        <v>#REF!</v>
      </c>
      <c r="FL30" s="39">
        <v>0</v>
      </c>
      <c r="FM30" s="39">
        <v>0</v>
      </c>
      <c r="FN30" s="39" t="e">
        <v>#REF!</v>
      </c>
      <c r="FO30" s="39">
        <v>0</v>
      </c>
      <c r="FP30" s="39" t="e">
        <v>#REF!</v>
      </c>
      <c r="FR30" s="39" t="e">
        <v>#REF!</v>
      </c>
    </row>
    <row r="31" spans="1:174" x14ac:dyDescent="0.25">
      <c r="A31" s="142">
        <v>0</v>
      </c>
      <c r="B31" s="81">
        <v>40204</v>
      </c>
      <c r="C31" s="198">
        <v>40204</v>
      </c>
      <c r="D31" s="69">
        <v>39476</v>
      </c>
      <c r="E31" s="70">
        <v>40204</v>
      </c>
      <c r="F31" s="71">
        <v>4</v>
      </c>
      <c r="G31" s="72"/>
      <c r="H31" s="82"/>
      <c r="I31" s="210"/>
      <c r="J31" s="210"/>
      <c r="K31" s="83">
        <v>0</v>
      </c>
      <c r="L31" s="83">
        <v>0</v>
      </c>
      <c r="M31" s="83">
        <v>0</v>
      </c>
      <c r="N31" s="83">
        <v>0</v>
      </c>
      <c r="O31" s="83">
        <v>0</v>
      </c>
      <c r="P31" s="83">
        <v>0</v>
      </c>
      <c r="Q31" s="83">
        <v>0</v>
      </c>
      <c r="R31" s="83">
        <v>0</v>
      </c>
      <c r="S31" s="83">
        <v>0</v>
      </c>
      <c r="T31" s="83">
        <v>0</v>
      </c>
      <c r="U31" s="83">
        <v>0</v>
      </c>
      <c r="V31" s="83">
        <v>0</v>
      </c>
      <c r="W31" s="83">
        <v>0</v>
      </c>
      <c r="X31" s="83">
        <v>0</v>
      </c>
      <c r="Y31" s="83">
        <v>0</v>
      </c>
      <c r="Z31" s="83">
        <v>0</v>
      </c>
      <c r="AA31" s="83">
        <v>0</v>
      </c>
      <c r="AB31" s="83">
        <v>0</v>
      </c>
      <c r="AC31" s="83">
        <v>0</v>
      </c>
      <c r="AD31" s="83">
        <v>0</v>
      </c>
      <c r="AE31" s="83">
        <v>0</v>
      </c>
      <c r="AF31" s="83">
        <v>0</v>
      </c>
      <c r="AG31" s="83">
        <v>0</v>
      </c>
      <c r="AH31" s="83">
        <v>0</v>
      </c>
      <c r="AI31" s="83">
        <v>0</v>
      </c>
      <c r="AJ31" s="83">
        <v>0</v>
      </c>
      <c r="AK31" s="83">
        <v>0</v>
      </c>
      <c r="AL31" s="83">
        <v>0</v>
      </c>
      <c r="AM31" s="83">
        <v>0</v>
      </c>
      <c r="AN31" s="83">
        <v>0</v>
      </c>
      <c r="AO31" s="83">
        <v>0</v>
      </c>
      <c r="AP31" s="83">
        <v>0</v>
      </c>
      <c r="AQ31" s="84">
        <v>0</v>
      </c>
      <c r="AR31" s="200">
        <v>0</v>
      </c>
      <c r="AS31" s="200">
        <v>0</v>
      </c>
      <c r="AT31" s="66">
        <v>0</v>
      </c>
      <c r="AU31" s="83">
        <v>0</v>
      </c>
      <c r="AV31" s="83">
        <v>0</v>
      </c>
      <c r="AW31" s="75">
        <v>0</v>
      </c>
      <c r="AX31" s="83">
        <v>0</v>
      </c>
      <c r="AY31" s="66">
        <v>0</v>
      </c>
      <c r="AZ31" s="83">
        <v>0</v>
      </c>
      <c r="BA31" s="83">
        <v>0</v>
      </c>
      <c r="BB31" s="83">
        <v>0</v>
      </c>
      <c r="BC31" s="83">
        <v>0</v>
      </c>
      <c r="BD31" s="83">
        <v>0</v>
      </c>
      <c r="BE31" s="83">
        <v>0</v>
      </c>
      <c r="BF31" s="83">
        <v>0</v>
      </c>
      <c r="BG31" s="66">
        <v>0</v>
      </c>
      <c r="BH31" s="67">
        <v>0</v>
      </c>
      <c r="BI31" s="67">
        <v>19224.470588235294</v>
      </c>
      <c r="FE31" s="39">
        <v>40204</v>
      </c>
      <c r="FF31" s="39">
        <v>0</v>
      </c>
      <c r="FG31" s="39">
        <v>0</v>
      </c>
      <c r="FH31" s="39">
        <v>0</v>
      </c>
      <c r="FI31" s="39">
        <v>0</v>
      </c>
      <c r="FJ31" s="39" t="e">
        <v>#REF!</v>
      </c>
      <c r="FK31" s="39" t="e">
        <v>#REF!</v>
      </c>
      <c r="FL31" s="39">
        <v>0</v>
      </c>
      <c r="FM31" s="39">
        <v>0</v>
      </c>
      <c r="FN31" s="39" t="e">
        <v>#REF!</v>
      </c>
      <c r="FO31" s="39">
        <v>0</v>
      </c>
      <c r="FP31" s="39" t="e">
        <v>#REF!</v>
      </c>
      <c r="FR31" s="39" t="e">
        <v>#REF!</v>
      </c>
    </row>
    <row r="32" spans="1:174" x14ac:dyDescent="0.25">
      <c r="A32" s="142">
        <v>0</v>
      </c>
      <c r="B32" s="81">
        <v>40205</v>
      </c>
      <c r="C32" s="198">
        <v>40205</v>
      </c>
      <c r="D32" s="69">
        <v>39477</v>
      </c>
      <c r="E32" s="70">
        <v>40205</v>
      </c>
      <c r="F32" s="71">
        <v>4</v>
      </c>
      <c r="G32" s="72"/>
      <c r="H32" s="82"/>
      <c r="I32" s="210"/>
      <c r="J32" s="210"/>
      <c r="K32" s="83">
        <v>0</v>
      </c>
      <c r="L32" s="83">
        <v>0</v>
      </c>
      <c r="M32" s="83">
        <v>0</v>
      </c>
      <c r="N32" s="83">
        <v>0</v>
      </c>
      <c r="O32" s="83">
        <v>0</v>
      </c>
      <c r="P32" s="83">
        <v>0</v>
      </c>
      <c r="Q32" s="83">
        <v>0</v>
      </c>
      <c r="R32" s="83">
        <v>0</v>
      </c>
      <c r="S32" s="83">
        <v>0</v>
      </c>
      <c r="T32" s="83">
        <v>0</v>
      </c>
      <c r="U32" s="83">
        <v>0</v>
      </c>
      <c r="V32" s="83">
        <v>0</v>
      </c>
      <c r="W32" s="83">
        <v>0</v>
      </c>
      <c r="X32" s="83">
        <v>0</v>
      </c>
      <c r="Y32" s="83">
        <v>0</v>
      </c>
      <c r="Z32" s="83">
        <v>0</v>
      </c>
      <c r="AA32" s="83">
        <v>0</v>
      </c>
      <c r="AB32" s="83">
        <v>0</v>
      </c>
      <c r="AC32" s="83">
        <v>0</v>
      </c>
      <c r="AD32" s="83">
        <v>0</v>
      </c>
      <c r="AE32" s="83">
        <v>0</v>
      </c>
      <c r="AF32" s="83">
        <v>0</v>
      </c>
      <c r="AG32" s="83">
        <v>0</v>
      </c>
      <c r="AH32" s="83">
        <v>0</v>
      </c>
      <c r="AI32" s="83">
        <v>0</v>
      </c>
      <c r="AJ32" s="83">
        <v>0</v>
      </c>
      <c r="AK32" s="83">
        <v>0</v>
      </c>
      <c r="AL32" s="83">
        <v>0</v>
      </c>
      <c r="AM32" s="83">
        <v>0</v>
      </c>
      <c r="AN32" s="83">
        <v>0</v>
      </c>
      <c r="AO32" s="83">
        <v>0</v>
      </c>
      <c r="AP32" s="83">
        <v>0</v>
      </c>
      <c r="AQ32" s="84">
        <v>0</v>
      </c>
      <c r="AR32" s="200">
        <v>0</v>
      </c>
      <c r="AS32" s="200">
        <v>0</v>
      </c>
      <c r="AT32" s="66">
        <v>0</v>
      </c>
      <c r="AU32" s="83">
        <v>0</v>
      </c>
      <c r="AV32" s="83">
        <v>0</v>
      </c>
      <c r="AW32" s="75">
        <v>141.1764705882353</v>
      </c>
      <c r="AX32" s="83">
        <v>0</v>
      </c>
      <c r="AY32" s="66">
        <v>141.1764705882353</v>
      </c>
      <c r="AZ32" s="83">
        <v>0</v>
      </c>
      <c r="BA32" s="83">
        <v>0</v>
      </c>
      <c r="BB32" s="83">
        <v>0</v>
      </c>
      <c r="BC32" s="83">
        <v>0</v>
      </c>
      <c r="BD32" s="83">
        <v>0</v>
      </c>
      <c r="BE32" s="83">
        <v>0</v>
      </c>
      <c r="BF32" s="83">
        <v>0</v>
      </c>
      <c r="BG32" s="66">
        <v>0</v>
      </c>
      <c r="BH32" s="67">
        <v>141.1764705882353</v>
      </c>
      <c r="BI32" s="67">
        <v>19365.647058823528</v>
      </c>
      <c r="FE32" s="39">
        <v>40205</v>
      </c>
      <c r="FF32" s="39">
        <v>0</v>
      </c>
      <c r="FG32" s="39">
        <v>0</v>
      </c>
      <c r="FH32" s="39">
        <v>0</v>
      </c>
      <c r="FI32" s="39">
        <v>0</v>
      </c>
      <c r="FJ32" s="39" t="e">
        <v>#REF!</v>
      </c>
      <c r="FK32" s="39" t="e">
        <v>#REF!</v>
      </c>
      <c r="FL32" s="39">
        <v>0</v>
      </c>
      <c r="FM32" s="39">
        <v>0</v>
      </c>
      <c r="FN32" s="39" t="e">
        <v>#REF!</v>
      </c>
      <c r="FO32" s="39">
        <v>0</v>
      </c>
      <c r="FP32" s="39" t="e">
        <v>#REF!</v>
      </c>
      <c r="FR32" s="39" t="e">
        <v>#REF!</v>
      </c>
    </row>
    <row r="33" spans="1:174" x14ac:dyDescent="0.25">
      <c r="A33" s="142">
        <v>0</v>
      </c>
      <c r="B33" s="81">
        <v>40206</v>
      </c>
      <c r="C33" s="198">
        <v>40206</v>
      </c>
      <c r="D33" s="69">
        <v>39478</v>
      </c>
      <c r="E33" s="70">
        <v>40206</v>
      </c>
      <c r="F33" s="71">
        <v>4</v>
      </c>
      <c r="G33" s="72"/>
      <c r="H33" s="82"/>
      <c r="I33" s="210"/>
      <c r="J33" s="210"/>
      <c r="K33" s="83">
        <v>0</v>
      </c>
      <c r="L33" s="83">
        <v>0</v>
      </c>
      <c r="M33" s="83">
        <v>0</v>
      </c>
      <c r="N33" s="83">
        <v>0</v>
      </c>
      <c r="O33" s="83">
        <v>0</v>
      </c>
      <c r="P33" s="83">
        <v>0</v>
      </c>
      <c r="Q33" s="83">
        <v>0</v>
      </c>
      <c r="R33" s="83">
        <v>0</v>
      </c>
      <c r="S33" s="83">
        <v>0</v>
      </c>
      <c r="T33" s="83">
        <v>0</v>
      </c>
      <c r="U33" s="83">
        <v>0</v>
      </c>
      <c r="V33" s="83">
        <v>0</v>
      </c>
      <c r="W33" s="83">
        <v>0</v>
      </c>
      <c r="X33" s="83">
        <v>0</v>
      </c>
      <c r="Y33" s="83">
        <v>0</v>
      </c>
      <c r="Z33" s="83">
        <v>0</v>
      </c>
      <c r="AA33" s="83">
        <v>0</v>
      </c>
      <c r="AB33" s="83">
        <v>0</v>
      </c>
      <c r="AC33" s="83">
        <v>0</v>
      </c>
      <c r="AD33" s="83">
        <v>0</v>
      </c>
      <c r="AE33" s="83">
        <v>0</v>
      </c>
      <c r="AF33" s="83">
        <v>0</v>
      </c>
      <c r="AG33" s="83">
        <v>0</v>
      </c>
      <c r="AH33" s="83">
        <v>0</v>
      </c>
      <c r="AI33" s="83">
        <v>0</v>
      </c>
      <c r="AJ33" s="83">
        <v>0</v>
      </c>
      <c r="AK33" s="83">
        <v>0</v>
      </c>
      <c r="AL33" s="83">
        <v>0</v>
      </c>
      <c r="AM33" s="83">
        <v>0</v>
      </c>
      <c r="AN33" s="83">
        <v>0</v>
      </c>
      <c r="AO33" s="83">
        <v>0</v>
      </c>
      <c r="AP33" s="83">
        <v>0</v>
      </c>
      <c r="AQ33" s="84">
        <v>0</v>
      </c>
      <c r="AR33" s="200">
        <v>0</v>
      </c>
      <c r="AS33" s="200">
        <v>0</v>
      </c>
      <c r="AT33" s="66">
        <v>0</v>
      </c>
      <c r="AU33" s="83">
        <v>0</v>
      </c>
      <c r="AV33" s="83">
        <v>0</v>
      </c>
      <c r="AW33" s="75">
        <v>0</v>
      </c>
      <c r="AX33" s="83">
        <v>0</v>
      </c>
      <c r="AY33" s="66">
        <v>0</v>
      </c>
      <c r="AZ33" s="83">
        <v>0</v>
      </c>
      <c r="BA33" s="83">
        <v>0</v>
      </c>
      <c r="BB33" s="83">
        <v>0</v>
      </c>
      <c r="BC33" s="83">
        <v>0</v>
      </c>
      <c r="BD33" s="83">
        <v>0</v>
      </c>
      <c r="BE33" s="83">
        <v>0</v>
      </c>
      <c r="BF33" s="83">
        <v>0</v>
      </c>
      <c r="BG33" s="66">
        <v>0</v>
      </c>
      <c r="BH33" s="67">
        <v>0</v>
      </c>
      <c r="BI33" s="67">
        <v>19365.647058823528</v>
      </c>
      <c r="FE33" s="39">
        <v>40206</v>
      </c>
      <c r="FF33" s="39">
        <v>0</v>
      </c>
      <c r="FG33" s="39">
        <v>0</v>
      </c>
      <c r="FH33" s="39">
        <v>0</v>
      </c>
      <c r="FI33" s="39">
        <v>0</v>
      </c>
      <c r="FJ33" s="39" t="e">
        <v>#REF!</v>
      </c>
      <c r="FK33" s="39" t="e">
        <v>#REF!</v>
      </c>
      <c r="FL33" s="39">
        <v>0</v>
      </c>
      <c r="FM33" s="39">
        <v>0</v>
      </c>
      <c r="FN33" s="39" t="e">
        <v>#REF!</v>
      </c>
      <c r="FO33" s="39">
        <v>0</v>
      </c>
      <c r="FP33" s="39" t="e">
        <v>#REF!</v>
      </c>
      <c r="FR33" s="39" t="e">
        <v>#REF!</v>
      </c>
    </row>
    <row r="34" spans="1:174" x14ac:dyDescent="0.25">
      <c r="A34" s="142">
        <v>0</v>
      </c>
      <c r="B34" s="81">
        <v>40207</v>
      </c>
      <c r="C34" s="198">
        <v>40207</v>
      </c>
      <c r="D34" s="69">
        <v>39479</v>
      </c>
      <c r="E34" s="70">
        <v>40207</v>
      </c>
      <c r="F34" s="71">
        <v>4</v>
      </c>
      <c r="G34" s="72"/>
      <c r="H34" s="82"/>
      <c r="I34" s="210"/>
      <c r="J34" s="210"/>
      <c r="K34" s="83">
        <v>0</v>
      </c>
      <c r="L34" s="83">
        <v>0</v>
      </c>
      <c r="M34" s="83">
        <v>0</v>
      </c>
      <c r="N34" s="83">
        <v>0</v>
      </c>
      <c r="O34" s="83">
        <v>0</v>
      </c>
      <c r="P34" s="83">
        <v>0</v>
      </c>
      <c r="Q34" s="83">
        <v>0</v>
      </c>
      <c r="R34" s="83">
        <v>0</v>
      </c>
      <c r="S34" s="83">
        <v>0</v>
      </c>
      <c r="T34" s="83">
        <v>0</v>
      </c>
      <c r="U34" s="83">
        <v>0</v>
      </c>
      <c r="V34" s="83">
        <v>0</v>
      </c>
      <c r="W34" s="83">
        <v>0</v>
      </c>
      <c r="X34" s="83">
        <v>0</v>
      </c>
      <c r="Y34" s="83">
        <v>0</v>
      </c>
      <c r="Z34" s="83">
        <v>0</v>
      </c>
      <c r="AA34" s="83">
        <v>0</v>
      </c>
      <c r="AB34" s="83">
        <v>0</v>
      </c>
      <c r="AC34" s="83">
        <v>0</v>
      </c>
      <c r="AD34" s="83">
        <v>0</v>
      </c>
      <c r="AE34" s="83">
        <v>0</v>
      </c>
      <c r="AF34" s="83">
        <v>0</v>
      </c>
      <c r="AG34" s="83">
        <v>0</v>
      </c>
      <c r="AH34" s="83">
        <v>0</v>
      </c>
      <c r="AI34" s="83">
        <v>0</v>
      </c>
      <c r="AJ34" s="83">
        <v>0</v>
      </c>
      <c r="AK34" s="83">
        <v>0</v>
      </c>
      <c r="AL34" s="83">
        <v>0</v>
      </c>
      <c r="AM34" s="83">
        <v>0</v>
      </c>
      <c r="AN34" s="83">
        <v>0</v>
      </c>
      <c r="AO34" s="83">
        <v>0</v>
      </c>
      <c r="AP34" s="83">
        <v>0</v>
      </c>
      <c r="AQ34" s="84">
        <v>0</v>
      </c>
      <c r="AR34" s="200">
        <v>0</v>
      </c>
      <c r="AS34" s="200">
        <v>0</v>
      </c>
      <c r="AT34" s="66">
        <v>0</v>
      </c>
      <c r="AU34" s="83">
        <v>0</v>
      </c>
      <c r="AV34" s="83">
        <v>0</v>
      </c>
      <c r="AW34" s="75">
        <v>0</v>
      </c>
      <c r="AX34" s="83">
        <v>0</v>
      </c>
      <c r="AY34" s="66">
        <v>0</v>
      </c>
      <c r="AZ34" s="83">
        <v>0</v>
      </c>
      <c r="BA34" s="83">
        <v>0</v>
      </c>
      <c r="BB34" s="83">
        <v>0</v>
      </c>
      <c r="BC34" s="83">
        <v>0</v>
      </c>
      <c r="BD34" s="83">
        <v>0</v>
      </c>
      <c r="BE34" s="83">
        <v>0</v>
      </c>
      <c r="BF34" s="83">
        <v>0</v>
      </c>
      <c r="BG34" s="66">
        <v>0</v>
      </c>
      <c r="BH34" s="67">
        <v>0</v>
      </c>
      <c r="BI34" s="67">
        <v>19365.647058823528</v>
      </c>
      <c r="FE34" s="39">
        <v>40207</v>
      </c>
      <c r="FF34" s="39">
        <v>0</v>
      </c>
      <c r="FG34" s="39">
        <v>0</v>
      </c>
      <c r="FH34" s="39">
        <v>0</v>
      </c>
      <c r="FI34" s="39">
        <v>0</v>
      </c>
      <c r="FJ34" s="39" t="e">
        <v>#REF!</v>
      </c>
      <c r="FK34" s="39" t="e">
        <v>#REF!</v>
      </c>
      <c r="FL34" s="39">
        <v>0</v>
      </c>
      <c r="FM34" s="39">
        <v>0</v>
      </c>
      <c r="FN34" s="39" t="e">
        <v>#REF!</v>
      </c>
      <c r="FO34" s="39">
        <v>0</v>
      </c>
      <c r="FP34" s="39" t="e">
        <v>#REF!</v>
      </c>
      <c r="FR34" s="39" t="e">
        <v>#REF!</v>
      </c>
    </row>
    <row r="35" spans="1:174" x14ac:dyDescent="0.25">
      <c r="A35" s="142">
        <v>0</v>
      </c>
      <c r="B35" s="211">
        <v>40208</v>
      </c>
      <c r="C35" s="203">
        <v>40208</v>
      </c>
      <c r="D35" s="76">
        <v>39480</v>
      </c>
      <c r="E35" s="77">
        <v>40208</v>
      </c>
      <c r="F35" s="78">
        <v>4</v>
      </c>
      <c r="G35" s="79"/>
      <c r="H35" s="80"/>
      <c r="I35" s="212"/>
      <c r="J35" s="212"/>
      <c r="K35" s="213">
        <v>0</v>
      </c>
      <c r="L35" s="213">
        <v>0</v>
      </c>
      <c r="M35" s="213">
        <v>0</v>
      </c>
      <c r="N35" s="213">
        <v>0</v>
      </c>
      <c r="O35" s="213">
        <v>0</v>
      </c>
      <c r="P35" s="213">
        <v>0</v>
      </c>
      <c r="Q35" s="213">
        <v>0</v>
      </c>
      <c r="R35" s="213">
        <v>0</v>
      </c>
      <c r="S35" s="213">
        <v>0</v>
      </c>
      <c r="T35" s="213">
        <v>0</v>
      </c>
      <c r="U35" s="213">
        <v>0</v>
      </c>
      <c r="V35" s="213">
        <v>0</v>
      </c>
      <c r="W35" s="213">
        <v>0</v>
      </c>
      <c r="X35" s="213">
        <v>0</v>
      </c>
      <c r="Y35" s="213">
        <v>0</v>
      </c>
      <c r="Z35" s="213">
        <v>0</v>
      </c>
      <c r="AA35" s="213">
        <v>0</v>
      </c>
      <c r="AB35" s="213">
        <v>0</v>
      </c>
      <c r="AC35" s="213">
        <v>0</v>
      </c>
      <c r="AD35" s="213">
        <v>0</v>
      </c>
      <c r="AE35" s="213">
        <v>0</v>
      </c>
      <c r="AF35" s="213">
        <v>0</v>
      </c>
      <c r="AG35" s="213">
        <v>0</v>
      </c>
      <c r="AH35" s="213">
        <v>0</v>
      </c>
      <c r="AI35" s="213">
        <v>0</v>
      </c>
      <c r="AJ35" s="213">
        <v>0</v>
      </c>
      <c r="AK35" s="213">
        <v>0</v>
      </c>
      <c r="AL35" s="213">
        <v>0</v>
      </c>
      <c r="AM35" s="213">
        <v>0</v>
      </c>
      <c r="AN35" s="213">
        <v>0</v>
      </c>
      <c r="AO35" s="213">
        <v>0</v>
      </c>
      <c r="AP35" s="213">
        <v>0</v>
      </c>
      <c r="AQ35" s="214">
        <v>0</v>
      </c>
      <c r="AR35" s="200">
        <v>0</v>
      </c>
      <c r="AS35" s="200">
        <v>0</v>
      </c>
      <c r="AT35" s="66">
        <v>0</v>
      </c>
      <c r="AU35" s="213">
        <v>0</v>
      </c>
      <c r="AV35" s="213">
        <v>0</v>
      </c>
      <c r="AW35" s="75">
        <v>376.47058823529414</v>
      </c>
      <c r="AX35" s="213">
        <v>0</v>
      </c>
      <c r="AY35" s="66">
        <v>376.47058823529414</v>
      </c>
      <c r="AZ35" s="213">
        <v>0</v>
      </c>
      <c r="BA35" s="213">
        <v>0</v>
      </c>
      <c r="BB35" s="213">
        <v>0</v>
      </c>
      <c r="BC35" s="213">
        <v>0</v>
      </c>
      <c r="BD35" s="213">
        <v>0</v>
      </c>
      <c r="BE35" s="213">
        <v>0</v>
      </c>
      <c r="BF35" s="213">
        <v>0</v>
      </c>
      <c r="BG35" s="209">
        <v>0</v>
      </c>
      <c r="BH35" s="67">
        <v>376.47058823529414</v>
      </c>
      <c r="BI35" s="67">
        <v>19742.117647058822</v>
      </c>
      <c r="FE35" s="39">
        <v>40208</v>
      </c>
      <c r="FF35" s="39">
        <v>0</v>
      </c>
      <c r="FG35" s="39">
        <v>0</v>
      </c>
      <c r="FH35" s="39">
        <v>0</v>
      </c>
      <c r="FI35" s="39">
        <v>0</v>
      </c>
      <c r="FJ35" s="39" t="e">
        <v>#REF!</v>
      </c>
      <c r="FK35" s="39" t="e">
        <v>#REF!</v>
      </c>
      <c r="FL35" s="39">
        <v>0</v>
      </c>
      <c r="FM35" s="39">
        <v>0</v>
      </c>
      <c r="FN35" s="39" t="e">
        <v>#REF!</v>
      </c>
      <c r="FO35" s="39">
        <v>0</v>
      </c>
      <c r="FP35" s="39" t="e">
        <v>#REF!</v>
      </c>
      <c r="FR35" s="39" t="e">
        <v>#REF!</v>
      </c>
    </row>
    <row r="36" spans="1:174" x14ac:dyDescent="0.25">
      <c r="A36" s="142">
        <v>0</v>
      </c>
      <c r="B36" s="211">
        <v>40209</v>
      </c>
      <c r="C36" s="203">
        <v>40209</v>
      </c>
      <c r="D36" s="76">
        <v>39481</v>
      </c>
      <c r="E36" s="77">
        <v>40209</v>
      </c>
      <c r="F36" s="78">
        <v>4</v>
      </c>
      <c r="G36" s="79"/>
      <c r="H36" s="80"/>
      <c r="I36" s="212"/>
      <c r="J36" s="212"/>
      <c r="K36" s="213">
        <v>0</v>
      </c>
      <c r="L36" s="213">
        <v>0</v>
      </c>
      <c r="M36" s="213">
        <v>0</v>
      </c>
      <c r="N36" s="213">
        <v>0</v>
      </c>
      <c r="O36" s="213">
        <v>0</v>
      </c>
      <c r="P36" s="213">
        <v>0</v>
      </c>
      <c r="Q36" s="213">
        <v>0</v>
      </c>
      <c r="R36" s="213">
        <v>0</v>
      </c>
      <c r="S36" s="213">
        <v>0</v>
      </c>
      <c r="T36" s="213">
        <v>0</v>
      </c>
      <c r="U36" s="213">
        <v>0</v>
      </c>
      <c r="V36" s="213">
        <v>0</v>
      </c>
      <c r="W36" s="213">
        <v>0</v>
      </c>
      <c r="X36" s="213">
        <v>0</v>
      </c>
      <c r="Y36" s="213">
        <v>0</v>
      </c>
      <c r="Z36" s="213">
        <v>0</v>
      </c>
      <c r="AA36" s="213">
        <v>0</v>
      </c>
      <c r="AB36" s="213">
        <v>0</v>
      </c>
      <c r="AC36" s="213">
        <v>0</v>
      </c>
      <c r="AD36" s="213">
        <v>0</v>
      </c>
      <c r="AE36" s="213">
        <v>0</v>
      </c>
      <c r="AF36" s="213">
        <v>0</v>
      </c>
      <c r="AG36" s="213">
        <v>0</v>
      </c>
      <c r="AH36" s="213">
        <v>0</v>
      </c>
      <c r="AI36" s="213">
        <v>0</v>
      </c>
      <c r="AJ36" s="213">
        <v>0</v>
      </c>
      <c r="AK36" s="213">
        <v>0</v>
      </c>
      <c r="AL36" s="213">
        <v>0</v>
      </c>
      <c r="AM36" s="213">
        <v>0</v>
      </c>
      <c r="AN36" s="213">
        <v>0</v>
      </c>
      <c r="AO36" s="213">
        <v>0</v>
      </c>
      <c r="AP36" s="213">
        <v>0</v>
      </c>
      <c r="AQ36" s="214">
        <v>0</v>
      </c>
      <c r="AR36" s="200">
        <v>0</v>
      </c>
      <c r="AS36" s="200">
        <v>0</v>
      </c>
      <c r="AT36" s="66">
        <v>0</v>
      </c>
      <c r="AU36" s="213">
        <v>0</v>
      </c>
      <c r="AV36" s="213">
        <v>0</v>
      </c>
      <c r="AW36" s="75">
        <v>376.47058823529414</v>
      </c>
      <c r="AX36" s="213">
        <v>0</v>
      </c>
      <c r="AY36" s="66">
        <v>376.47058823529414</v>
      </c>
      <c r="AZ36" s="213">
        <v>0</v>
      </c>
      <c r="BA36" s="213">
        <v>0</v>
      </c>
      <c r="BB36" s="213">
        <v>0</v>
      </c>
      <c r="BC36" s="213">
        <v>0</v>
      </c>
      <c r="BD36" s="213">
        <v>0</v>
      </c>
      <c r="BE36" s="213">
        <v>0</v>
      </c>
      <c r="BF36" s="213">
        <v>0</v>
      </c>
      <c r="BG36" s="209">
        <v>0</v>
      </c>
      <c r="BH36" s="67">
        <v>376.47058823529414</v>
      </c>
      <c r="BI36" s="67">
        <v>20118.588235294115</v>
      </c>
      <c r="FE36" s="39">
        <v>40209</v>
      </c>
      <c r="FF36" s="39">
        <v>0</v>
      </c>
      <c r="FG36" s="39">
        <v>0</v>
      </c>
      <c r="FH36" s="39">
        <v>0</v>
      </c>
      <c r="FI36" s="39">
        <v>0</v>
      </c>
      <c r="FJ36" s="39" t="e">
        <v>#REF!</v>
      </c>
      <c r="FK36" s="39" t="e">
        <v>#REF!</v>
      </c>
      <c r="FL36" s="39">
        <v>0</v>
      </c>
      <c r="FM36" s="39">
        <v>0</v>
      </c>
      <c r="FN36" s="39" t="e">
        <v>#REF!</v>
      </c>
      <c r="FO36" s="39">
        <v>0</v>
      </c>
      <c r="FP36" s="39" t="e">
        <v>#REF!</v>
      </c>
      <c r="FR36" s="39" t="e">
        <v>#REF!</v>
      </c>
    </row>
    <row r="37" spans="1:174" s="230" customFormat="1" x14ac:dyDescent="0.25">
      <c r="A37" s="215"/>
      <c r="B37" s="216"/>
      <c r="C37" s="217"/>
      <c r="D37" s="218"/>
      <c r="E37" s="219"/>
      <c r="F37" s="220"/>
      <c r="G37" s="221"/>
      <c r="H37" s="222"/>
      <c r="I37" s="223"/>
      <c r="J37" s="223"/>
      <c r="K37" s="224"/>
      <c r="L37" s="224"/>
      <c r="M37" s="224"/>
      <c r="N37" s="224"/>
      <c r="O37" s="224"/>
      <c r="P37" s="224"/>
      <c r="Q37" s="224"/>
      <c r="R37" s="224"/>
      <c r="S37" s="224"/>
      <c r="T37" s="224"/>
      <c r="U37" s="224"/>
      <c r="V37" s="224"/>
      <c r="W37" s="224"/>
      <c r="X37" s="224"/>
      <c r="Y37" s="224"/>
      <c r="Z37" s="224"/>
      <c r="AA37" s="224"/>
      <c r="AB37" s="224"/>
      <c r="AC37" s="224"/>
      <c r="AD37" s="224"/>
      <c r="AE37" s="224"/>
      <c r="AF37" s="224"/>
      <c r="AG37" s="224"/>
      <c r="AH37" s="224"/>
      <c r="AI37" s="224"/>
      <c r="AJ37" s="224"/>
      <c r="AK37" s="224"/>
      <c r="AL37" s="224"/>
      <c r="AM37" s="224"/>
      <c r="AN37" s="224"/>
      <c r="AO37" s="224"/>
      <c r="AP37" s="224"/>
      <c r="AQ37" s="225"/>
      <c r="AR37" s="226"/>
      <c r="AS37" s="226"/>
      <c r="AT37" s="66">
        <v>0</v>
      </c>
      <c r="AU37" s="224"/>
      <c r="AV37" s="224"/>
      <c r="AW37" s="227"/>
      <c r="AX37" s="224"/>
      <c r="AY37" s="66">
        <v>0</v>
      </c>
      <c r="AZ37" s="224"/>
      <c r="BA37" s="224"/>
      <c r="BB37" s="224"/>
      <c r="BC37" s="224"/>
      <c r="BD37" s="224"/>
      <c r="BE37" s="224"/>
      <c r="BF37" s="224"/>
      <c r="BG37" s="228"/>
      <c r="BH37" s="229"/>
      <c r="BI37" s="229"/>
    </row>
    <row r="38" spans="1:174" x14ac:dyDescent="0.25">
      <c r="A38" s="142">
        <v>0</v>
      </c>
      <c r="B38" s="81">
        <v>40210</v>
      </c>
      <c r="C38" s="198">
        <v>40210</v>
      </c>
      <c r="D38" s="69">
        <v>39482</v>
      </c>
      <c r="E38" s="70">
        <v>40210</v>
      </c>
      <c r="F38" s="71">
        <v>5</v>
      </c>
      <c r="G38" s="72"/>
      <c r="H38" s="82"/>
      <c r="I38" s="210"/>
      <c r="J38" s="210"/>
      <c r="K38" s="83">
        <v>0</v>
      </c>
      <c r="L38" s="83">
        <v>0</v>
      </c>
      <c r="M38" s="83">
        <v>0</v>
      </c>
      <c r="N38" s="83">
        <v>0</v>
      </c>
      <c r="O38" s="83">
        <v>0</v>
      </c>
      <c r="P38" s="83">
        <v>0</v>
      </c>
      <c r="Q38" s="83">
        <v>0</v>
      </c>
      <c r="R38" s="83">
        <v>0</v>
      </c>
      <c r="S38" s="83">
        <v>0</v>
      </c>
      <c r="T38" s="83">
        <v>0</v>
      </c>
      <c r="U38" s="83">
        <v>0</v>
      </c>
      <c r="V38" s="83">
        <v>0</v>
      </c>
      <c r="W38" s="83">
        <v>0</v>
      </c>
      <c r="X38" s="83">
        <v>0</v>
      </c>
      <c r="Y38" s="83">
        <v>0</v>
      </c>
      <c r="Z38" s="83">
        <v>0</v>
      </c>
      <c r="AA38" s="83">
        <v>0</v>
      </c>
      <c r="AB38" s="83">
        <v>0</v>
      </c>
      <c r="AC38" s="83">
        <v>0</v>
      </c>
      <c r="AD38" s="83">
        <v>0</v>
      </c>
      <c r="AE38" s="83">
        <v>0</v>
      </c>
      <c r="AF38" s="83">
        <v>0</v>
      </c>
      <c r="AG38" s="83">
        <v>0</v>
      </c>
      <c r="AH38" s="83">
        <v>0</v>
      </c>
      <c r="AI38" s="83">
        <v>0</v>
      </c>
      <c r="AJ38" s="83">
        <v>0</v>
      </c>
      <c r="AK38" s="83">
        <v>0</v>
      </c>
      <c r="AL38" s="83">
        <v>0</v>
      </c>
      <c r="AM38" s="83">
        <v>0</v>
      </c>
      <c r="AN38" s="83">
        <v>0</v>
      </c>
      <c r="AO38" s="83">
        <v>0</v>
      </c>
      <c r="AP38" s="83">
        <v>0</v>
      </c>
      <c r="AQ38" s="84">
        <v>0</v>
      </c>
      <c r="AR38" s="200">
        <v>0</v>
      </c>
      <c r="AS38" s="200">
        <v>0</v>
      </c>
      <c r="AT38" s="66">
        <v>0</v>
      </c>
      <c r="AU38" s="83">
        <v>0</v>
      </c>
      <c r="AV38" s="83">
        <v>0</v>
      </c>
      <c r="AW38" s="75">
        <v>0</v>
      </c>
      <c r="AX38" s="83">
        <v>0</v>
      </c>
      <c r="AY38" s="66">
        <v>0</v>
      </c>
      <c r="AZ38" s="83">
        <v>0</v>
      </c>
      <c r="BA38" s="83">
        <v>0</v>
      </c>
      <c r="BB38" s="83">
        <v>0</v>
      </c>
      <c r="BC38" s="83">
        <v>0</v>
      </c>
      <c r="BD38" s="83">
        <v>0</v>
      </c>
      <c r="BE38" s="83">
        <v>0</v>
      </c>
      <c r="BF38" s="83">
        <v>0</v>
      </c>
      <c r="BG38" s="66">
        <v>0</v>
      </c>
      <c r="BH38" s="67">
        <v>0</v>
      </c>
      <c r="BI38" s="67">
        <v>20118.588235294115</v>
      </c>
      <c r="FE38" s="39">
        <v>40210</v>
      </c>
      <c r="FF38" s="39">
        <v>0</v>
      </c>
      <c r="FG38" s="39">
        <v>0</v>
      </c>
      <c r="FH38" s="39">
        <v>0</v>
      </c>
      <c r="FI38" s="39">
        <v>0</v>
      </c>
      <c r="FJ38" s="39" t="e">
        <v>#REF!</v>
      </c>
      <c r="FK38" s="39" t="e">
        <v>#REF!</v>
      </c>
      <c r="FL38" s="39">
        <v>0</v>
      </c>
      <c r="FM38" s="39">
        <v>0</v>
      </c>
      <c r="FN38" s="39" t="e">
        <v>#REF!</v>
      </c>
      <c r="FO38" s="39">
        <v>0</v>
      </c>
      <c r="FP38" s="39" t="e">
        <v>#REF!</v>
      </c>
      <c r="FR38" s="39" t="e">
        <v>#REF!</v>
      </c>
    </row>
    <row r="39" spans="1:174" x14ac:dyDescent="0.25">
      <c r="A39" s="142">
        <v>0</v>
      </c>
      <c r="B39" s="81">
        <v>40211</v>
      </c>
      <c r="C39" s="198">
        <v>40211</v>
      </c>
      <c r="D39" s="69">
        <v>39483</v>
      </c>
      <c r="E39" s="70">
        <v>40211</v>
      </c>
      <c r="F39" s="71">
        <v>5</v>
      </c>
      <c r="G39" s="72"/>
      <c r="H39" s="82"/>
      <c r="I39" s="210"/>
      <c r="J39" s="210"/>
      <c r="K39" s="83">
        <v>0</v>
      </c>
      <c r="L39" s="83">
        <v>0</v>
      </c>
      <c r="M39" s="83">
        <v>0</v>
      </c>
      <c r="N39" s="83">
        <v>0</v>
      </c>
      <c r="O39" s="83">
        <v>0</v>
      </c>
      <c r="P39" s="83">
        <v>0</v>
      </c>
      <c r="Q39" s="83">
        <v>0</v>
      </c>
      <c r="R39" s="83">
        <v>0</v>
      </c>
      <c r="S39" s="83">
        <v>0</v>
      </c>
      <c r="T39" s="83">
        <v>0</v>
      </c>
      <c r="U39" s="83">
        <v>0</v>
      </c>
      <c r="V39" s="83">
        <v>0</v>
      </c>
      <c r="W39" s="83">
        <v>0</v>
      </c>
      <c r="X39" s="83">
        <v>0</v>
      </c>
      <c r="Y39" s="83">
        <v>0</v>
      </c>
      <c r="Z39" s="83">
        <v>0</v>
      </c>
      <c r="AA39" s="83">
        <v>0</v>
      </c>
      <c r="AB39" s="83">
        <v>0</v>
      </c>
      <c r="AC39" s="83">
        <v>0</v>
      </c>
      <c r="AD39" s="83">
        <v>0</v>
      </c>
      <c r="AE39" s="83">
        <v>0</v>
      </c>
      <c r="AF39" s="83">
        <v>0</v>
      </c>
      <c r="AG39" s="83">
        <v>0</v>
      </c>
      <c r="AH39" s="83">
        <v>0</v>
      </c>
      <c r="AI39" s="83">
        <v>0</v>
      </c>
      <c r="AJ39" s="83">
        <v>0</v>
      </c>
      <c r="AK39" s="83">
        <v>0</v>
      </c>
      <c r="AL39" s="83">
        <v>0</v>
      </c>
      <c r="AM39" s="83">
        <v>0</v>
      </c>
      <c r="AN39" s="83">
        <v>0</v>
      </c>
      <c r="AO39" s="83">
        <v>0</v>
      </c>
      <c r="AP39" s="83">
        <v>0</v>
      </c>
      <c r="AQ39" s="84">
        <v>0</v>
      </c>
      <c r="AR39" s="200">
        <v>0</v>
      </c>
      <c r="AS39" s="200">
        <v>0</v>
      </c>
      <c r="AT39" s="66">
        <v>0</v>
      </c>
      <c r="AU39" s="83">
        <v>0</v>
      </c>
      <c r="AV39" s="83">
        <v>0</v>
      </c>
      <c r="AW39" s="75">
        <v>0</v>
      </c>
      <c r="AX39" s="83">
        <v>0</v>
      </c>
      <c r="AY39" s="66">
        <v>0</v>
      </c>
      <c r="AZ39" s="83">
        <v>0</v>
      </c>
      <c r="BA39" s="83">
        <v>0</v>
      </c>
      <c r="BB39" s="83">
        <v>0</v>
      </c>
      <c r="BC39" s="83">
        <v>0</v>
      </c>
      <c r="BD39" s="83">
        <v>0</v>
      </c>
      <c r="BE39" s="83">
        <v>0</v>
      </c>
      <c r="BF39" s="83">
        <v>0</v>
      </c>
      <c r="BG39" s="66">
        <v>0</v>
      </c>
      <c r="BH39" s="67">
        <v>0</v>
      </c>
      <c r="BI39" s="67">
        <v>20118.588235294115</v>
      </c>
      <c r="FE39" s="39">
        <v>40211</v>
      </c>
      <c r="FF39" s="39">
        <v>0</v>
      </c>
      <c r="FG39" s="39">
        <v>0</v>
      </c>
      <c r="FH39" s="39">
        <v>0</v>
      </c>
      <c r="FI39" s="39">
        <v>0</v>
      </c>
      <c r="FJ39" s="39" t="e">
        <v>#REF!</v>
      </c>
      <c r="FK39" s="39" t="e">
        <v>#REF!</v>
      </c>
      <c r="FL39" s="39">
        <v>0</v>
      </c>
      <c r="FM39" s="39">
        <v>0</v>
      </c>
      <c r="FN39" s="39" t="e">
        <v>#REF!</v>
      </c>
      <c r="FO39" s="39">
        <v>0</v>
      </c>
      <c r="FP39" s="39" t="e">
        <v>#REF!</v>
      </c>
      <c r="FR39" s="39" t="e">
        <v>#REF!</v>
      </c>
    </row>
    <row r="40" spans="1:174" x14ac:dyDescent="0.25">
      <c r="A40" s="142">
        <v>0</v>
      </c>
      <c r="B40" s="81">
        <v>40212</v>
      </c>
      <c r="C40" s="198">
        <v>40212</v>
      </c>
      <c r="D40" s="69">
        <v>39484</v>
      </c>
      <c r="E40" s="70">
        <v>40212</v>
      </c>
      <c r="F40" s="71">
        <v>5</v>
      </c>
      <c r="G40" s="72"/>
      <c r="H40" s="82"/>
      <c r="I40" s="210"/>
      <c r="J40" s="210"/>
      <c r="K40" s="83">
        <v>0</v>
      </c>
      <c r="L40" s="83">
        <v>0</v>
      </c>
      <c r="M40" s="83">
        <v>0</v>
      </c>
      <c r="N40" s="83">
        <v>0</v>
      </c>
      <c r="O40" s="83">
        <v>0</v>
      </c>
      <c r="P40" s="83">
        <v>0</v>
      </c>
      <c r="Q40" s="83">
        <v>0</v>
      </c>
      <c r="R40" s="83">
        <v>0</v>
      </c>
      <c r="S40" s="83">
        <v>0</v>
      </c>
      <c r="T40" s="83">
        <v>0</v>
      </c>
      <c r="U40" s="83">
        <v>0</v>
      </c>
      <c r="V40" s="83">
        <v>0</v>
      </c>
      <c r="W40" s="83">
        <v>0</v>
      </c>
      <c r="X40" s="83">
        <v>0</v>
      </c>
      <c r="Y40" s="83">
        <v>0</v>
      </c>
      <c r="Z40" s="83">
        <v>0</v>
      </c>
      <c r="AA40" s="83">
        <v>0</v>
      </c>
      <c r="AB40" s="83">
        <v>0</v>
      </c>
      <c r="AC40" s="83">
        <v>0</v>
      </c>
      <c r="AD40" s="83">
        <v>0</v>
      </c>
      <c r="AE40" s="83">
        <v>0</v>
      </c>
      <c r="AF40" s="83">
        <v>0</v>
      </c>
      <c r="AG40" s="83">
        <v>0</v>
      </c>
      <c r="AH40" s="83">
        <v>0</v>
      </c>
      <c r="AI40" s="83">
        <v>0</v>
      </c>
      <c r="AJ40" s="83">
        <v>0</v>
      </c>
      <c r="AK40" s="83">
        <v>0</v>
      </c>
      <c r="AL40" s="83">
        <v>0</v>
      </c>
      <c r="AM40" s="83">
        <v>0</v>
      </c>
      <c r="AN40" s="83">
        <v>0</v>
      </c>
      <c r="AO40" s="83">
        <v>0</v>
      </c>
      <c r="AP40" s="83">
        <v>0</v>
      </c>
      <c r="AQ40" s="84">
        <v>0</v>
      </c>
      <c r="AR40" s="200">
        <v>0</v>
      </c>
      <c r="AS40" s="200">
        <v>0</v>
      </c>
      <c r="AT40" s="66">
        <v>0</v>
      </c>
      <c r="AU40" s="83">
        <v>0</v>
      </c>
      <c r="AV40" s="83">
        <v>0</v>
      </c>
      <c r="AW40" s="75">
        <v>0</v>
      </c>
      <c r="AX40" s="83">
        <v>0</v>
      </c>
      <c r="AY40" s="66">
        <v>0</v>
      </c>
      <c r="AZ40" s="83">
        <v>0</v>
      </c>
      <c r="BA40" s="83">
        <v>0</v>
      </c>
      <c r="BB40" s="83">
        <v>0</v>
      </c>
      <c r="BC40" s="83">
        <v>0</v>
      </c>
      <c r="BD40" s="83">
        <v>0</v>
      </c>
      <c r="BE40" s="83">
        <v>0</v>
      </c>
      <c r="BF40" s="83">
        <v>0</v>
      </c>
      <c r="BG40" s="66">
        <v>0</v>
      </c>
      <c r="BH40" s="67">
        <v>0</v>
      </c>
      <c r="BI40" s="67">
        <v>20118.588235294115</v>
      </c>
      <c r="FE40" s="39">
        <v>40212</v>
      </c>
      <c r="FF40" s="39">
        <v>0</v>
      </c>
      <c r="FG40" s="39">
        <v>0</v>
      </c>
      <c r="FH40" s="39">
        <v>0</v>
      </c>
      <c r="FI40" s="39">
        <v>0</v>
      </c>
      <c r="FJ40" s="39" t="e">
        <v>#REF!</v>
      </c>
      <c r="FK40" s="39" t="e">
        <v>#REF!</v>
      </c>
      <c r="FL40" s="39">
        <v>0</v>
      </c>
      <c r="FM40" s="39">
        <v>0</v>
      </c>
      <c r="FN40" s="39" t="e">
        <v>#REF!</v>
      </c>
      <c r="FO40" s="39">
        <v>0</v>
      </c>
      <c r="FP40" s="39" t="e">
        <v>#REF!</v>
      </c>
      <c r="FR40" s="39" t="e">
        <v>#REF!</v>
      </c>
    </row>
    <row r="41" spans="1:174" x14ac:dyDescent="0.25">
      <c r="A41" s="142">
        <v>0</v>
      </c>
      <c r="B41" s="81">
        <v>40213</v>
      </c>
      <c r="C41" s="198">
        <v>40213</v>
      </c>
      <c r="D41" s="69">
        <v>39485</v>
      </c>
      <c r="E41" s="70">
        <v>40213</v>
      </c>
      <c r="F41" s="71">
        <v>5</v>
      </c>
      <c r="G41" s="72"/>
      <c r="H41" s="82"/>
      <c r="I41" s="210"/>
      <c r="J41" s="210"/>
      <c r="K41" s="83">
        <v>0</v>
      </c>
      <c r="L41" s="83">
        <v>0</v>
      </c>
      <c r="M41" s="83">
        <v>0</v>
      </c>
      <c r="N41" s="83">
        <v>0</v>
      </c>
      <c r="O41" s="83">
        <v>0</v>
      </c>
      <c r="P41" s="83">
        <v>0</v>
      </c>
      <c r="Q41" s="83">
        <v>0</v>
      </c>
      <c r="R41" s="83">
        <v>0</v>
      </c>
      <c r="S41" s="83">
        <v>0</v>
      </c>
      <c r="T41" s="83">
        <v>0</v>
      </c>
      <c r="U41" s="83">
        <v>0</v>
      </c>
      <c r="V41" s="83">
        <v>0</v>
      </c>
      <c r="W41" s="83">
        <v>0</v>
      </c>
      <c r="X41" s="83">
        <v>0</v>
      </c>
      <c r="Y41" s="83">
        <v>0</v>
      </c>
      <c r="Z41" s="83">
        <v>0</v>
      </c>
      <c r="AA41" s="83">
        <v>0</v>
      </c>
      <c r="AB41" s="83">
        <v>0</v>
      </c>
      <c r="AC41" s="83">
        <v>0</v>
      </c>
      <c r="AD41" s="83">
        <v>0</v>
      </c>
      <c r="AE41" s="83">
        <v>0</v>
      </c>
      <c r="AF41" s="83">
        <v>0</v>
      </c>
      <c r="AG41" s="83">
        <v>0</v>
      </c>
      <c r="AH41" s="83">
        <v>0</v>
      </c>
      <c r="AI41" s="83">
        <v>0</v>
      </c>
      <c r="AJ41" s="83">
        <v>0</v>
      </c>
      <c r="AK41" s="83">
        <v>0</v>
      </c>
      <c r="AL41" s="83">
        <v>0</v>
      </c>
      <c r="AM41" s="83">
        <v>0</v>
      </c>
      <c r="AN41" s="83">
        <v>0</v>
      </c>
      <c r="AO41" s="83">
        <v>0</v>
      </c>
      <c r="AP41" s="83">
        <v>0</v>
      </c>
      <c r="AQ41" s="84">
        <v>0</v>
      </c>
      <c r="AR41" s="200">
        <v>0</v>
      </c>
      <c r="AS41" s="200">
        <v>0</v>
      </c>
      <c r="AT41" s="66">
        <v>0</v>
      </c>
      <c r="AU41" s="83">
        <v>0</v>
      </c>
      <c r="AV41" s="83">
        <v>0</v>
      </c>
      <c r="AW41" s="75">
        <v>235.29411764705881</v>
      </c>
      <c r="AX41" s="83">
        <v>0</v>
      </c>
      <c r="AY41" s="66">
        <v>235.29411764705881</v>
      </c>
      <c r="AZ41" s="83">
        <v>0</v>
      </c>
      <c r="BA41" s="83">
        <v>0</v>
      </c>
      <c r="BB41" s="83">
        <v>0</v>
      </c>
      <c r="BC41" s="83">
        <v>0</v>
      </c>
      <c r="BD41" s="83">
        <v>0</v>
      </c>
      <c r="BE41" s="83">
        <v>0</v>
      </c>
      <c r="BF41" s="83">
        <v>0</v>
      </c>
      <c r="BG41" s="66">
        <v>0</v>
      </c>
      <c r="BH41" s="67">
        <v>235.29411764705881</v>
      </c>
      <c r="BI41" s="67">
        <v>20353.882352941175</v>
      </c>
      <c r="FE41" s="39">
        <v>40213</v>
      </c>
      <c r="FF41" s="39">
        <v>0</v>
      </c>
      <c r="FG41" s="39">
        <v>0</v>
      </c>
      <c r="FH41" s="39">
        <v>0</v>
      </c>
      <c r="FI41" s="39">
        <v>0</v>
      </c>
      <c r="FJ41" s="39" t="e">
        <v>#REF!</v>
      </c>
      <c r="FK41" s="39" t="e">
        <v>#REF!</v>
      </c>
      <c r="FL41" s="39">
        <v>0</v>
      </c>
      <c r="FM41" s="39">
        <v>0</v>
      </c>
      <c r="FN41" s="39" t="e">
        <v>#REF!</v>
      </c>
      <c r="FO41" s="39">
        <v>0</v>
      </c>
      <c r="FP41" s="39" t="e">
        <v>#REF!</v>
      </c>
      <c r="FR41" s="39" t="e">
        <v>#REF!</v>
      </c>
    </row>
    <row r="42" spans="1:174" x14ac:dyDescent="0.25">
      <c r="A42" s="142">
        <v>0</v>
      </c>
      <c r="B42" s="81">
        <v>40214</v>
      </c>
      <c r="C42" s="198">
        <v>40214</v>
      </c>
      <c r="D42" s="69">
        <v>39486</v>
      </c>
      <c r="E42" s="70">
        <v>40214</v>
      </c>
      <c r="F42" s="71">
        <v>5</v>
      </c>
      <c r="G42" s="72"/>
      <c r="H42" s="82"/>
      <c r="I42" s="210"/>
      <c r="J42" s="210"/>
      <c r="K42" s="83">
        <v>0</v>
      </c>
      <c r="L42" s="83">
        <v>0</v>
      </c>
      <c r="M42" s="83">
        <v>0</v>
      </c>
      <c r="N42" s="83">
        <v>0</v>
      </c>
      <c r="O42" s="83">
        <v>0</v>
      </c>
      <c r="P42" s="83">
        <v>0</v>
      </c>
      <c r="Q42" s="83">
        <v>0</v>
      </c>
      <c r="R42" s="83">
        <v>0</v>
      </c>
      <c r="S42" s="83">
        <v>0</v>
      </c>
      <c r="T42" s="83">
        <v>0</v>
      </c>
      <c r="U42" s="83">
        <v>0</v>
      </c>
      <c r="V42" s="83">
        <v>0</v>
      </c>
      <c r="W42" s="83">
        <v>0</v>
      </c>
      <c r="X42" s="83">
        <v>0</v>
      </c>
      <c r="Y42" s="83">
        <v>0</v>
      </c>
      <c r="Z42" s="83">
        <v>0</v>
      </c>
      <c r="AA42" s="83">
        <v>0</v>
      </c>
      <c r="AB42" s="83">
        <v>0</v>
      </c>
      <c r="AC42" s="83">
        <v>0</v>
      </c>
      <c r="AD42" s="83">
        <v>0</v>
      </c>
      <c r="AE42" s="83">
        <v>0</v>
      </c>
      <c r="AF42" s="83">
        <v>0</v>
      </c>
      <c r="AG42" s="83">
        <v>0</v>
      </c>
      <c r="AH42" s="83">
        <v>0</v>
      </c>
      <c r="AI42" s="83">
        <v>0</v>
      </c>
      <c r="AJ42" s="83">
        <v>0</v>
      </c>
      <c r="AK42" s="83">
        <v>0</v>
      </c>
      <c r="AL42" s="83">
        <v>0</v>
      </c>
      <c r="AM42" s="83">
        <v>0</v>
      </c>
      <c r="AN42" s="83">
        <v>0</v>
      </c>
      <c r="AO42" s="83">
        <v>0</v>
      </c>
      <c r="AP42" s="83">
        <v>0</v>
      </c>
      <c r="AQ42" s="84">
        <v>0</v>
      </c>
      <c r="AR42" s="200">
        <v>0</v>
      </c>
      <c r="AS42" s="200">
        <v>0</v>
      </c>
      <c r="AT42" s="66">
        <v>0</v>
      </c>
      <c r="AU42" s="83">
        <v>0</v>
      </c>
      <c r="AV42" s="83">
        <v>0</v>
      </c>
      <c r="AW42" s="75">
        <v>0</v>
      </c>
      <c r="AX42" s="83">
        <v>0</v>
      </c>
      <c r="AY42" s="66">
        <v>0</v>
      </c>
      <c r="AZ42" s="83">
        <v>0</v>
      </c>
      <c r="BA42" s="84">
        <v>0</v>
      </c>
      <c r="BB42" s="84">
        <v>0</v>
      </c>
      <c r="BC42" s="84">
        <v>0</v>
      </c>
      <c r="BD42" s="84">
        <v>0</v>
      </c>
      <c r="BE42" s="84">
        <v>0</v>
      </c>
      <c r="BF42" s="84">
        <v>0</v>
      </c>
      <c r="BG42" s="66">
        <v>0</v>
      </c>
      <c r="BH42" s="67">
        <v>0</v>
      </c>
      <c r="BI42" s="67">
        <v>20353.882352941175</v>
      </c>
      <c r="FE42" s="39">
        <v>40214</v>
      </c>
      <c r="FF42" s="39">
        <v>0</v>
      </c>
      <c r="FG42" s="39">
        <v>0</v>
      </c>
      <c r="FH42" s="39">
        <v>0</v>
      </c>
      <c r="FI42" s="39">
        <v>0</v>
      </c>
      <c r="FJ42" s="39" t="e">
        <v>#REF!</v>
      </c>
      <c r="FK42" s="39" t="e">
        <v>#REF!</v>
      </c>
      <c r="FL42" s="39">
        <v>0</v>
      </c>
      <c r="FM42" s="39">
        <v>0</v>
      </c>
      <c r="FN42" s="39" t="e">
        <v>#REF!</v>
      </c>
      <c r="FO42" s="39">
        <v>0</v>
      </c>
      <c r="FP42" s="39" t="e">
        <v>#REF!</v>
      </c>
      <c r="FR42" s="39" t="e">
        <v>#REF!</v>
      </c>
    </row>
    <row r="43" spans="1:174" s="40" customFormat="1" x14ac:dyDescent="0.25">
      <c r="A43" s="142">
        <v>0</v>
      </c>
      <c r="B43" s="85">
        <v>40215</v>
      </c>
      <c r="C43" s="203">
        <v>40215</v>
      </c>
      <c r="D43" s="76">
        <v>39487</v>
      </c>
      <c r="E43" s="77">
        <v>40215</v>
      </c>
      <c r="F43" s="78">
        <v>5</v>
      </c>
      <c r="G43" s="79"/>
      <c r="H43" s="80" t="s">
        <v>34</v>
      </c>
      <c r="I43" s="212"/>
      <c r="J43" s="212"/>
      <c r="K43" s="231">
        <v>1214.1176470588234</v>
      </c>
      <c r="L43" s="231">
        <v>240</v>
      </c>
      <c r="M43" s="231">
        <v>1454.1176470588234</v>
      </c>
      <c r="N43" s="231">
        <v>541.17647058823525</v>
      </c>
      <c r="O43" s="231">
        <v>42.352941176470587</v>
      </c>
      <c r="P43" s="231">
        <v>583.52941176470586</v>
      </c>
      <c r="Q43" s="231">
        <v>2.8235294117647061</v>
      </c>
      <c r="R43" s="231">
        <v>0</v>
      </c>
      <c r="S43" s="231">
        <v>2.8235294117647061</v>
      </c>
      <c r="T43" s="231">
        <v>51.764705882352942</v>
      </c>
      <c r="U43" s="231">
        <v>1101.1764705882354</v>
      </c>
      <c r="V43" s="231">
        <v>1152.9411764705883</v>
      </c>
      <c r="W43" s="231">
        <v>595.76470588235293</v>
      </c>
      <c r="X43" s="231">
        <v>1143.5294117647059</v>
      </c>
      <c r="Y43" s="231">
        <v>1739.2941176470588</v>
      </c>
      <c r="Z43" s="200">
        <v>3193.4117647058824</v>
      </c>
      <c r="AA43" s="231">
        <v>0</v>
      </c>
      <c r="AB43" s="231">
        <v>0</v>
      </c>
      <c r="AC43" s="231">
        <v>0</v>
      </c>
      <c r="AD43" s="231">
        <v>0</v>
      </c>
      <c r="AE43" s="231">
        <v>0</v>
      </c>
      <c r="AF43" s="231">
        <v>0</v>
      </c>
      <c r="AG43" s="231">
        <v>0</v>
      </c>
      <c r="AH43" s="231">
        <v>0</v>
      </c>
      <c r="AI43" s="231">
        <v>0</v>
      </c>
      <c r="AJ43" s="231">
        <v>0</v>
      </c>
      <c r="AK43" s="231">
        <v>0</v>
      </c>
      <c r="AL43" s="231">
        <v>0</v>
      </c>
      <c r="AM43" s="231">
        <v>0</v>
      </c>
      <c r="AN43" s="231">
        <v>0</v>
      </c>
      <c r="AO43" s="231">
        <v>0</v>
      </c>
      <c r="AP43" s="200">
        <v>0</v>
      </c>
      <c r="AQ43" s="232">
        <v>0</v>
      </c>
      <c r="AR43" s="200">
        <v>1454.1176470588234</v>
      </c>
      <c r="AS43" s="200">
        <v>1739.2941176470588</v>
      </c>
      <c r="AT43" s="66">
        <v>3193.411764705882</v>
      </c>
      <c r="AU43" s="231">
        <v>0</v>
      </c>
      <c r="AV43" s="231">
        <v>112.94117647058823</v>
      </c>
      <c r="AW43" s="75">
        <v>11.294117647058824</v>
      </c>
      <c r="AX43" s="452">
        <v>613</v>
      </c>
      <c r="AY43" s="66">
        <v>737.23529411764707</v>
      </c>
      <c r="AZ43" s="208">
        <v>0</v>
      </c>
      <c r="BA43" s="86">
        <v>70.588235294117652</v>
      </c>
      <c r="BB43" s="86">
        <v>82.82352941176471</v>
      </c>
      <c r="BC43" s="86">
        <v>70.588235294117652</v>
      </c>
      <c r="BD43" s="86">
        <v>82.82352941176471</v>
      </c>
      <c r="BE43" s="86">
        <v>153.41176470588235</v>
      </c>
      <c r="BF43" s="86">
        <v>0</v>
      </c>
      <c r="BG43" s="66">
        <v>153.41176470588235</v>
      </c>
      <c r="BH43" s="67">
        <v>4084.0588235294113</v>
      </c>
      <c r="BI43" s="67">
        <v>24437.941176470587</v>
      </c>
      <c r="FE43" s="40">
        <v>40215</v>
      </c>
      <c r="FF43" s="40">
        <v>1214.1176470588234</v>
      </c>
      <c r="FG43" s="40">
        <v>541.17647058823525</v>
      </c>
      <c r="FH43" s="40">
        <v>1755.2941176470586</v>
      </c>
      <c r="FI43" s="40">
        <v>70.588235294117652</v>
      </c>
      <c r="FJ43" s="40" t="e">
        <v>#REF!</v>
      </c>
      <c r="FK43" s="40" t="e">
        <v>#REF!</v>
      </c>
      <c r="FL43" s="40">
        <v>0</v>
      </c>
      <c r="FM43" s="40">
        <v>112.94117647058823</v>
      </c>
      <c r="FN43" s="40" t="e">
        <v>#REF!</v>
      </c>
      <c r="FO43" s="40">
        <v>613</v>
      </c>
      <c r="FP43" s="40" t="e">
        <v>#REF!</v>
      </c>
      <c r="FR43" s="40" t="e">
        <v>#REF!</v>
      </c>
    </row>
    <row r="44" spans="1:174" s="40" customFormat="1" x14ac:dyDescent="0.25">
      <c r="A44" s="142">
        <v>0</v>
      </c>
      <c r="B44" s="85">
        <v>40216</v>
      </c>
      <c r="C44" s="203">
        <v>40216</v>
      </c>
      <c r="D44" s="76">
        <v>39488</v>
      </c>
      <c r="E44" s="77">
        <v>40216</v>
      </c>
      <c r="F44" s="78">
        <v>5</v>
      </c>
      <c r="G44" s="79"/>
      <c r="H44" s="80" t="s">
        <v>34</v>
      </c>
      <c r="I44" s="212"/>
      <c r="J44" s="212"/>
      <c r="K44" s="231">
        <v>729.41176470588232</v>
      </c>
      <c r="L44" s="231">
        <v>230.58823529411765</v>
      </c>
      <c r="M44" s="231">
        <v>960</v>
      </c>
      <c r="N44" s="231">
        <v>371.76470588235293</v>
      </c>
      <c r="O44" s="231">
        <v>38.588235294117645</v>
      </c>
      <c r="P44" s="231">
        <v>410.35294117647061</v>
      </c>
      <c r="Q44" s="231">
        <v>13.176470588235293</v>
      </c>
      <c r="R44" s="231">
        <v>0</v>
      </c>
      <c r="S44" s="231">
        <v>13.176470588235293</v>
      </c>
      <c r="T44" s="231">
        <v>51.764705882352942</v>
      </c>
      <c r="U44" s="231">
        <v>729.41176470588232</v>
      </c>
      <c r="V44" s="231">
        <v>781.17647058823525</v>
      </c>
      <c r="W44" s="231">
        <v>436.70588235294116</v>
      </c>
      <c r="X44" s="231">
        <v>768</v>
      </c>
      <c r="Y44" s="231">
        <v>1204.7058823529412</v>
      </c>
      <c r="Z44" s="200">
        <v>2164.705882352941</v>
      </c>
      <c r="AA44" s="231">
        <v>0.84705882352941175</v>
      </c>
      <c r="AB44" s="231">
        <v>0</v>
      </c>
      <c r="AC44" s="231">
        <v>0.84705882352941175</v>
      </c>
      <c r="AD44" s="231">
        <v>0</v>
      </c>
      <c r="AE44" s="231">
        <v>0</v>
      </c>
      <c r="AF44" s="231">
        <v>0</v>
      </c>
      <c r="AG44" s="231">
        <v>1.9764705882352942</v>
      </c>
      <c r="AH44" s="231">
        <v>0</v>
      </c>
      <c r="AI44" s="231">
        <v>1.9764705882352942</v>
      </c>
      <c r="AJ44" s="231">
        <v>0</v>
      </c>
      <c r="AK44" s="231">
        <v>13.176470588235293</v>
      </c>
      <c r="AL44" s="231">
        <v>13.176470588235293</v>
      </c>
      <c r="AM44" s="231">
        <v>1.9764705882352942</v>
      </c>
      <c r="AN44" s="231">
        <v>13.176470588235293</v>
      </c>
      <c r="AO44" s="231">
        <v>15.152941176470589</v>
      </c>
      <c r="AP44" s="200">
        <v>16</v>
      </c>
      <c r="AQ44" s="232">
        <v>0</v>
      </c>
      <c r="AR44" s="200">
        <v>960.84705882352944</v>
      </c>
      <c r="AS44" s="200">
        <v>1219.8588235294119</v>
      </c>
      <c r="AT44" s="66">
        <v>2180.7058823529414</v>
      </c>
      <c r="AU44" s="231">
        <v>0</v>
      </c>
      <c r="AV44" s="231">
        <v>141.1764705882353</v>
      </c>
      <c r="AW44" s="75">
        <v>11.294117647058824</v>
      </c>
      <c r="AX44" s="231">
        <v>37.647058823529413</v>
      </c>
      <c r="AY44" s="66">
        <v>190.11764705882354</v>
      </c>
      <c r="AZ44" s="208">
        <v>0</v>
      </c>
      <c r="BA44" s="86">
        <v>0</v>
      </c>
      <c r="BB44" s="86">
        <v>0</v>
      </c>
      <c r="BC44" s="86">
        <v>0</v>
      </c>
      <c r="BD44" s="86">
        <v>0</v>
      </c>
      <c r="BE44" s="233">
        <v>0</v>
      </c>
      <c r="BF44" s="233">
        <v>23.529411764705884</v>
      </c>
      <c r="BG44" s="234">
        <v>23.529411764705884</v>
      </c>
      <c r="BH44" s="67">
        <v>2394.3529411764707</v>
      </c>
      <c r="BI44" s="67">
        <v>26832.294117647059</v>
      </c>
      <c r="FE44" s="40">
        <v>40216</v>
      </c>
      <c r="FF44" s="40">
        <v>729.41176470588232</v>
      </c>
      <c r="FG44" s="40">
        <v>371.76470588235293</v>
      </c>
      <c r="FH44" s="40">
        <v>1101.1764705882351</v>
      </c>
      <c r="FI44" s="40">
        <v>0</v>
      </c>
      <c r="FJ44" s="40" t="e">
        <v>#REF!</v>
      </c>
      <c r="FK44" s="40" t="e">
        <v>#REF!</v>
      </c>
      <c r="FL44" s="40">
        <v>0</v>
      </c>
      <c r="FM44" s="40">
        <v>141.1764705882353</v>
      </c>
      <c r="FN44" s="40" t="e">
        <v>#REF!</v>
      </c>
      <c r="FO44" s="40">
        <v>37.647058823529413</v>
      </c>
      <c r="FP44" s="40" t="e">
        <v>#REF!</v>
      </c>
      <c r="FR44" s="40" t="e">
        <v>#REF!</v>
      </c>
    </row>
    <row r="45" spans="1:174" x14ac:dyDescent="0.25">
      <c r="A45" s="142">
        <v>0</v>
      </c>
      <c r="B45" s="68">
        <v>40217</v>
      </c>
      <c r="C45" s="198">
        <v>40217</v>
      </c>
      <c r="D45" s="69">
        <v>39489</v>
      </c>
      <c r="E45" s="70">
        <v>40217</v>
      </c>
      <c r="F45" s="71">
        <v>6</v>
      </c>
      <c r="G45" s="72"/>
      <c r="H45" s="82" t="s">
        <v>34</v>
      </c>
      <c r="I45" s="210"/>
      <c r="J45" s="210"/>
      <c r="K45" s="235">
        <v>696.47058823529414</v>
      </c>
      <c r="L45" s="235">
        <v>92.235294117647058</v>
      </c>
      <c r="M45" s="235">
        <v>788.70588235294122</v>
      </c>
      <c r="N45" s="235">
        <v>634.35294117647061</v>
      </c>
      <c r="O45" s="235">
        <v>65.882352941176464</v>
      </c>
      <c r="P45" s="235">
        <v>700.23529411764707</v>
      </c>
      <c r="Q45" s="235">
        <v>10.352941176470589</v>
      </c>
      <c r="R45" s="235">
        <v>0</v>
      </c>
      <c r="S45" s="235">
        <v>10.352941176470589</v>
      </c>
      <c r="T45" s="235">
        <v>51.764705882352942</v>
      </c>
      <c r="U45" s="235">
        <v>1148.2352941176471</v>
      </c>
      <c r="V45" s="235">
        <v>1200</v>
      </c>
      <c r="W45" s="235">
        <v>696.47058823529414</v>
      </c>
      <c r="X45" s="235">
        <v>1214.1176470588234</v>
      </c>
      <c r="Y45" s="235">
        <v>1910.5882352941176</v>
      </c>
      <c r="Z45" s="200">
        <v>2699.294117647059</v>
      </c>
      <c r="AA45" s="235">
        <v>1.9764705882352942</v>
      </c>
      <c r="AB45" s="235">
        <v>0</v>
      </c>
      <c r="AC45" s="235">
        <v>1.9764705882352942</v>
      </c>
      <c r="AD45" s="235">
        <v>0</v>
      </c>
      <c r="AE45" s="235">
        <v>0</v>
      </c>
      <c r="AF45" s="235">
        <v>0</v>
      </c>
      <c r="AG45" s="235">
        <v>4.6117647058823534</v>
      </c>
      <c r="AH45" s="235">
        <v>0</v>
      </c>
      <c r="AI45" s="235">
        <v>4.6117647058823534</v>
      </c>
      <c r="AJ45" s="235">
        <v>0</v>
      </c>
      <c r="AK45" s="235">
        <v>7.5294117647058822</v>
      </c>
      <c r="AL45" s="235">
        <v>7.5294117647058822</v>
      </c>
      <c r="AM45" s="235">
        <v>4.6117647058823534</v>
      </c>
      <c r="AN45" s="235">
        <v>7.5294117647058822</v>
      </c>
      <c r="AO45" s="235">
        <v>12.141176470588235</v>
      </c>
      <c r="AP45" s="200">
        <v>14.117647058823529</v>
      </c>
      <c r="AQ45" s="141">
        <v>0</v>
      </c>
      <c r="AR45" s="200">
        <v>790.68235294117653</v>
      </c>
      <c r="AS45" s="200">
        <v>1922.7294117647059</v>
      </c>
      <c r="AT45" s="66">
        <v>2713.4117647058824</v>
      </c>
      <c r="AU45" s="235">
        <v>0</v>
      </c>
      <c r="AV45" s="235">
        <v>94.117647058823536</v>
      </c>
      <c r="AW45" s="75">
        <v>37.647058823529413</v>
      </c>
      <c r="AX45" s="235">
        <v>18.823529411764707</v>
      </c>
      <c r="AY45" s="66">
        <v>150.58823529411765</v>
      </c>
      <c r="AZ45" s="202">
        <v>0</v>
      </c>
      <c r="BA45" s="87">
        <v>0</v>
      </c>
      <c r="BB45" s="87">
        <v>57.411764705882355</v>
      </c>
      <c r="BC45" s="87">
        <v>0</v>
      </c>
      <c r="BD45" s="87">
        <v>57.411764705882355</v>
      </c>
      <c r="BE45" s="87">
        <v>57.411764705882355</v>
      </c>
      <c r="BF45" s="87">
        <v>82.82352941176471</v>
      </c>
      <c r="BG45" s="66">
        <v>140.23529411764707</v>
      </c>
      <c r="BH45" s="67">
        <v>3004.2352941176473</v>
      </c>
      <c r="BI45" s="67">
        <v>29836.529411764706</v>
      </c>
      <c r="FE45" s="39">
        <v>40217</v>
      </c>
      <c r="FF45" s="39">
        <v>696.47058823529414</v>
      </c>
      <c r="FG45" s="39">
        <v>634.35294117647061</v>
      </c>
      <c r="FH45" s="39">
        <v>1330.8235294117649</v>
      </c>
      <c r="FI45" s="39">
        <v>0</v>
      </c>
      <c r="FJ45" s="39" t="e">
        <v>#REF!</v>
      </c>
      <c r="FK45" s="39" t="e">
        <v>#REF!</v>
      </c>
      <c r="FL45" s="39">
        <v>0</v>
      </c>
      <c r="FM45" s="39">
        <v>94.117647058823536</v>
      </c>
      <c r="FN45" s="39" t="e">
        <v>#REF!</v>
      </c>
      <c r="FO45" s="39">
        <v>18.823529411764707</v>
      </c>
      <c r="FP45" s="39" t="e">
        <v>#REF!</v>
      </c>
      <c r="FR45" s="39" t="e">
        <v>#REF!</v>
      </c>
    </row>
    <row r="46" spans="1:174" x14ac:dyDescent="0.25">
      <c r="A46" s="142">
        <v>0</v>
      </c>
      <c r="B46" s="68">
        <v>40218</v>
      </c>
      <c r="C46" s="198">
        <v>40218</v>
      </c>
      <c r="D46" s="69">
        <v>39490</v>
      </c>
      <c r="E46" s="70">
        <v>40218</v>
      </c>
      <c r="F46" s="71">
        <v>6</v>
      </c>
      <c r="G46" s="72"/>
      <c r="H46" s="82" t="s">
        <v>34</v>
      </c>
      <c r="I46" s="210"/>
      <c r="J46" s="210"/>
      <c r="K46" s="235">
        <v>932.70588235294122</v>
      </c>
      <c r="L46" s="235">
        <v>95.058823529411768</v>
      </c>
      <c r="M46" s="235">
        <v>1027.7647058823529</v>
      </c>
      <c r="N46" s="235">
        <v>381.1764705882353</v>
      </c>
      <c r="O46" s="235">
        <v>47.058823529411768</v>
      </c>
      <c r="P46" s="235">
        <v>428.23529411764707</v>
      </c>
      <c r="Q46" s="235">
        <v>26.352941176470587</v>
      </c>
      <c r="R46" s="235">
        <v>0</v>
      </c>
      <c r="S46" s="235">
        <v>26.352941176470587</v>
      </c>
      <c r="T46" s="235">
        <v>32.941176470588232</v>
      </c>
      <c r="U46" s="235">
        <v>1002.3529411764706</v>
      </c>
      <c r="V46" s="235">
        <v>1035.2941176470588</v>
      </c>
      <c r="W46" s="235">
        <v>440.47058823529414</v>
      </c>
      <c r="X46" s="235">
        <v>1049.4117647058824</v>
      </c>
      <c r="Y46" s="235">
        <v>1489.8823529411766</v>
      </c>
      <c r="Z46" s="200">
        <v>2517.6470588235293</v>
      </c>
      <c r="AA46" s="235">
        <v>1.6941176470588235</v>
      </c>
      <c r="AB46" s="235">
        <v>1.411764705882353</v>
      </c>
      <c r="AC46" s="235">
        <v>3.1058823529411761</v>
      </c>
      <c r="AD46" s="235">
        <v>0</v>
      </c>
      <c r="AE46" s="235">
        <v>0</v>
      </c>
      <c r="AF46" s="235">
        <v>0</v>
      </c>
      <c r="AG46" s="235">
        <v>3.9529411764705884</v>
      </c>
      <c r="AH46" s="235">
        <v>3.2941176470588234</v>
      </c>
      <c r="AI46" s="235">
        <v>7.2470588235294118</v>
      </c>
      <c r="AJ46" s="235">
        <v>0</v>
      </c>
      <c r="AK46" s="235">
        <v>9.4117647058823533</v>
      </c>
      <c r="AL46" s="235">
        <v>9.4117647058823533</v>
      </c>
      <c r="AM46" s="235">
        <v>3.9529411764705884</v>
      </c>
      <c r="AN46" s="235">
        <v>12.705882352941176</v>
      </c>
      <c r="AO46" s="235">
        <v>16.658823529411762</v>
      </c>
      <c r="AP46" s="200">
        <v>19.764705882352942</v>
      </c>
      <c r="AQ46" s="141">
        <v>0</v>
      </c>
      <c r="AR46" s="200">
        <v>1030.870588235294</v>
      </c>
      <c r="AS46" s="200">
        <v>1506.5411764705884</v>
      </c>
      <c r="AT46" s="66">
        <v>2537.4117647058824</v>
      </c>
      <c r="AU46" s="235">
        <v>0</v>
      </c>
      <c r="AV46" s="235">
        <v>94.117647058823536</v>
      </c>
      <c r="AW46" s="75">
        <v>65.882352941176464</v>
      </c>
      <c r="AX46" s="235">
        <v>376.47058823529414</v>
      </c>
      <c r="AY46" s="66">
        <v>536.47058823529414</v>
      </c>
      <c r="AZ46" s="202">
        <v>0</v>
      </c>
      <c r="BA46" s="87">
        <v>0</v>
      </c>
      <c r="BB46" s="87">
        <v>0</v>
      </c>
      <c r="BC46" s="87">
        <v>0</v>
      </c>
      <c r="BD46" s="87">
        <v>0</v>
      </c>
      <c r="BE46" s="87">
        <v>0</v>
      </c>
      <c r="BF46" s="87">
        <v>281.41176470588238</v>
      </c>
      <c r="BG46" s="66">
        <v>281.41176470588238</v>
      </c>
      <c r="BH46" s="67">
        <v>3355.294117647059</v>
      </c>
      <c r="BI46" s="67">
        <v>33191.823529411762</v>
      </c>
      <c r="FE46" s="39">
        <v>40218</v>
      </c>
      <c r="FF46" s="39">
        <v>932.70588235294122</v>
      </c>
      <c r="FG46" s="39">
        <v>381.1764705882353</v>
      </c>
      <c r="FH46" s="39">
        <v>1313.8823529411766</v>
      </c>
      <c r="FI46" s="39">
        <v>0</v>
      </c>
      <c r="FJ46" s="39" t="e">
        <v>#REF!</v>
      </c>
      <c r="FK46" s="39" t="e">
        <v>#REF!</v>
      </c>
      <c r="FL46" s="39">
        <v>0</v>
      </c>
      <c r="FM46" s="39">
        <v>94.117647058823536</v>
      </c>
      <c r="FN46" s="39" t="e">
        <v>#REF!</v>
      </c>
      <c r="FO46" s="39">
        <v>376.47058823529414</v>
      </c>
      <c r="FP46" s="39" t="e">
        <v>#REF!</v>
      </c>
      <c r="FR46" s="39" t="e">
        <v>#REF!</v>
      </c>
    </row>
    <row r="47" spans="1:174" x14ac:dyDescent="0.25">
      <c r="A47" s="142">
        <v>0</v>
      </c>
      <c r="B47" s="68">
        <v>40219</v>
      </c>
      <c r="C47" s="198">
        <v>40219</v>
      </c>
      <c r="D47" s="69">
        <v>39491</v>
      </c>
      <c r="E47" s="70">
        <v>40219</v>
      </c>
      <c r="F47" s="71">
        <v>6</v>
      </c>
      <c r="G47" s="72"/>
      <c r="H47" s="82" t="s">
        <v>34</v>
      </c>
      <c r="I47" s="210"/>
      <c r="J47" s="210"/>
      <c r="K47" s="235">
        <v>545.88235294117646</v>
      </c>
      <c r="L47" s="235">
        <v>98.82352941176471</v>
      </c>
      <c r="M47" s="235">
        <v>644.70588235294122</v>
      </c>
      <c r="N47" s="235">
        <v>481.88235294117646</v>
      </c>
      <c r="O47" s="235">
        <v>53.647058823529413</v>
      </c>
      <c r="P47" s="235">
        <v>535.52941176470586</v>
      </c>
      <c r="Q47" s="235">
        <v>7.5294117647058822</v>
      </c>
      <c r="R47" s="235">
        <v>0</v>
      </c>
      <c r="S47" s="235">
        <v>7.5294117647058822</v>
      </c>
      <c r="T47" s="235">
        <v>77.17647058823529</v>
      </c>
      <c r="U47" s="235">
        <v>734.11764705882354</v>
      </c>
      <c r="V47" s="235">
        <v>811.29411764705878</v>
      </c>
      <c r="W47" s="235">
        <v>566.58823529411768</v>
      </c>
      <c r="X47" s="235">
        <v>787.76470588235293</v>
      </c>
      <c r="Y47" s="235">
        <v>1354.3529411764705</v>
      </c>
      <c r="Z47" s="200">
        <v>1999.0588235294117</v>
      </c>
      <c r="AA47" s="235">
        <v>1.411764705882353</v>
      </c>
      <c r="AB47" s="235">
        <v>1.9764705882352942</v>
      </c>
      <c r="AC47" s="235">
        <v>3.388235294117647</v>
      </c>
      <c r="AD47" s="235">
        <v>0</v>
      </c>
      <c r="AE47" s="235">
        <v>0</v>
      </c>
      <c r="AF47" s="235">
        <v>0</v>
      </c>
      <c r="AG47" s="235">
        <v>3.2941176470588234</v>
      </c>
      <c r="AH47" s="235">
        <v>4.6117647058823534</v>
      </c>
      <c r="AI47" s="235">
        <v>7.9058823529411768</v>
      </c>
      <c r="AJ47" s="235">
        <v>0</v>
      </c>
      <c r="AK47" s="235">
        <v>9.4117647058823533</v>
      </c>
      <c r="AL47" s="235">
        <v>9.4117647058823533</v>
      </c>
      <c r="AM47" s="235">
        <v>3.2941176470588234</v>
      </c>
      <c r="AN47" s="235">
        <v>14.023529411764706</v>
      </c>
      <c r="AO47" s="235">
        <v>17.317647058823528</v>
      </c>
      <c r="AP47" s="200">
        <v>20.705882352941178</v>
      </c>
      <c r="AQ47" s="141">
        <v>0</v>
      </c>
      <c r="AR47" s="200">
        <v>648.09411764705885</v>
      </c>
      <c r="AS47" s="200">
        <v>1371.670588235294</v>
      </c>
      <c r="AT47" s="66">
        <v>2019.7647058823527</v>
      </c>
      <c r="AU47" s="235">
        <v>0</v>
      </c>
      <c r="AV47" s="235">
        <v>94.117647058823536</v>
      </c>
      <c r="AW47" s="75">
        <v>0</v>
      </c>
      <c r="AX47" s="235">
        <v>65.882352941176464</v>
      </c>
      <c r="AY47" s="66">
        <v>160</v>
      </c>
      <c r="AZ47" s="202">
        <v>0</v>
      </c>
      <c r="BA47" s="87">
        <v>0</v>
      </c>
      <c r="BB47" s="87">
        <v>0</v>
      </c>
      <c r="BC47" s="87">
        <v>0</v>
      </c>
      <c r="BD47" s="87">
        <v>0</v>
      </c>
      <c r="BE47" s="87">
        <v>0</v>
      </c>
      <c r="BF47" s="87">
        <v>457.41176470588238</v>
      </c>
      <c r="BG47" s="66">
        <v>457.41176470588238</v>
      </c>
      <c r="BH47" s="67">
        <v>2637.1764705882351</v>
      </c>
      <c r="BI47" s="67">
        <v>35829</v>
      </c>
      <c r="FE47" s="39">
        <v>40219</v>
      </c>
      <c r="FF47" s="39">
        <v>545.88235294117646</v>
      </c>
      <c r="FG47" s="39">
        <v>481.88235294117646</v>
      </c>
      <c r="FH47" s="39">
        <v>1027.7647058823529</v>
      </c>
      <c r="FI47" s="39">
        <v>0</v>
      </c>
      <c r="FJ47" s="39" t="e">
        <v>#REF!</v>
      </c>
      <c r="FK47" s="39" t="e">
        <v>#REF!</v>
      </c>
      <c r="FL47" s="39">
        <v>0</v>
      </c>
      <c r="FM47" s="39">
        <v>94.117647058823536</v>
      </c>
      <c r="FN47" s="39" t="e">
        <v>#REF!</v>
      </c>
      <c r="FO47" s="39">
        <v>65.882352941176464</v>
      </c>
      <c r="FP47" s="39" t="e">
        <v>#REF!</v>
      </c>
      <c r="FR47" s="39" t="e">
        <v>#REF!</v>
      </c>
    </row>
    <row r="48" spans="1:174" x14ac:dyDescent="0.25">
      <c r="A48" s="142">
        <v>0</v>
      </c>
      <c r="B48" s="68">
        <v>40220</v>
      </c>
      <c r="C48" s="198">
        <v>40220</v>
      </c>
      <c r="D48" s="69">
        <v>39492</v>
      </c>
      <c r="E48" s="70">
        <v>40220</v>
      </c>
      <c r="F48" s="71">
        <v>6</v>
      </c>
      <c r="G48" s="72"/>
      <c r="H48" s="82" t="s">
        <v>34</v>
      </c>
      <c r="I48" s="210"/>
      <c r="J48" s="210"/>
      <c r="K48" s="235">
        <v>743.52941176470586</v>
      </c>
      <c r="L48" s="235">
        <v>96</v>
      </c>
      <c r="M48" s="235">
        <v>839.52941176470586</v>
      </c>
      <c r="N48" s="235">
        <v>454.58823529411762</v>
      </c>
      <c r="O48" s="235">
        <v>34.823529411764703</v>
      </c>
      <c r="P48" s="235">
        <v>489.41176470588238</v>
      </c>
      <c r="Q48" s="235">
        <v>4.7058823529411766</v>
      </c>
      <c r="R48" s="235">
        <v>0</v>
      </c>
      <c r="S48" s="235">
        <v>4.7058823529411766</v>
      </c>
      <c r="T48" s="235">
        <v>42.352941176470587</v>
      </c>
      <c r="U48" s="235">
        <v>560</v>
      </c>
      <c r="V48" s="235">
        <v>602.35294117647061</v>
      </c>
      <c r="W48" s="235">
        <v>501.64705882352939</v>
      </c>
      <c r="X48" s="235">
        <v>594.82352941176475</v>
      </c>
      <c r="Y48" s="235">
        <v>1096.4705882352941</v>
      </c>
      <c r="Z48" s="200">
        <v>1936</v>
      </c>
      <c r="AA48" s="235">
        <v>2.8235294117647061</v>
      </c>
      <c r="AB48" s="235">
        <v>1.411764705882353</v>
      </c>
      <c r="AC48" s="235">
        <v>4.2352941176470589</v>
      </c>
      <c r="AD48" s="235">
        <v>0</v>
      </c>
      <c r="AE48" s="235">
        <v>0</v>
      </c>
      <c r="AF48" s="235">
        <v>0</v>
      </c>
      <c r="AG48" s="235">
        <v>6.5882352941176467</v>
      </c>
      <c r="AH48" s="235">
        <v>3.2941176470588234</v>
      </c>
      <c r="AI48" s="235">
        <v>9.882352941176471</v>
      </c>
      <c r="AJ48" s="235">
        <v>0</v>
      </c>
      <c r="AK48" s="235">
        <v>7.5294117647058822</v>
      </c>
      <c r="AL48" s="235">
        <v>7.5294117647058822</v>
      </c>
      <c r="AM48" s="235">
        <v>6.5882352941176467</v>
      </c>
      <c r="AN48" s="235">
        <v>10.823529411764707</v>
      </c>
      <c r="AO48" s="235">
        <v>17.411764705882351</v>
      </c>
      <c r="AP48" s="200">
        <v>21.647058823529413</v>
      </c>
      <c r="AQ48" s="141">
        <v>0</v>
      </c>
      <c r="AR48" s="200">
        <v>843.76470588235293</v>
      </c>
      <c r="AS48" s="200">
        <v>1113.8823529411766</v>
      </c>
      <c r="AT48" s="66">
        <v>1957.6470588235295</v>
      </c>
      <c r="AU48" s="235">
        <v>0</v>
      </c>
      <c r="AV48" s="235">
        <v>94.117647058823536</v>
      </c>
      <c r="AW48" s="75">
        <v>0</v>
      </c>
      <c r="AX48" s="235">
        <v>18.823529411764707</v>
      </c>
      <c r="AY48" s="66">
        <v>112.94117647058825</v>
      </c>
      <c r="AZ48" s="202">
        <v>0</v>
      </c>
      <c r="BA48" s="87">
        <v>0</v>
      </c>
      <c r="BB48" s="87">
        <v>0</v>
      </c>
      <c r="BC48" s="87">
        <v>0</v>
      </c>
      <c r="BD48" s="87">
        <v>0</v>
      </c>
      <c r="BE48" s="87">
        <v>0</v>
      </c>
      <c r="BF48" s="87">
        <v>327.52941176470586</v>
      </c>
      <c r="BG48" s="66">
        <v>327.52941176470586</v>
      </c>
      <c r="BH48" s="67">
        <v>2398.1176470588234</v>
      </c>
      <c r="BI48" s="67">
        <v>38227.117647058825</v>
      </c>
      <c r="FE48" s="39">
        <v>40220</v>
      </c>
      <c r="FF48" s="39">
        <v>743.52941176470586</v>
      </c>
      <c r="FG48" s="39">
        <v>454.58823529411762</v>
      </c>
      <c r="FH48" s="39">
        <v>1198.1176470588234</v>
      </c>
      <c r="FI48" s="39">
        <v>0</v>
      </c>
      <c r="FJ48" s="39" t="e">
        <v>#REF!</v>
      </c>
      <c r="FK48" s="39" t="e">
        <v>#REF!</v>
      </c>
      <c r="FL48" s="39">
        <v>0</v>
      </c>
      <c r="FM48" s="39">
        <v>94.117647058823536</v>
      </c>
      <c r="FN48" s="39" t="e">
        <v>#REF!</v>
      </c>
      <c r="FO48" s="39">
        <v>18.823529411764707</v>
      </c>
      <c r="FP48" s="39" t="e">
        <v>#REF!</v>
      </c>
      <c r="FR48" s="39" t="e">
        <v>#REF!</v>
      </c>
    </row>
    <row r="49" spans="1:174" x14ac:dyDescent="0.25">
      <c r="A49" s="142">
        <v>0</v>
      </c>
      <c r="B49" s="68">
        <v>40221</v>
      </c>
      <c r="C49" s="198">
        <v>40221</v>
      </c>
      <c r="D49" s="69">
        <v>39493</v>
      </c>
      <c r="E49" s="70">
        <v>40221</v>
      </c>
      <c r="F49" s="71">
        <v>6</v>
      </c>
      <c r="G49" s="72"/>
      <c r="H49" s="82" t="s">
        <v>34</v>
      </c>
      <c r="I49" s="210"/>
      <c r="J49" s="210"/>
      <c r="K49" s="235">
        <v>687.05882352941171</v>
      </c>
      <c r="L49" s="235">
        <v>92.235294117647058</v>
      </c>
      <c r="M49" s="235">
        <v>779.29411764705878</v>
      </c>
      <c r="N49" s="235">
        <v>786.82352941176475</v>
      </c>
      <c r="O49" s="235">
        <v>17.882352941176471</v>
      </c>
      <c r="P49" s="235">
        <v>804.70588235294122</v>
      </c>
      <c r="Q49" s="235">
        <v>17.882352941176471</v>
      </c>
      <c r="R49" s="235">
        <v>0</v>
      </c>
      <c r="S49" s="235">
        <v>17.882352941176471</v>
      </c>
      <c r="T49" s="235">
        <v>108.23529411764706</v>
      </c>
      <c r="U49" s="235">
        <v>1086.1176470588234</v>
      </c>
      <c r="V49" s="235">
        <v>1194.3529411764705</v>
      </c>
      <c r="W49" s="235">
        <v>912.94117647058829</v>
      </c>
      <c r="X49" s="235">
        <v>1104</v>
      </c>
      <c r="Y49" s="235">
        <v>2016.9411764705883</v>
      </c>
      <c r="Z49" s="200">
        <v>2796.2352941176468</v>
      </c>
      <c r="AA49" s="235">
        <v>0.84705882352941175</v>
      </c>
      <c r="AB49" s="235">
        <v>1.9764705882352942</v>
      </c>
      <c r="AC49" s="235">
        <v>2.8235294117647061</v>
      </c>
      <c r="AD49" s="235">
        <v>0</v>
      </c>
      <c r="AE49" s="235">
        <v>0</v>
      </c>
      <c r="AF49" s="235">
        <v>0</v>
      </c>
      <c r="AG49" s="235">
        <v>1.9764705882352942</v>
      </c>
      <c r="AH49" s="235">
        <v>4.6117647058823534</v>
      </c>
      <c r="AI49" s="235">
        <v>6.5882352941176467</v>
      </c>
      <c r="AJ49" s="235">
        <v>0</v>
      </c>
      <c r="AK49" s="235">
        <v>10.352941176470589</v>
      </c>
      <c r="AL49" s="235">
        <v>10.352941176470589</v>
      </c>
      <c r="AM49" s="235">
        <v>1.9764705882352942</v>
      </c>
      <c r="AN49" s="235">
        <v>14.964705882352941</v>
      </c>
      <c r="AO49" s="235">
        <v>16.941176470588236</v>
      </c>
      <c r="AP49" s="200">
        <v>19.764705882352942</v>
      </c>
      <c r="AQ49" s="141">
        <v>0</v>
      </c>
      <c r="AR49" s="200">
        <v>782.11764705882354</v>
      </c>
      <c r="AS49" s="200">
        <v>2033.8823529411766</v>
      </c>
      <c r="AT49" s="66">
        <v>2816</v>
      </c>
      <c r="AU49" s="235">
        <v>0</v>
      </c>
      <c r="AV49" s="235">
        <v>94.117647058823536</v>
      </c>
      <c r="AW49" s="75">
        <v>37.647058823529413</v>
      </c>
      <c r="AX49" s="235">
        <v>451.76470588235293</v>
      </c>
      <c r="AY49" s="66">
        <v>583.52941176470586</v>
      </c>
      <c r="AZ49" s="202">
        <v>0</v>
      </c>
      <c r="BA49" s="87">
        <v>0</v>
      </c>
      <c r="BB49" s="87">
        <v>0</v>
      </c>
      <c r="BC49" s="87">
        <v>0</v>
      </c>
      <c r="BD49" s="87">
        <v>0</v>
      </c>
      <c r="BE49" s="87">
        <v>0</v>
      </c>
      <c r="BF49" s="87">
        <v>634.35294117647061</v>
      </c>
      <c r="BG49" s="66">
        <v>634.35294117647061</v>
      </c>
      <c r="BH49" s="67">
        <v>4033.8823529411766</v>
      </c>
      <c r="BI49" s="67">
        <v>42261</v>
      </c>
      <c r="FE49" s="39">
        <v>40221</v>
      </c>
      <c r="FF49" s="39">
        <v>687.05882352941171</v>
      </c>
      <c r="FG49" s="39">
        <v>786.82352941176475</v>
      </c>
      <c r="FH49" s="39">
        <v>1473.8823529411766</v>
      </c>
      <c r="FI49" s="39">
        <v>0</v>
      </c>
      <c r="FJ49" s="39" t="e">
        <v>#REF!</v>
      </c>
      <c r="FK49" s="39" t="e">
        <v>#REF!</v>
      </c>
      <c r="FL49" s="39">
        <v>0</v>
      </c>
      <c r="FM49" s="39">
        <v>94.117647058823536</v>
      </c>
      <c r="FN49" s="39" t="e">
        <v>#REF!</v>
      </c>
      <c r="FO49" s="39">
        <v>451.76470588235293</v>
      </c>
      <c r="FP49" s="39" t="e">
        <v>#REF!</v>
      </c>
      <c r="FR49" s="39" t="e">
        <v>#REF!</v>
      </c>
    </row>
    <row r="50" spans="1:174" s="40" customFormat="1" x14ac:dyDescent="0.25">
      <c r="A50" s="142">
        <v>0</v>
      </c>
      <c r="B50" s="85">
        <v>40222</v>
      </c>
      <c r="C50" s="203">
        <v>40222</v>
      </c>
      <c r="D50" s="76">
        <v>39494</v>
      </c>
      <c r="E50" s="77">
        <v>40222</v>
      </c>
      <c r="F50" s="78">
        <v>6</v>
      </c>
      <c r="G50" s="79"/>
      <c r="H50" s="80" t="s">
        <v>56</v>
      </c>
      <c r="I50" s="212"/>
      <c r="J50" s="212"/>
      <c r="K50" s="231">
        <v>1458.8235294117646</v>
      </c>
      <c r="L50" s="231">
        <v>334.11764705882354</v>
      </c>
      <c r="M50" s="231">
        <v>1792.9411764705883</v>
      </c>
      <c r="N50" s="231">
        <v>547.76470588235293</v>
      </c>
      <c r="O50" s="231">
        <v>33.882352941176471</v>
      </c>
      <c r="P50" s="231">
        <v>581.64705882352939</v>
      </c>
      <c r="Q50" s="231">
        <v>4.7058823529411766</v>
      </c>
      <c r="R50" s="231">
        <v>0</v>
      </c>
      <c r="S50" s="231">
        <v>4.7058823529411766</v>
      </c>
      <c r="T50" s="231">
        <v>51.764705882352942</v>
      </c>
      <c r="U50" s="231">
        <v>1185.8823529411766</v>
      </c>
      <c r="V50" s="231">
        <v>1237.6470588235295</v>
      </c>
      <c r="W50" s="231">
        <v>604.23529411764707</v>
      </c>
      <c r="X50" s="231">
        <v>1219.7647058823529</v>
      </c>
      <c r="Y50" s="231">
        <v>1824</v>
      </c>
      <c r="Z50" s="200">
        <v>3616.9411764705883</v>
      </c>
      <c r="AA50" s="231">
        <v>5.3647058823529417</v>
      </c>
      <c r="AB50" s="231">
        <v>0.56470588235294117</v>
      </c>
      <c r="AC50" s="231">
        <v>5.9294117647058826</v>
      </c>
      <c r="AD50" s="231">
        <v>0</v>
      </c>
      <c r="AE50" s="231">
        <v>0</v>
      </c>
      <c r="AF50" s="231">
        <v>0</v>
      </c>
      <c r="AG50" s="231">
        <v>12.517647058823529</v>
      </c>
      <c r="AH50" s="231">
        <v>1.3176470588235294</v>
      </c>
      <c r="AI50" s="231">
        <v>13.835294117647059</v>
      </c>
      <c r="AJ50" s="231">
        <v>1.8823529411764706</v>
      </c>
      <c r="AK50" s="231">
        <v>13.176470588235293</v>
      </c>
      <c r="AL50" s="231">
        <v>15.058823529411764</v>
      </c>
      <c r="AM50" s="231">
        <v>14.4</v>
      </c>
      <c r="AN50" s="231">
        <v>14.494117647058824</v>
      </c>
      <c r="AO50" s="231">
        <v>28.894117647058827</v>
      </c>
      <c r="AP50" s="200">
        <v>34.823529411764703</v>
      </c>
      <c r="AQ50" s="232">
        <v>0</v>
      </c>
      <c r="AR50" s="200">
        <v>1798.8705882352942</v>
      </c>
      <c r="AS50" s="200">
        <v>1852.8941176470589</v>
      </c>
      <c r="AT50" s="66">
        <v>3651.7647058823532</v>
      </c>
      <c r="AU50" s="231">
        <v>0</v>
      </c>
      <c r="AV50" s="231">
        <v>141.1764705882353</v>
      </c>
      <c r="AW50" s="75">
        <v>0</v>
      </c>
      <c r="AX50" s="231">
        <v>56.470588235294116</v>
      </c>
      <c r="AY50" s="66">
        <v>197.64705882352942</v>
      </c>
      <c r="AZ50" s="208">
        <v>0</v>
      </c>
      <c r="BA50" s="86">
        <v>0</v>
      </c>
      <c r="BB50" s="86">
        <v>178.8235294117647</v>
      </c>
      <c r="BC50" s="86">
        <v>0</v>
      </c>
      <c r="BD50" s="86">
        <v>178.8235294117647</v>
      </c>
      <c r="BE50" s="86">
        <v>178.8235294117647</v>
      </c>
      <c r="BF50" s="86">
        <v>384.94117647058823</v>
      </c>
      <c r="BG50" s="66">
        <v>563.76470588235293</v>
      </c>
      <c r="BH50" s="67">
        <v>4413.1764705882351</v>
      </c>
      <c r="BI50" s="67">
        <v>46674.176470588238</v>
      </c>
      <c r="FE50" s="40">
        <v>40222</v>
      </c>
      <c r="FF50" s="40">
        <v>1458.8235294117646</v>
      </c>
      <c r="FG50" s="40">
        <v>547.76470588235293</v>
      </c>
      <c r="FH50" s="40">
        <v>2006.5882352941176</v>
      </c>
      <c r="FI50" s="40">
        <v>0</v>
      </c>
      <c r="FJ50" s="40" t="e">
        <v>#REF!</v>
      </c>
      <c r="FK50" s="40" t="e">
        <v>#REF!</v>
      </c>
      <c r="FL50" s="40">
        <v>0</v>
      </c>
      <c r="FM50" s="40">
        <v>141.1764705882353</v>
      </c>
      <c r="FN50" s="40" t="e">
        <v>#REF!</v>
      </c>
      <c r="FO50" s="40">
        <v>56.470588235294116</v>
      </c>
      <c r="FP50" s="40" t="e">
        <v>#REF!</v>
      </c>
      <c r="FR50" s="40" t="e">
        <v>#REF!</v>
      </c>
    </row>
    <row r="51" spans="1:174" s="40" customFormat="1" x14ac:dyDescent="0.25">
      <c r="A51" s="142">
        <v>0</v>
      </c>
      <c r="B51" s="85">
        <v>40223</v>
      </c>
      <c r="C51" s="203">
        <v>40223</v>
      </c>
      <c r="D51" s="76">
        <v>39495</v>
      </c>
      <c r="E51" s="77">
        <v>40223</v>
      </c>
      <c r="F51" s="78">
        <v>6</v>
      </c>
      <c r="G51" s="79"/>
      <c r="H51" s="80" t="s">
        <v>56</v>
      </c>
      <c r="I51" s="212"/>
      <c r="J51" s="212"/>
      <c r="K51" s="231">
        <v>1167.0588235294117</v>
      </c>
      <c r="L51" s="231">
        <v>346.35294117647061</v>
      </c>
      <c r="M51" s="231">
        <v>1513.4117647058824</v>
      </c>
      <c r="N51" s="231">
        <v>629.64705882352939</v>
      </c>
      <c r="O51" s="231">
        <v>65.882352941176464</v>
      </c>
      <c r="P51" s="231">
        <v>695.52941176470586</v>
      </c>
      <c r="Q51" s="231">
        <v>16.941176470588236</v>
      </c>
      <c r="R51" s="231">
        <v>0</v>
      </c>
      <c r="S51" s="231">
        <v>16.941176470588236</v>
      </c>
      <c r="T51" s="231">
        <v>102.58823529411765</v>
      </c>
      <c r="U51" s="231">
        <v>1829.6470588235295</v>
      </c>
      <c r="V51" s="231">
        <v>1932.2352941176471</v>
      </c>
      <c r="W51" s="231">
        <v>749.17647058823525</v>
      </c>
      <c r="X51" s="231">
        <v>1895.5294117647059</v>
      </c>
      <c r="Y51" s="231">
        <v>2644.705882352941</v>
      </c>
      <c r="Z51" s="200">
        <v>4158.1176470588234</v>
      </c>
      <c r="AA51" s="231">
        <v>1.9764705882352942</v>
      </c>
      <c r="AB51" s="231">
        <v>0</v>
      </c>
      <c r="AC51" s="231">
        <v>1.9764705882352942</v>
      </c>
      <c r="AD51" s="231">
        <v>0</v>
      </c>
      <c r="AE51" s="231">
        <v>0</v>
      </c>
      <c r="AF51" s="231">
        <v>0</v>
      </c>
      <c r="AG51" s="231">
        <v>4.6117647058823534</v>
      </c>
      <c r="AH51" s="231">
        <v>0</v>
      </c>
      <c r="AI51" s="231">
        <v>4.6117647058823534</v>
      </c>
      <c r="AJ51" s="231">
        <v>0</v>
      </c>
      <c r="AK51" s="231">
        <v>11.294117647058824</v>
      </c>
      <c r="AL51" s="231">
        <v>11.294117647058824</v>
      </c>
      <c r="AM51" s="231">
        <v>4.6117647058823534</v>
      </c>
      <c r="AN51" s="231">
        <v>11.294117647058824</v>
      </c>
      <c r="AO51" s="231">
        <v>15.905882352941175</v>
      </c>
      <c r="AP51" s="200">
        <v>17.882352941176471</v>
      </c>
      <c r="AQ51" s="232">
        <v>0</v>
      </c>
      <c r="AR51" s="200">
        <v>1515.3882352941177</v>
      </c>
      <c r="AS51" s="200">
        <v>2660.6117647058823</v>
      </c>
      <c r="AT51" s="66">
        <v>4176</v>
      </c>
      <c r="AU51" s="231">
        <v>0</v>
      </c>
      <c r="AV51" s="231">
        <v>94.117647058823536</v>
      </c>
      <c r="AW51" s="75">
        <v>0</v>
      </c>
      <c r="AX51" s="231">
        <v>75.294117647058826</v>
      </c>
      <c r="AY51" s="66">
        <v>169.41176470588238</v>
      </c>
      <c r="AZ51" s="208">
        <v>0</v>
      </c>
      <c r="BA51" s="86">
        <v>0</v>
      </c>
      <c r="BB51" s="86">
        <v>193.88235294117646</v>
      </c>
      <c r="BC51" s="86">
        <v>0</v>
      </c>
      <c r="BD51" s="86">
        <v>193.88235294117646</v>
      </c>
      <c r="BE51" s="86">
        <v>193.88235294117646</v>
      </c>
      <c r="BF51" s="86">
        <v>49.882352941176471</v>
      </c>
      <c r="BG51" s="66">
        <v>243.76470588235293</v>
      </c>
      <c r="BH51" s="67">
        <v>4589.1764705882351</v>
      </c>
      <c r="BI51" s="67">
        <v>51263.352941176476</v>
      </c>
      <c r="FE51" s="40">
        <v>40223</v>
      </c>
      <c r="FF51" s="40">
        <v>1167.0588235294117</v>
      </c>
      <c r="FG51" s="40">
        <v>629.64705882352939</v>
      </c>
      <c r="FH51" s="40">
        <v>1796.705882352941</v>
      </c>
      <c r="FI51" s="40">
        <v>0</v>
      </c>
      <c r="FJ51" s="40" t="e">
        <v>#REF!</v>
      </c>
      <c r="FK51" s="40" t="e">
        <v>#REF!</v>
      </c>
      <c r="FL51" s="40">
        <v>0</v>
      </c>
      <c r="FM51" s="40">
        <v>94.117647058823536</v>
      </c>
      <c r="FN51" s="40" t="e">
        <v>#REF!</v>
      </c>
      <c r="FO51" s="40">
        <v>75.294117647058826</v>
      </c>
      <c r="FP51" s="40" t="e">
        <v>#REF!</v>
      </c>
      <c r="FR51" s="40" t="e">
        <v>#REF!</v>
      </c>
    </row>
    <row r="52" spans="1:174" x14ac:dyDescent="0.25">
      <c r="A52" s="142">
        <v>0</v>
      </c>
      <c r="B52" s="68">
        <v>40224</v>
      </c>
      <c r="C52" s="198">
        <v>40224</v>
      </c>
      <c r="D52" s="69">
        <v>39496</v>
      </c>
      <c r="E52" s="70">
        <v>40224</v>
      </c>
      <c r="F52" s="71">
        <v>7</v>
      </c>
      <c r="G52" s="72"/>
      <c r="H52" s="82" t="s">
        <v>56</v>
      </c>
      <c r="I52" s="210"/>
      <c r="J52" s="210"/>
      <c r="K52" s="235">
        <v>672.94117647058829</v>
      </c>
      <c r="L52" s="235">
        <v>127.05882352941177</v>
      </c>
      <c r="M52" s="235">
        <v>800</v>
      </c>
      <c r="N52" s="235">
        <v>813.17647058823525</v>
      </c>
      <c r="O52" s="235">
        <v>94.117647058823536</v>
      </c>
      <c r="P52" s="235">
        <v>907.29411764705878</v>
      </c>
      <c r="Q52" s="235">
        <v>19.764705882352942</v>
      </c>
      <c r="R52" s="235">
        <v>0</v>
      </c>
      <c r="S52" s="235">
        <v>19.764705882352942</v>
      </c>
      <c r="T52" s="235">
        <v>70.588235294117652</v>
      </c>
      <c r="U52" s="235">
        <v>1874.8235294117646</v>
      </c>
      <c r="V52" s="235">
        <v>1945.4117647058824</v>
      </c>
      <c r="W52" s="235">
        <v>903.52941176470586</v>
      </c>
      <c r="X52" s="235">
        <v>1968.9411764705883</v>
      </c>
      <c r="Y52" s="235">
        <v>2872.4705882352941</v>
      </c>
      <c r="Z52" s="200">
        <v>3672.4705882352941</v>
      </c>
      <c r="AA52" s="235">
        <v>6.2117647058823522</v>
      </c>
      <c r="AB52" s="235">
        <v>8.4705882352941178</v>
      </c>
      <c r="AC52" s="235">
        <v>14.68235294117647</v>
      </c>
      <c r="AD52" s="235">
        <v>0</v>
      </c>
      <c r="AE52" s="235">
        <v>0</v>
      </c>
      <c r="AF52" s="235">
        <v>0</v>
      </c>
      <c r="AG52" s="235">
        <v>14.494117647058824</v>
      </c>
      <c r="AH52" s="235">
        <v>19.764705882352942</v>
      </c>
      <c r="AI52" s="235">
        <v>34.258823529411764</v>
      </c>
      <c r="AJ52" s="235">
        <v>0</v>
      </c>
      <c r="AK52" s="235">
        <v>72.470588235294116</v>
      </c>
      <c r="AL52" s="235">
        <v>72.470588235294116</v>
      </c>
      <c r="AM52" s="235">
        <v>14.494117647058824</v>
      </c>
      <c r="AN52" s="235">
        <v>92.235294117647058</v>
      </c>
      <c r="AO52" s="235">
        <v>106.72941176470589</v>
      </c>
      <c r="AP52" s="200">
        <v>121.41176470588235</v>
      </c>
      <c r="AQ52" s="141">
        <v>0</v>
      </c>
      <c r="AR52" s="200">
        <v>814.68235294117642</v>
      </c>
      <c r="AS52" s="200">
        <v>2979.2</v>
      </c>
      <c r="AT52" s="66">
        <v>3793.8823529411761</v>
      </c>
      <c r="AU52" s="235">
        <v>0</v>
      </c>
      <c r="AV52" s="235">
        <v>94.117647058823536</v>
      </c>
      <c r="AW52" s="75">
        <v>0</v>
      </c>
      <c r="AX52" s="235">
        <v>18.823529411764707</v>
      </c>
      <c r="AY52" s="66">
        <v>112.94117647058825</v>
      </c>
      <c r="AZ52" s="202">
        <v>0</v>
      </c>
      <c r="BA52" s="87">
        <v>0</v>
      </c>
      <c r="BB52" s="87">
        <v>0</v>
      </c>
      <c r="BC52" s="87">
        <v>0</v>
      </c>
      <c r="BD52" s="87">
        <v>0</v>
      </c>
      <c r="BE52" s="87">
        <v>0</v>
      </c>
      <c r="BF52" s="87">
        <v>14.117647058823529</v>
      </c>
      <c r="BG52" s="66">
        <v>14.117647058823529</v>
      </c>
      <c r="BH52" s="67">
        <v>3920.9411764705878</v>
      </c>
      <c r="BI52" s="67">
        <v>55184.294117647063</v>
      </c>
      <c r="FE52" s="39">
        <v>40224</v>
      </c>
      <c r="FF52" s="39">
        <v>672.94117647058829</v>
      </c>
      <c r="FG52" s="39">
        <v>813.17647058823525</v>
      </c>
      <c r="FH52" s="39">
        <v>1486.1176470588234</v>
      </c>
      <c r="FI52" s="39">
        <v>0</v>
      </c>
      <c r="FJ52" s="39" t="e">
        <v>#REF!</v>
      </c>
      <c r="FK52" s="39" t="e">
        <v>#REF!</v>
      </c>
      <c r="FL52" s="39">
        <v>0</v>
      </c>
      <c r="FM52" s="39">
        <v>94.117647058823536</v>
      </c>
      <c r="FN52" s="39" t="e">
        <v>#REF!</v>
      </c>
      <c r="FO52" s="39">
        <v>18.823529411764707</v>
      </c>
      <c r="FP52" s="39" t="e">
        <v>#REF!</v>
      </c>
      <c r="FR52" s="39" t="e">
        <v>#REF!</v>
      </c>
    </row>
    <row r="53" spans="1:174" x14ac:dyDescent="0.25">
      <c r="A53" s="142">
        <v>0</v>
      </c>
      <c r="B53" s="68">
        <v>40225</v>
      </c>
      <c r="C53" s="198">
        <v>40225</v>
      </c>
      <c r="D53" s="69">
        <v>39497</v>
      </c>
      <c r="E53" s="70">
        <v>40225</v>
      </c>
      <c r="F53" s="71">
        <v>7</v>
      </c>
      <c r="G53" s="72"/>
      <c r="H53" s="82" t="s">
        <v>56</v>
      </c>
      <c r="I53" s="210"/>
      <c r="J53" s="210"/>
      <c r="K53" s="235">
        <v>933.64705882352939</v>
      </c>
      <c r="L53" s="235">
        <v>190.11764705882354</v>
      </c>
      <c r="M53" s="235">
        <v>1123.7647058823529</v>
      </c>
      <c r="N53" s="235">
        <v>680.47058823529414</v>
      </c>
      <c r="O53" s="235">
        <v>92.235294117647058</v>
      </c>
      <c r="P53" s="235">
        <v>772.70588235294122</v>
      </c>
      <c r="Q53" s="235">
        <v>30.117647058823529</v>
      </c>
      <c r="R53" s="235">
        <v>0</v>
      </c>
      <c r="S53" s="235">
        <v>30.117647058823529</v>
      </c>
      <c r="T53" s="235">
        <v>116.70588235294117</v>
      </c>
      <c r="U53" s="235">
        <v>2588.2352941176468</v>
      </c>
      <c r="V53" s="235">
        <v>2704.9411764705883</v>
      </c>
      <c r="W53" s="235">
        <v>827.29411764705878</v>
      </c>
      <c r="X53" s="235">
        <v>2680.4705882352941</v>
      </c>
      <c r="Y53" s="235">
        <v>3507.7647058823532</v>
      </c>
      <c r="Z53" s="200">
        <v>4631.5294117647063</v>
      </c>
      <c r="AA53" s="235">
        <v>11.858823529411765</v>
      </c>
      <c r="AB53" s="235">
        <v>9.3176470588235301</v>
      </c>
      <c r="AC53" s="235">
        <v>21.176470588235293</v>
      </c>
      <c r="AD53" s="235">
        <v>0</v>
      </c>
      <c r="AE53" s="235">
        <v>0</v>
      </c>
      <c r="AF53" s="235">
        <v>0</v>
      </c>
      <c r="AG53" s="235">
        <v>27.670588235294115</v>
      </c>
      <c r="AH53" s="235">
        <v>21.741176470588236</v>
      </c>
      <c r="AI53" s="235">
        <v>49.411764705882355</v>
      </c>
      <c r="AJ53" s="235">
        <v>0</v>
      </c>
      <c r="AK53" s="235">
        <v>51.764705882352942</v>
      </c>
      <c r="AL53" s="235">
        <v>51.764705882352942</v>
      </c>
      <c r="AM53" s="235">
        <v>27.670588235294115</v>
      </c>
      <c r="AN53" s="235">
        <v>73.505882352941171</v>
      </c>
      <c r="AO53" s="235">
        <v>101.17647058823529</v>
      </c>
      <c r="AP53" s="200">
        <v>122.35294117647059</v>
      </c>
      <c r="AQ53" s="141">
        <v>0</v>
      </c>
      <c r="AR53" s="200">
        <v>1144.9411764705883</v>
      </c>
      <c r="AS53" s="200">
        <v>3608.9411764705883</v>
      </c>
      <c r="AT53" s="66">
        <v>4753.8823529411766</v>
      </c>
      <c r="AU53" s="235">
        <v>0</v>
      </c>
      <c r="AV53" s="235">
        <v>94.117647058823536</v>
      </c>
      <c r="AW53" s="75">
        <v>0</v>
      </c>
      <c r="AX53" s="235">
        <v>470.58823529411762</v>
      </c>
      <c r="AY53" s="66">
        <v>564.70588235294122</v>
      </c>
      <c r="AZ53" s="202">
        <v>0</v>
      </c>
      <c r="BA53" s="87">
        <v>0</v>
      </c>
      <c r="BB53" s="87">
        <v>0</v>
      </c>
      <c r="BC53" s="87">
        <v>0</v>
      </c>
      <c r="BD53" s="87">
        <v>0</v>
      </c>
      <c r="BE53" s="87">
        <v>0</v>
      </c>
      <c r="BF53" s="87">
        <v>197.64705882352942</v>
      </c>
      <c r="BG53" s="66">
        <v>197.64705882352942</v>
      </c>
      <c r="BH53" s="67">
        <v>5516.2352941176468</v>
      </c>
      <c r="BI53" s="67">
        <v>60700.529411764714</v>
      </c>
      <c r="FE53" s="39">
        <v>40225</v>
      </c>
      <c r="FF53" s="39">
        <v>933.64705882352939</v>
      </c>
      <c r="FG53" s="39">
        <v>680.47058823529414</v>
      </c>
      <c r="FH53" s="39">
        <v>1614.1176470588234</v>
      </c>
      <c r="FI53" s="39">
        <v>0</v>
      </c>
      <c r="FJ53" s="39" t="e">
        <v>#REF!</v>
      </c>
      <c r="FK53" s="39" t="e">
        <v>#REF!</v>
      </c>
      <c r="FL53" s="39">
        <v>0</v>
      </c>
      <c r="FM53" s="39">
        <v>94.117647058823536</v>
      </c>
      <c r="FN53" s="39" t="e">
        <v>#REF!</v>
      </c>
      <c r="FO53" s="39">
        <v>470.58823529411762</v>
      </c>
      <c r="FP53" s="39" t="e">
        <v>#REF!</v>
      </c>
      <c r="FR53" s="39" t="e">
        <v>#REF!</v>
      </c>
    </row>
    <row r="54" spans="1:174" x14ac:dyDescent="0.25">
      <c r="A54" s="142">
        <v>0</v>
      </c>
      <c r="B54" s="68">
        <v>40226</v>
      </c>
      <c r="C54" s="198">
        <v>40226</v>
      </c>
      <c r="D54" s="69">
        <v>39498</v>
      </c>
      <c r="E54" s="70">
        <v>40226</v>
      </c>
      <c r="F54" s="71">
        <v>7</v>
      </c>
      <c r="G54" s="72"/>
      <c r="H54" s="82" t="s">
        <v>56</v>
      </c>
      <c r="I54" s="210"/>
      <c r="J54" s="210"/>
      <c r="K54" s="235">
        <v>892.23529411764707</v>
      </c>
      <c r="L54" s="235">
        <v>199.52941176470588</v>
      </c>
      <c r="M54" s="235">
        <v>1091.7647058823529</v>
      </c>
      <c r="N54" s="235">
        <v>759.52941176470586</v>
      </c>
      <c r="O54" s="235">
        <v>66.82352941176471</v>
      </c>
      <c r="P54" s="235">
        <v>826.35294117647061</v>
      </c>
      <c r="Q54" s="235">
        <v>9.4117647058823533</v>
      </c>
      <c r="R54" s="235">
        <v>0</v>
      </c>
      <c r="S54" s="235">
        <v>9.4117647058823533</v>
      </c>
      <c r="T54" s="235">
        <v>135.52941176470588</v>
      </c>
      <c r="U54" s="235">
        <v>2127.0588235294117</v>
      </c>
      <c r="V54" s="235">
        <v>2262.5882352941176</v>
      </c>
      <c r="W54" s="235">
        <v>904.47058823529414</v>
      </c>
      <c r="X54" s="235">
        <v>2193.8823529411766</v>
      </c>
      <c r="Y54" s="235">
        <v>3098.3529411764707</v>
      </c>
      <c r="Z54" s="200">
        <v>4190.1176470588234</v>
      </c>
      <c r="AA54" s="235">
        <v>12.705882352941176</v>
      </c>
      <c r="AB54" s="235">
        <v>5.6470588235294121</v>
      </c>
      <c r="AC54" s="235">
        <v>18.352941176470587</v>
      </c>
      <c r="AD54" s="235">
        <v>0</v>
      </c>
      <c r="AE54" s="235">
        <v>0</v>
      </c>
      <c r="AF54" s="235">
        <v>0</v>
      </c>
      <c r="AG54" s="235">
        <v>29.647058823529413</v>
      </c>
      <c r="AH54" s="235">
        <v>13.176470588235293</v>
      </c>
      <c r="AI54" s="235">
        <v>42.823529411764703</v>
      </c>
      <c r="AJ54" s="235">
        <v>0</v>
      </c>
      <c r="AK54" s="235">
        <v>31.058823529411764</v>
      </c>
      <c r="AL54" s="235">
        <v>31.058823529411764</v>
      </c>
      <c r="AM54" s="235">
        <v>29.647058823529413</v>
      </c>
      <c r="AN54" s="235">
        <v>44.235294117647058</v>
      </c>
      <c r="AO54" s="235">
        <v>73.882352941176464</v>
      </c>
      <c r="AP54" s="200">
        <v>92.235294117647058</v>
      </c>
      <c r="AQ54" s="141">
        <v>0</v>
      </c>
      <c r="AR54" s="200">
        <v>1110.1176470588234</v>
      </c>
      <c r="AS54" s="200">
        <v>3172.2352941176473</v>
      </c>
      <c r="AT54" s="66">
        <v>4282.3529411764703</v>
      </c>
      <c r="AU54" s="235">
        <v>0</v>
      </c>
      <c r="AV54" s="235">
        <v>94.117647058823536</v>
      </c>
      <c r="AW54" s="75">
        <v>0</v>
      </c>
      <c r="AX54" s="235">
        <v>112.94117647058823</v>
      </c>
      <c r="AY54" s="66">
        <v>207.05882352941177</v>
      </c>
      <c r="AZ54" s="202">
        <v>0</v>
      </c>
      <c r="BA54" s="87">
        <v>0</v>
      </c>
      <c r="BB54" s="87">
        <v>65.882352941176464</v>
      </c>
      <c r="BC54" s="87">
        <v>0</v>
      </c>
      <c r="BD54" s="87">
        <v>65.882352941176464</v>
      </c>
      <c r="BE54" s="87">
        <v>65.882352941176464</v>
      </c>
      <c r="BF54" s="87">
        <v>120.47058823529412</v>
      </c>
      <c r="BG54" s="66">
        <v>186.35294117647058</v>
      </c>
      <c r="BH54" s="67">
        <v>4675.7647058823522</v>
      </c>
      <c r="BI54" s="67">
        <v>65376.294117647063</v>
      </c>
      <c r="FE54" s="39">
        <v>40226</v>
      </c>
      <c r="FF54" s="39">
        <v>892.23529411764707</v>
      </c>
      <c r="FG54" s="39">
        <v>759.52941176470586</v>
      </c>
      <c r="FH54" s="39">
        <v>1651.7647058823529</v>
      </c>
      <c r="FI54" s="39">
        <v>0</v>
      </c>
      <c r="FJ54" s="39" t="e">
        <v>#REF!</v>
      </c>
      <c r="FK54" s="39" t="e">
        <v>#REF!</v>
      </c>
      <c r="FL54" s="39">
        <v>0</v>
      </c>
      <c r="FM54" s="39">
        <v>94.117647058823536</v>
      </c>
      <c r="FN54" s="39" t="e">
        <v>#REF!</v>
      </c>
      <c r="FO54" s="39">
        <v>112.94117647058823</v>
      </c>
      <c r="FP54" s="39" t="e">
        <v>#REF!</v>
      </c>
      <c r="FR54" s="39" t="e">
        <v>#REF!</v>
      </c>
    </row>
    <row r="55" spans="1:174" x14ac:dyDescent="0.25">
      <c r="A55" s="142">
        <v>0</v>
      </c>
      <c r="B55" s="68">
        <v>40227</v>
      </c>
      <c r="C55" s="198">
        <v>40227</v>
      </c>
      <c r="D55" s="69">
        <v>39499</v>
      </c>
      <c r="E55" s="70">
        <v>40227</v>
      </c>
      <c r="F55" s="71">
        <v>7</v>
      </c>
      <c r="G55" s="72"/>
      <c r="H55" s="82" t="s">
        <v>56</v>
      </c>
      <c r="I55" s="210"/>
      <c r="J55" s="210"/>
      <c r="K55" s="235">
        <v>948.70588235294122</v>
      </c>
      <c r="L55" s="235">
        <v>145.88235294117646</v>
      </c>
      <c r="M55" s="235">
        <v>1094.5882352941176</v>
      </c>
      <c r="N55" s="235">
        <v>767.05882352941171</v>
      </c>
      <c r="O55" s="235">
        <v>72.470588235294116</v>
      </c>
      <c r="P55" s="235">
        <v>839.52941176470586</v>
      </c>
      <c r="Q55" s="235">
        <v>4.7058823529411766</v>
      </c>
      <c r="R55" s="235">
        <v>0</v>
      </c>
      <c r="S55" s="235">
        <v>4.7058823529411766</v>
      </c>
      <c r="T55" s="235">
        <v>114.82352941176471</v>
      </c>
      <c r="U55" s="235">
        <v>1471.0588235294117</v>
      </c>
      <c r="V55" s="235">
        <v>1585.8823529411766</v>
      </c>
      <c r="W55" s="235">
        <v>886.58823529411768</v>
      </c>
      <c r="X55" s="235">
        <v>1543.5294117647059</v>
      </c>
      <c r="Y55" s="235">
        <v>2430.1176470588234</v>
      </c>
      <c r="Z55" s="200">
        <v>3524.705882352941</v>
      </c>
      <c r="AA55" s="235">
        <v>10.447058823529412</v>
      </c>
      <c r="AB55" s="235">
        <v>5.3647058823529417</v>
      </c>
      <c r="AC55" s="235">
        <v>15.811764705882354</v>
      </c>
      <c r="AD55" s="235">
        <v>0</v>
      </c>
      <c r="AE55" s="235">
        <v>0</v>
      </c>
      <c r="AF55" s="235">
        <v>0</v>
      </c>
      <c r="AG55" s="235">
        <v>24.376470588235293</v>
      </c>
      <c r="AH55" s="235">
        <v>12.517647058823529</v>
      </c>
      <c r="AI55" s="235">
        <v>36.894117647058827</v>
      </c>
      <c r="AJ55" s="235">
        <v>0</v>
      </c>
      <c r="AK55" s="235">
        <v>22.588235294117649</v>
      </c>
      <c r="AL55" s="235">
        <v>22.588235294117649</v>
      </c>
      <c r="AM55" s="235">
        <v>24.376470588235293</v>
      </c>
      <c r="AN55" s="235">
        <v>35.105882352941173</v>
      </c>
      <c r="AO55" s="235">
        <v>59.482352941176465</v>
      </c>
      <c r="AP55" s="200">
        <v>75.294117647058826</v>
      </c>
      <c r="AQ55" s="141">
        <v>0</v>
      </c>
      <c r="AR55" s="200">
        <v>1110.4000000000001</v>
      </c>
      <c r="AS55" s="200">
        <v>2489.6</v>
      </c>
      <c r="AT55" s="66">
        <v>3600</v>
      </c>
      <c r="AU55" s="235">
        <v>0</v>
      </c>
      <c r="AV55" s="235">
        <v>94.117647058823536</v>
      </c>
      <c r="AW55" s="75">
        <v>0</v>
      </c>
      <c r="AX55" s="235">
        <v>395.29411764705884</v>
      </c>
      <c r="AY55" s="66">
        <v>489.41176470588238</v>
      </c>
      <c r="AZ55" s="202">
        <v>0</v>
      </c>
      <c r="BA55" s="87">
        <v>80</v>
      </c>
      <c r="BB55" s="87">
        <v>64.941176470588232</v>
      </c>
      <c r="BC55" s="87">
        <v>80</v>
      </c>
      <c r="BD55" s="87">
        <v>64.941176470588232</v>
      </c>
      <c r="BE55" s="87">
        <v>144.94117647058823</v>
      </c>
      <c r="BF55" s="87">
        <v>323.76470588235293</v>
      </c>
      <c r="BG55" s="66">
        <v>468.70588235294116</v>
      </c>
      <c r="BH55" s="67">
        <v>4558.1176470588234</v>
      </c>
      <c r="BI55" s="67">
        <v>69934.411764705888</v>
      </c>
      <c r="FE55" s="39">
        <v>40227</v>
      </c>
      <c r="FF55" s="39">
        <v>948.70588235294122</v>
      </c>
      <c r="FG55" s="39">
        <v>767.05882352941171</v>
      </c>
      <c r="FH55" s="39">
        <v>1715.7647058823529</v>
      </c>
      <c r="FI55" s="39">
        <v>80</v>
      </c>
      <c r="FJ55" s="39" t="e">
        <v>#REF!</v>
      </c>
      <c r="FK55" s="39" t="e">
        <v>#REF!</v>
      </c>
      <c r="FL55" s="39">
        <v>0</v>
      </c>
      <c r="FM55" s="39">
        <v>94.117647058823536</v>
      </c>
      <c r="FN55" s="39" t="e">
        <v>#REF!</v>
      </c>
      <c r="FO55" s="39">
        <v>395.29411764705884</v>
      </c>
      <c r="FP55" s="39" t="e">
        <v>#REF!</v>
      </c>
      <c r="FR55" s="39" t="e">
        <v>#REF!</v>
      </c>
    </row>
    <row r="56" spans="1:174" x14ac:dyDescent="0.25">
      <c r="A56" s="142">
        <v>0</v>
      </c>
      <c r="B56" s="68">
        <v>40228</v>
      </c>
      <c r="C56" s="198">
        <v>40228</v>
      </c>
      <c r="D56" s="69">
        <v>39500</v>
      </c>
      <c r="E56" s="70">
        <v>40228</v>
      </c>
      <c r="F56" s="71">
        <v>7</v>
      </c>
      <c r="G56" s="72"/>
      <c r="H56" s="82" t="s">
        <v>56</v>
      </c>
      <c r="I56" s="210"/>
      <c r="J56" s="210"/>
      <c r="K56" s="235">
        <v>856.47058823529414</v>
      </c>
      <c r="L56" s="235">
        <v>141.1764705882353</v>
      </c>
      <c r="M56" s="235">
        <v>997.64705882352951</v>
      </c>
      <c r="N56" s="235">
        <v>891.29411764705878</v>
      </c>
      <c r="O56" s="235">
        <v>58.352941176470587</v>
      </c>
      <c r="P56" s="235">
        <v>949.64705882352939</v>
      </c>
      <c r="Q56" s="235">
        <v>20.705882352941178</v>
      </c>
      <c r="R56" s="235">
        <v>0</v>
      </c>
      <c r="S56" s="235">
        <v>20.705882352941178</v>
      </c>
      <c r="T56" s="235">
        <v>135.52941176470588</v>
      </c>
      <c r="U56" s="235">
        <v>1520</v>
      </c>
      <c r="V56" s="235">
        <v>1655.5294117647059</v>
      </c>
      <c r="W56" s="235">
        <v>1047.5294117647059</v>
      </c>
      <c r="X56" s="235">
        <v>1578.3529411764705</v>
      </c>
      <c r="Y56" s="235">
        <v>2625.8823529411766</v>
      </c>
      <c r="Z56" s="200">
        <v>3623.5294117647059</v>
      </c>
      <c r="AA56" s="235">
        <v>8.1882352941176464</v>
      </c>
      <c r="AB56" s="235">
        <v>3.9529411764705884</v>
      </c>
      <c r="AC56" s="235">
        <v>12.141176470588235</v>
      </c>
      <c r="AD56" s="235">
        <v>0</v>
      </c>
      <c r="AE56" s="235">
        <v>0</v>
      </c>
      <c r="AF56" s="235">
        <v>0</v>
      </c>
      <c r="AG56" s="235">
        <v>19.105882352941176</v>
      </c>
      <c r="AH56" s="235">
        <v>9.2235294117647069</v>
      </c>
      <c r="AI56" s="235">
        <v>28.329411764705885</v>
      </c>
      <c r="AJ56" s="235">
        <v>2.8235294117647061</v>
      </c>
      <c r="AK56" s="235">
        <v>33.882352941176471</v>
      </c>
      <c r="AL56" s="235">
        <v>36.705882352941174</v>
      </c>
      <c r="AM56" s="235">
        <v>21.929411764705883</v>
      </c>
      <c r="AN56" s="235">
        <v>43.105882352941173</v>
      </c>
      <c r="AO56" s="235">
        <v>65.035294117647055</v>
      </c>
      <c r="AP56" s="200">
        <v>77.17647058823529</v>
      </c>
      <c r="AQ56" s="141">
        <v>0</v>
      </c>
      <c r="AR56" s="200">
        <v>1009.7882352941177</v>
      </c>
      <c r="AS56" s="200">
        <v>2690.9176470588236</v>
      </c>
      <c r="AT56" s="66">
        <v>3700.7058823529414</v>
      </c>
      <c r="AU56" s="235">
        <v>0</v>
      </c>
      <c r="AV56" s="235">
        <v>94.117647058823536</v>
      </c>
      <c r="AW56" s="75">
        <v>0</v>
      </c>
      <c r="AX56" s="235">
        <v>23.529411764705884</v>
      </c>
      <c r="AY56" s="66">
        <v>117.64705882352942</v>
      </c>
      <c r="AZ56" s="202">
        <v>0</v>
      </c>
      <c r="BA56" s="87">
        <v>0</v>
      </c>
      <c r="BB56" s="87">
        <v>0</v>
      </c>
      <c r="BC56" s="87">
        <v>0</v>
      </c>
      <c r="BD56" s="87">
        <v>0</v>
      </c>
      <c r="BE56" s="87">
        <v>0</v>
      </c>
      <c r="BF56" s="87">
        <v>496</v>
      </c>
      <c r="BG56" s="66">
        <v>496</v>
      </c>
      <c r="BH56" s="67">
        <v>4314.3529411764712</v>
      </c>
      <c r="BI56" s="67">
        <v>74248.764705882364</v>
      </c>
      <c r="FE56" s="39">
        <v>40228</v>
      </c>
      <c r="FF56" s="39">
        <v>856.47058823529414</v>
      </c>
      <c r="FG56" s="39">
        <v>891.29411764705878</v>
      </c>
      <c r="FH56" s="39">
        <v>1747.7647058823529</v>
      </c>
      <c r="FI56" s="39">
        <v>0</v>
      </c>
      <c r="FJ56" s="39" t="e">
        <v>#REF!</v>
      </c>
      <c r="FK56" s="39" t="e">
        <v>#REF!</v>
      </c>
      <c r="FL56" s="39">
        <v>0</v>
      </c>
      <c r="FM56" s="39">
        <v>94.117647058823536</v>
      </c>
      <c r="FN56" s="39" t="e">
        <v>#REF!</v>
      </c>
      <c r="FO56" s="39">
        <v>23.529411764705884</v>
      </c>
      <c r="FP56" s="39" t="e">
        <v>#REF!</v>
      </c>
      <c r="FR56" s="39" t="e">
        <v>#REF!</v>
      </c>
    </row>
    <row r="57" spans="1:174" s="40" customFormat="1" x14ac:dyDescent="0.25">
      <c r="A57" s="142">
        <v>0</v>
      </c>
      <c r="B57" s="85">
        <v>40229</v>
      </c>
      <c r="C57" s="203">
        <v>40229</v>
      </c>
      <c r="D57" s="76">
        <v>39501</v>
      </c>
      <c r="E57" s="77">
        <v>40229</v>
      </c>
      <c r="F57" s="78">
        <v>7</v>
      </c>
      <c r="G57" s="79"/>
      <c r="H57" s="80" t="s">
        <v>54</v>
      </c>
      <c r="I57" s="212"/>
      <c r="J57" s="212"/>
      <c r="K57" s="231">
        <v>922.35294117647061</v>
      </c>
      <c r="L57" s="231">
        <v>282.35294117647061</v>
      </c>
      <c r="M57" s="231">
        <v>1204.7058823529412</v>
      </c>
      <c r="N57" s="231">
        <v>918.58823529411768</v>
      </c>
      <c r="O57" s="231">
        <v>108.23529411764706</v>
      </c>
      <c r="P57" s="231">
        <v>1026.8235294117646</v>
      </c>
      <c r="Q57" s="231">
        <v>23.529411764705884</v>
      </c>
      <c r="R57" s="231">
        <v>0</v>
      </c>
      <c r="S57" s="231">
        <v>23.529411764705884</v>
      </c>
      <c r="T57" s="231">
        <v>160</v>
      </c>
      <c r="U57" s="231">
        <v>1806.1176470588234</v>
      </c>
      <c r="V57" s="231">
        <v>1966.1176470588234</v>
      </c>
      <c r="W57" s="231">
        <v>1102.1176470588234</v>
      </c>
      <c r="X57" s="231">
        <v>1914.3529411764705</v>
      </c>
      <c r="Y57" s="231">
        <v>3016.4705882352941</v>
      </c>
      <c r="Z57" s="200">
        <v>4221.1764705882351</v>
      </c>
      <c r="AA57" s="231">
        <v>12.423529411764704</v>
      </c>
      <c r="AB57" s="231">
        <v>4.8</v>
      </c>
      <c r="AC57" s="231">
        <v>17.223529411764702</v>
      </c>
      <c r="AD57" s="231">
        <v>0</v>
      </c>
      <c r="AE57" s="231">
        <v>0</v>
      </c>
      <c r="AF57" s="231">
        <v>0</v>
      </c>
      <c r="AG57" s="231">
        <v>28.988235294117647</v>
      </c>
      <c r="AH57" s="231">
        <v>11.2</v>
      </c>
      <c r="AI57" s="231">
        <v>40.188235294117646</v>
      </c>
      <c r="AJ57" s="231">
        <v>4.7058823529411766</v>
      </c>
      <c r="AK57" s="231">
        <v>33.882352941176471</v>
      </c>
      <c r="AL57" s="231">
        <v>38.588235294117645</v>
      </c>
      <c r="AM57" s="231">
        <v>33.694117647058818</v>
      </c>
      <c r="AN57" s="231">
        <v>45.082352941176467</v>
      </c>
      <c r="AO57" s="231">
        <v>78.776470588235284</v>
      </c>
      <c r="AP57" s="200">
        <v>96</v>
      </c>
      <c r="AQ57" s="232">
        <v>0</v>
      </c>
      <c r="AR57" s="200">
        <v>1221.9294117647059</v>
      </c>
      <c r="AS57" s="200">
        <v>3095.2470588235296</v>
      </c>
      <c r="AT57" s="66">
        <v>4317.176470588236</v>
      </c>
      <c r="AU57" s="231">
        <v>0</v>
      </c>
      <c r="AV57" s="231">
        <v>141.1764705882353</v>
      </c>
      <c r="AW57" s="75">
        <v>0</v>
      </c>
      <c r="AX57" s="231">
        <v>94.117647058823536</v>
      </c>
      <c r="AY57" s="66">
        <v>235.29411764705884</v>
      </c>
      <c r="AZ57" s="208">
        <v>0</v>
      </c>
      <c r="BA57" s="86">
        <v>0</v>
      </c>
      <c r="BB57" s="86">
        <v>357.64705882352939</v>
      </c>
      <c r="BC57" s="86">
        <v>0</v>
      </c>
      <c r="BD57" s="86">
        <v>357.64705882352939</v>
      </c>
      <c r="BE57" s="86">
        <v>357.64705882352939</v>
      </c>
      <c r="BF57" s="86">
        <v>371.76470588235293</v>
      </c>
      <c r="BG57" s="66">
        <v>729.41176470588232</v>
      </c>
      <c r="BH57" s="67">
        <v>5281.8823529411775</v>
      </c>
      <c r="BI57" s="67">
        <v>79530.647058823539</v>
      </c>
      <c r="FE57" s="40">
        <v>40229</v>
      </c>
      <c r="FF57" s="40">
        <v>922.35294117647061</v>
      </c>
      <c r="FG57" s="40">
        <v>918.58823529411768</v>
      </c>
      <c r="FH57" s="40">
        <v>1840.9411764705883</v>
      </c>
      <c r="FI57" s="40">
        <v>0</v>
      </c>
      <c r="FJ57" s="40" t="e">
        <v>#REF!</v>
      </c>
      <c r="FK57" s="40" t="e">
        <v>#REF!</v>
      </c>
      <c r="FL57" s="40">
        <v>0</v>
      </c>
      <c r="FM57" s="40">
        <v>141.1764705882353</v>
      </c>
      <c r="FN57" s="40" t="e">
        <v>#REF!</v>
      </c>
      <c r="FO57" s="40">
        <v>94.117647058823536</v>
      </c>
      <c r="FP57" s="40" t="e">
        <v>#REF!</v>
      </c>
      <c r="FR57" s="40" t="e">
        <v>#REF!</v>
      </c>
    </row>
    <row r="58" spans="1:174" s="40" customFormat="1" x14ac:dyDescent="0.25">
      <c r="A58" s="142">
        <v>0</v>
      </c>
      <c r="B58" s="85">
        <v>40230</v>
      </c>
      <c r="C58" s="203">
        <v>40230</v>
      </c>
      <c r="D58" s="76">
        <v>39502</v>
      </c>
      <c r="E58" s="77">
        <v>40230</v>
      </c>
      <c r="F58" s="78">
        <v>7</v>
      </c>
      <c r="G58" s="79"/>
      <c r="H58" s="80" t="s">
        <v>54</v>
      </c>
      <c r="I58" s="212"/>
      <c r="J58" s="212"/>
      <c r="K58" s="231">
        <v>1035.2941176470588</v>
      </c>
      <c r="L58" s="231">
        <v>192.94117647058823</v>
      </c>
      <c r="M58" s="231">
        <v>1228.2352941176471</v>
      </c>
      <c r="N58" s="231">
        <v>585.41176470588232</v>
      </c>
      <c r="O58" s="231">
        <v>106.35294117647059</v>
      </c>
      <c r="P58" s="231">
        <v>691.76470588235293</v>
      </c>
      <c r="Q58" s="231">
        <v>9.4117647058823533</v>
      </c>
      <c r="R58" s="231">
        <v>0</v>
      </c>
      <c r="S58" s="231">
        <v>9.4117647058823533</v>
      </c>
      <c r="T58" s="231">
        <v>115.76470588235294</v>
      </c>
      <c r="U58" s="231">
        <v>1614.1176470588234</v>
      </c>
      <c r="V58" s="231">
        <v>1729.8823529411766</v>
      </c>
      <c r="W58" s="231">
        <v>710.58823529411768</v>
      </c>
      <c r="X58" s="231">
        <v>1720.4705882352941</v>
      </c>
      <c r="Y58" s="231">
        <v>2431.0588235294117</v>
      </c>
      <c r="Z58" s="200">
        <v>3659.294117647059</v>
      </c>
      <c r="AA58" s="231">
        <v>12.141176470588235</v>
      </c>
      <c r="AB58" s="231">
        <v>4.5176470588235293</v>
      </c>
      <c r="AC58" s="231">
        <v>16.658823529411762</v>
      </c>
      <c r="AD58" s="231">
        <v>0</v>
      </c>
      <c r="AE58" s="231">
        <v>0</v>
      </c>
      <c r="AF58" s="231">
        <v>0</v>
      </c>
      <c r="AG58" s="231">
        <v>28.329411764705885</v>
      </c>
      <c r="AH58" s="231">
        <v>10.541176470588235</v>
      </c>
      <c r="AI58" s="231">
        <v>38.870588235294115</v>
      </c>
      <c r="AJ58" s="231">
        <v>0</v>
      </c>
      <c r="AK58" s="231">
        <v>13.176470588235293</v>
      </c>
      <c r="AL58" s="231">
        <v>13.176470588235293</v>
      </c>
      <c r="AM58" s="231">
        <v>28.329411764705885</v>
      </c>
      <c r="AN58" s="231">
        <v>23.71764705882353</v>
      </c>
      <c r="AO58" s="231">
        <v>52.047058823529412</v>
      </c>
      <c r="AP58" s="200">
        <v>68.705882352941174</v>
      </c>
      <c r="AQ58" s="232">
        <v>0</v>
      </c>
      <c r="AR58" s="200">
        <v>1244.8941176470589</v>
      </c>
      <c r="AS58" s="200">
        <v>2483.1058823529411</v>
      </c>
      <c r="AT58" s="66">
        <v>3728</v>
      </c>
      <c r="AU58" s="231">
        <v>0</v>
      </c>
      <c r="AV58" s="231">
        <v>94.117647058823536</v>
      </c>
      <c r="AW58" s="75">
        <v>0</v>
      </c>
      <c r="AX58" s="231">
        <v>70.588235294117652</v>
      </c>
      <c r="AY58" s="66">
        <v>164.70588235294119</v>
      </c>
      <c r="AZ58" s="208">
        <v>0</v>
      </c>
      <c r="BA58" s="86">
        <v>0</v>
      </c>
      <c r="BB58" s="86">
        <v>317.1764705882353</v>
      </c>
      <c r="BC58" s="86">
        <v>0</v>
      </c>
      <c r="BD58" s="86">
        <v>317.1764705882353</v>
      </c>
      <c r="BE58" s="86">
        <v>317.1764705882353</v>
      </c>
      <c r="BF58" s="86">
        <v>221.1764705882353</v>
      </c>
      <c r="BG58" s="66">
        <v>538.35294117647061</v>
      </c>
      <c r="BH58" s="67">
        <v>4431.0588235294117</v>
      </c>
      <c r="BI58" s="67">
        <v>83961.705882352951</v>
      </c>
      <c r="FE58" s="40">
        <v>40230</v>
      </c>
      <c r="FF58" s="40">
        <v>1035.2941176470588</v>
      </c>
      <c r="FG58" s="40">
        <v>585.41176470588232</v>
      </c>
      <c r="FH58" s="40">
        <v>1620.705882352941</v>
      </c>
      <c r="FI58" s="40">
        <v>0</v>
      </c>
      <c r="FJ58" s="40" t="e">
        <v>#REF!</v>
      </c>
      <c r="FK58" s="40" t="e">
        <v>#REF!</v>
      </c>
      <c r="FL58" s="40">
        <v>0</v>
      </c>
      <c r="FM58" s="40">
        <v>94.117647058823536</v>
      </c>
      <c r="FN58" s="40" t="e">
        <v>#REF!</v>
      </c>
      <c r="FO58" s="40">
        <v>70.588235294117652</v>
      </c>
      <c r="FP58" s="40" t="e">
        <v>#REF!</v>
      </c>
      <c r="FR58" s="40" t="e">
        <v>#REF!</v>
      </c>
    </row>
    <row r="59" spans="1:174" x14ac:dyDescent="0.25">
      <c r="A59" s="142">
        <v>0</v>
      </c>
      <c r="B59" s="68">
        <v>40231</v>
      </c>
      <c r="C59" s="198">
        <v>40231</v>
      </c>
      <c r="D59" s="69">
        <v>39503</v>
      </c>
      <c r="E59" s="70">
        <v>40231</v>
      </c>
      <c r="F59" s="71">
        <v>8</v>
      </c>
      <c r="G59" s="72"/>
      <c r="H59" s="82" t="s">
        <v>33</v>
      </c>
      <c r="I59" s="210"/>
      <c r="J59" s="210"/>
      <c r="K59" s="235">
        <v>433.88235294117646</v>
      </c>
      <c r="L59" s="235">
        <v>80</v>
      </c>
      <c r="M59" s="235">
        <v>513.88235294117646</v>
      </c>
      <c r="N59" s="235">
        <v>1137.8823529411766</v>
      </c>
      <c r="O59" s="235">
        <v>65.882352941176464</v>
      </c>
      <c r="P59" s="235">
        <v>1203.7647058823529</v>
      </c>
      <c r="Q59" s="235">
        <v>26.352941176470587</v>
      </c>
      <c r="R59" s="235">
        <v>0</v>
      </c>
      <c r="S59" s="235">
        <v>26.352941176470587</v>
      </c>
      <c r="T59" s="235">
        <v>224</v>
      </c>
      <c r="U59" s="235">
        <v>1961.4117647058824</v>
      </c>
      <c r="V59" s="235">
        <v>2185.4117647058824</v>
      </c>
      <c r="W59" s="235">
        <v>1388.2352941176471</v>
      </c>
      <c r="X59" s="235">
        <v>2027.2941176470588</v>
      </c>
      <c r="Y59" s="235">
        <v>3415.5294117647059</v>
      </c>
      <c r="Z59" s="200">
        <v>3929.4117647058824</v>
      </c>
      <c r="AA59" s="235">
        <v>1.411764705882353</v>
      </c>
      <c r="AB59" s="235">
        <v>0.56470588235294117</v>
      </c>
      <c r="AC59" s="235">
        <v>1.9764705882352942</v>
      </c>
      <c r="AD59" s="235">
        <v>0</v>
      </c>
      <c r="AE59" s="235">
        <v>0</v>
      </c>
      <c r="AF59" s="235">
        <v>0</v>
      </c>
      <c r="AG59" s="235">
        <v>3.2941176470588234</v>
      </c>
      <c r="AH59" s="235">
        <v>1.3176470588235294</v>
      </c>
      <c r="AI59" s="235">
        <v>4.6117647058823534</v>
      </c>
      <c r="AJ59" s="235">
        <v>0</v>
      </c>
      <c r="AK59" s="235">
        <v>4.7058823529411766</v>
      </c>
      <c r="AL59" s="235">
        <v>4.7058823529411766</v>
      </c>
      <c r="AM59" s="235">
        <v>3.2941176470588234</v>
      </c>
      <c r="AN59" s="235">
        <v>6.0235294117647058</v>
      </c>
      <c r="AO59" s="235">
        <v>9.3176470588235301</v>
      </c>
      <c r="AP59" s="200">
        <v>11.294117647058824</v>
      </c>
      <c r="AQ59" s="141">
        <v>0</v>
      </c>
      <c r="AR59" s="200">
        <v>515.85882352941178</v>
      </c>
      <c r="AS59" s="200">
        <v>3424.8470588235296</v>
      </c>
      <c r="AT59" s="66">
        <v>3940.7058823529414</v>
      </c>
      <c r="AU59" s="235">
        <v>0</v>
      </c>
      <c r="AV59" s="235">
        <v>70.588235294117652</v>
      </c>
      <c r="AW59" s="75">
        <v>0</v>
      </c>
      <c r="AX59" s="235">
        <v>42.352941176470587</v>
      </c>
      <c r="AY59" s="66">
        <v>112.94117647058823</v>
      </c>
      <c r="AZ59" s="202">
        <v>0</v>
      </c>
      <c r="BA59" s="87">
        <v>0</v>
      </c>
      <c r="BB59" s="87">
        <v>103.52941176470588</v>
      </c>
      <c r="BC59" s="87">
        <v>0</v>
      </c>
      <c r="BD59" s="87">
        <v>103.52941176470588</v>
      </c>
      <c r="BE59" s="87">
        <v>103.52941176470588</v>
      </c>
      <c r="BF59" s="87">
        <v>235.29411764705881</v>
      </c>
      <c r="BG59" s="66">
        <v>338.8235294117647</v>
      </c>
      <c r="BH59" s="67">
        <v>4392.4705882352946</v>
      </c>
      <c r="BI59" s="67">
        <v>88354.176470588252</v>
      </c>
      <c r="FE59" s="39">
        <v>40231</v>
      </c>
      <c r="FF59" s="39">
        <v>433.88235294117646</v>
      </c>
      <c r="FG59" s="39">
        <v>1137.8823529411766</v>
      </c>
      <c r="FH59" s="39">
        <v>1571.7647058823532</v>
      </c>
      <c r="FI59" s="39">
        <v>0</v>
      </c>
      <c r="FJ59" s="39" t="e">
        <v>#REF!</v>
      </c>
      <c r="FK59" s="39" t="e">
        <v>#REF!</v>
      </c>
      <c r="FL59" s="39">
        <v>0</v>
      </c>
      <c r="FM59" s="39">
        <v>70.588235294117652</v>
      </c>
      <c r="FN59" s="39" t="e">
        <v>#REF!</v>
      </c>
      <c r="FO59" s="39">
        <v>42.352941176470587</v>
      </c>
      <c r="FP59" s="39" t="e">
        <v>#REF!</v>
      </c>
      <c r="FR59" s="39" t="e">
        <v>#REF!</v>
      </c>
    </row>
    <row r="60" spans="1:174" x14ac:dyDescent="0.25">
      <c r="A60" s="142">
        <v>0</v>
      </c>
      <c r="B60" s="68">
        <v>40232</v>
      </c>
      <c r="C60" s="198">
        <v>40232</v>
      </c>
      <c r="D60" s="69">
        <v>39504</v>
      </c>
      <c r="E60" s="70">
        <v>40232</v>
      </c>
      <c r="F60" s="71">
        <v>8</v>
      </c>
      <c r="G60" s="72"/>
      <c r="H60" s="82" t="s">
        <v>33</v>
      </c>
      <c r="I60" s="210"/>
      <c r="J60" s="210"/>
      <c r="K60" s="235">
        <v>711.52941176470586</v>
      </c>
      <c r="L60" s="235">
        <v>158.11764705882354</v>
      </c>
      <c r="M60" s="235">
        <v>869.64705882352939</v>
      </c>
      <c r="N60" s="235">
        <v>767.05882352941171</v>
      </c>
      <c r="O60" s="235">
        <v>77.17647058823529</v>
      </c>
      <c r="P60" s="235">
        <v>844.23529411764707</v>
      </c>
      <c r="Q60" s="235">
        <v>7.5294117647058822</v>
      </c>
      <c r="R60" s="235">
        <v>0</v>
      </c>
      <c r="S60" s="235">
        <v>7.5294117647058822</v>
      </c>
      <c r="T60" s="235">
        <v>129.88235294117646</v>
      </c>
      <c r="U60" s="235">
        <v>2138.3529411764707</v>
      </c>
      <c r="V60" s="235">
        <v>2268.2352941176468</v>
      </c>
      <c r="W60" s="235">
        <v>904.47058823529414</v>
      </c>
      <c r="X60" s="235">
        <v>2215.5294117647059</v>
      </c>
      <c r="Y60" s="235">
        <v>3120</v>
      </c>
      <c r="Z60" s="200">
        <v>3989.6470588235293</v>
      </c>
      <c r="AA60" s="235">
        <v>2.2588235294117647</v>
      </c>
      <c r="AB60" s="235">
        <v>0.56470588235294117</v>
      </c>
      <c r="AC60" s="235">
        <v>2.8235294117647061</v>
      </c>
      <c r="AD60" s="235">
        <v>0</v>
      </c>
      <c r="AE60" s="235">
        <v>0</v>
      </c>
      <c r="AF60" s="235">
        <v>0</v>
      </c>
      <c r="AG60" s="235">
        <v>5.2705882352941176</v>
      </c>
      <c r="AH60" s="235">
        <v>1.3176470588235294</v>
      </c>
      <c r="AI60" s="235">
        <v>6.5882352941176467</v>
      </c>
      <c r="AJ60" s="235">
        <v>2.8235294117647061</v>
      </c>
      <c r="AK60" s="235">
        <v>4.7058823529411766</v>
      </c>
      <c r="AL60" s="235">
        <v>7.5294117647058822</v>
      </c>
      <c r="AM60" s="235">
        <v>8.0941176470588232</v>
      </c>
      <c r="AN60" s="235">
        <v>6.0235294117647058</v>
      </c>
      <c r="AO60" s="235">
        <v>14.117647058823529</v>
      </c>
      <c r="AP60" s="200">
        <v>16.941176470588236</v>
      </c>
      <c r="AQ60" s="141">
        <v>0</v>
      </c>
      <c r="AR60" s="200">
        <v>872.47058823529414</v>
      </c>
      <c r="AS60" s="200">
        <v>3134.1176470588234</v>
      </c>
      <c r="AT60" s="66">
        <v>4006.5882352941176</v>
      </c>
      <c r="AU60" s="235">
        <v>0</v>
      </c>
      <c r="AV60" s="235">
        <v>70.588235294117652</v>
      </c>
      <c r="AW60" s="75">
        <v>0</v>
      </c>
      <c r="AX60" s="235">
        <v>517.64705882352939</v>
      </c>
      <c r="AY60" s="66">
        <v>588.23529411764707</v>
      </c>
      <c r="AZ60" s="202">
        <v>0</v>
      </c>
      <c r="BA60" s="87">
        <v>0</v>
      </c>
      <c r="BB60" s="87">
        <v>60.235294117647058</v>
      </c>
      <c r="BC60" s="87">
        <v>0</v>
      </c>
      <c r="BD60" s="87">
        <v>60.235294117647058</v>
      </c>
      <c r="BE60" s="87">
        <v>60.235294117647058</v>
      </c>
      <c r="BF60" s="87">
        <v>235.29411764705881</v>
      </c>
      <c r="BG60" s="66">
        <v>295.52941176470586</v>
      </c>
      <c r="BH60" s="67">
        <v>4890.3529411764703</v>
      </c>
      <c r="BI60" s="67">
        <v>93244.529411764728</v>
      </c>
      <c r="FE60" s="39">
        <v>40232</v>
      </c>
      <c r="FF60" s="39">
        <v>711.52941176470586</v>
      </c>
      <c r="FG60" s="39">
        <v>767.05882352941171</v>
      </c>
      <c r="FH60" s="39">
        <v>1478.5882352941176</v>
      </c>
      <c r="FI60" s="39">
        <v>0</v>
      </c>
      <c r="FJ60" s="39" t="e">
        <v>#REF!</v>
      </c>
      <c r="FK60" s="39" t="e">
        <v>#REF!</v>
      </c>
      <c r="FL60" s="39">
        <v>0</v>
      </c>
      <c r="FM60" s="39">
        <v>70.588235294117652</v>
      </c>
      <c r="FN60" s="39" t="e">
        <v>#REF!</v>
      </c>
      <c r="FO60" s="39">
        <v>517.64705882352939</v>
      </c>
      <c r="FP60" s="39" t="e">
        <v>#REF!</v>
      </c>
      <c r="FR60" s="39" t="e">
        <v>#REF!</v>
      </c>
    </row>
    <row r="61" spans="1:174" x14ac:dyDescent="0.25">
      <c r="A61" s="142">
        <v>0</v>
      </c>
      <c r="B61" s="68">
        <v>40233</v>
      </c>
      <c r="C61" s="198">
        <v>40233</v>
      </c>
      <c r="D61" s="69">
        <v>39505</v>
      </c>
      <c r="E61" s="70">
        <v>40233</v>
      </c>
      <c r="F61" s="71">
        <v>8</v>
      </c>
      <c r="G61" s="72"/>
      <c r="H61" s="82" t="s">
        <v>33</v>
      </c>
      <c r="I61" s="210"/>
      <c r="J61" s="210"/>
      <c r="K61" s="235">
        <v>588.23529411764707</v>
      </c>
      <c r="L61" s="235">
        <v>174.11764705882354</v>
      </c>
      <c r="M61" s="235">
        <v>762.35294117647061</v>
      </c>
      <c r="N61" s="235">
        <v>483.76470588235293</v>
      </c>
      <c r="O61" s="235">
        <v>94.117647058823536</v>
      </c>
      <c r="P61" s="235">
        <v>577.88235294117646</v>
      </c>
      <c r="Q61" s="235">
        <v>11.294117647058824</v>
      </c>
      <c r="R61" s="235">
        <v>0</v>
      </c>
      <c r="S61" s="235">
        <v>11.294117647058824</v>
      </c>
      <c r="T61" s="235">
        <v>64</v>
      </c>
      <c r="U61" s="235">
        <v>1505.8823529411766</v>
      </c>
      <c r="V61" s="235">
        <v>1569.8823529411766</v>
      </c>
      <c r="W61" s="235">
        <v>559.05882352941171</v>
      </c>
      <c r="X61" s="235">
        <v>1600</v>
      </c>
      <c r="Y61" s="235">
        <v>2159.0588235294117</v>
      </c>
      <c r="Z61" s="200">
        <v>2921.4117647058824</v>
      </c>
      <c r="AA61" s="235">
        <v>3.388235294117647</v>
      </c>
      <c r="AB61" s="235">
        <v>0</v>
      </c>
      <c r="AC61" s="235">
        <v>3.388235294117647</v>
      </c>
      <c r="AD61" s="235">
        <v>0</v>
      </c>
      <c r="AE61" s="235">
        <v>0</v>
      </c>
      <c r="AF61" s="235">
        <v>0</v>
      </c>
      <c r="AG61" s="235">
        <v>7.9058823529411768</v>
      </c>
      <c r="AH61" s="235">
        <v>0</v>
      </c>
      <c r="AI61" s="235">
        <v>7.9058823529411768</v>
      </c>
      <c r="AJ61" s="235">
        <v>0</v>
      </c>
      <c r="AK61" s="235">
        <v>8.4705882352941178</v>
      </c>
      <c r="AL61" s="235">
        <v>8.4705882352941178</v>
      </c>
      <c r="AM61" s="235">
        <v>7.9058823529411768</v>
      </c>
      <c r="AN61" s="235">
        <v>8.4705882352941178</v>
      </c>
      <c r="AO61" s="235">
        <v>16.376470588235293</v>
      </c>
      <c r="AP61" s="200">
        <v>19.764705882352942</v>
      </c>
      <c r="AQ61" s="141">
        <v>0</v>
      </c>
      <c r="AR61" s="200">
        <v>765.74117647058824</v>
      </c>
      <c r="AS61" s="200">
        <v>2175.4352941176471</v>
      </c>
      <c r="AT61" s="66">
        <v>2941.1764705882351</v>
      </c>
      <c r="AU61" s="235">
        <v>0</v>
      </c>
      <c r="AV61" s="235">
        <v>56.470588235294116</v>
      </c>
      <c r="AW61" s="75">
        <v>0</v>
      </c>
      <c r="AX61" s="235">
        <v>47.058823529411768</v>
      </c>
      <c r="AY61" s="66">
        <v>103.52941176470588</v>
      </c>
      <c r="AZ61" s="202">
        <v>0</v>
      </c>
      <c r="BA61" s="87">
        <v>0</v>
      </c>
      <c r="BB61" s="87">
        <v>0</v>
      </c>
      <c r="BC61" s="87">
        <v>0</v>
      </c>
      <c r="BD61" s="87">
        <v>0</v>
      </c>
      <c r="BE61" s="87">
        <v>0</v>
      </c>
      <c r="BF61" s="87">
        <v>448.94117647058823</v>
      </c>
      <c r="BG61" s="66">
        <v>448.94117647058823</v>
      </c>
      <c r="BH61" s="67">
        <v>3493.6470588235293</v>
      </c>
      <c r="BI61" s="67">
        <v>96738.176470588252</v>
      </c>
      <c r="FE61" s="39">
        <v>40233</v>
      </c>
      <c r="FF61" s="39">
        <v>588.23529411764707</v>
      </c>
      <c r="FG61" s="39">
        <v>483.76470588235293</v>
      </c>
      <c r="FH61" s="39">
        <v>1072</v>
      </c>
      <c r="FI61" s="39">
        <v>0</v>
      </c>
      <c r="FJ61" s="39" t="e">
        <v>#REF!</v>
      </c>
      <c r="FK61" s="39" t="e">
        <v>#REF!</v>
      </c>
      <c r="FL61" s="39">
        <v>0</v>
      </c>
      <c r="FM61" s="39">
        <v>56.470588235294116</v>
      </c>
      <c r="FN61" s="39" t="e">
        <v>#REF!</v>
      </c>
      <c r="FO61" s="39">
        <v>47.058823529411768</v>
      </c>
      <c r="FP61" s="39" t="e">
        <v>#REF!</v>
      </c>
      <c r="FR61" s="39" t="e">
        <v>#REF!</v>
      </c>
    </row>
    <row r="62" spans="1:174" x14ac:dyDescent="0.25">
      <c r="A62" s="142">
        <v>0</v>
      </c>
      <c r="B62" s="68">
        <v>40234</v>
      </c>
      <c r="C62" s="198">
        <v>40234</v>
      </c>
      <c r="D62" s="69">
        <v>39506</v>
      </c>
      <c r="E62" s="70">
        <v>40234</v>
      </c>
      <c r="F62" s="71">
        <v>8</v>
      </c>
      <c r="G62" s="72"/>
      <c r="H62" s="82" t="s">
        <v>33</v>
      </c>
      <c r="I62" s="210"/>
      <c r="J62" s="210"/>
      <c r="K62" s="235">
        <v>710.58823529411768</v>
      </c>
      <c r="L62" s="235">
        <v>98.82352941176471</v>
      </c>
      <c r="M62" s="235">
        <v>809.41176470588243</v>
      </c>
      <c r="N62" s="235">
        <v>844.23529411764707</v>
      </c>
      <c r="O62" s="235">
        <v>128</v>
      </c>
      <c r="P62" s="235">
        <v>972.23529411764707</v>
      </c>
      <c r="Q62" s="235">
        <v>32</v>
      </c>
      <c r="R62" s="235">
        <v>0</v>
      </c>
      <c r="S62" s="235">
        <v>32</v>
      </c>
      <c r="T62" s="235">
        <v>160.94117647058823</v>
      </c>
      <c r="U62" s="235">
        <v>2734.1176470588234</v>
      </c>
      <c r="V62" s="235">
        <v>2895.0588235294117</v>
      </c>
      <c r="W62" s="235">
        <v>1037.1764705882354</v>
      </c>
      <c r="X62" s="235">
        <v>2862.1176470588234</v>
      </c>
      <c r="Y62" s="235">
        <v>3899.294117647059</v>
      </c>
      <c r="Z62" s="200">
        <v>4708.7058823529414</v>
      </c>
      <c r="AA62" s="235">
        <v>2.8235294117647061</v>
      </c>
      <c r="AB62" s="235">
        <v>1.1294117647058823</v>
      </c>
      <c r="AC62" s="235">
        <v>3.9529411764705884</v>
      </c>
      <c r="AD62" s="235">
        <v>0</v>
      </c>
      <c r="AE62" s="235">
        <v>0</v>
      </c>
      <c r="AF62" s="235">
        <v>0</v>
      </c>
      <c r="AG62" s="235">
        <v>6.5882352941176467</v>
      </c>
      <c r="AH62" s="235">
        <v>2.6352941176470588</v>
      </c>
      <c r="AI62" s="235">
        <v>9.2235294117647069</v>
      </c>
      <c r="AJ62" s="235">
        <v>0</v>
      </c>
      <c r="AK62" s="235">
        <v>8.4705882352941178</v>
      </c>
      <c r="AL62" s="235">
        <v>8.4705882352941178</v>
      </c>
      <c r="AM62" s="235">
        <v>6.5882352941176467</v>
      </c>
      <c r="AN62" s="235">
        <v>11.105882352941178</v>
      </c>
      <c r="AO62" s="235">
        <v>17.694117647058825</v>
      </c>
      <c r="AP62" s="200">
        <v>21.647058823529413</v>
      </c>
      <c r="AQ62" s="141">
        <v>0</v>
      </c>
      <c r="AR62" s="200">
        <v>813.36470588235306</v>
      </c>
      <c r="AS62" s="200">
        <v>3916.9882352941177</v>
      </c>
      <c r="AT62" s="66">
        <v>4730.3529411764703</v>
      </c>
      <c r="AU62" s="235">
        <v>0</v>
      </c>
      <c r="AV62" s="235">
        <v>37.647058823529413</v>
      </c>
      <c r="AW62" s="75">
        <v>0</v>
      </c>
      <c r="AX62" s="235">
        <v>541.17647058823525</v>
      </c>
      <c r="AY62" s="66">
        <v>578.82352941176464</v>
      </c>
      <c r="AZ62" s="202">
        <v>0</v>
      </c>
      <c r="BA62" s="87">
        <v>49.882352941176471</v>
      </c>
      <c r="BB62" s="87">
        <v>0</v>
      </c>
      <c r="BC62" s="87">
        <v>49.882352941176471</v>
      </c>
      <c r="BD62" s="87">
        <v>0</v>
      </c>
      <c r="BE62" s="87">
        <v>49.882352941176471</v>
      </c>
      <c r="BF62" s="87">
        <v>112.94117647058823</v>
      </c>
      <c r="BG62" s="66">
        <v>162.8235294117647</v>
      </c>
      <c r="BH62" s="67">
        <v>5472</v>
      </c>
      <c r="BI62" s="67">
        <v>102210.17647058825</v>
      </c>
      <c r="FE62" s="39">
        <v>40234</v>
      </c>
      <c r="FF62" s="39">
        <v>710.58823529411768</v>
      </c>
      <c r="FG62" s="39">
        <v>844.23529411764707</v>
      </c>
      <c r="FH62" s="39">
        <v>1554.8235294117649</v>
      </c>
      <c r="FI62" s="39">
        <v>49.882352941176471</v>
      </c>
      <c r="FJ62" s="39" t="e">
        <v>#REF!</v>
      </c>
      <c r="FK62" s="39" t="e">
        <v>#REF!</v>
      </c>
      <c r="FL62" s="39">
        <v>0</v>
      </c>
      <c r="FM62" s="39">
        <v>37.647058823529413</v>
      </c>
      <c r="FN62" s="39" t="e">
        <v>#REF!</v>
      </c>
      <c r="FO62" s="39">
        <v>541.17647058823525</v>
      </c>
      <c r="FP62" s="39" t="e">
        <v>#REF!</v>
      </c>
      <c r="FR62" s="39" t="e">
        <v>#REF!</v>
      </c>
    </row>
    <row r="63" spans="1:174" x14ac:dyDescent="0.25">
      <c r="A63" s="142">
        <v>0</v>
      </c>
      <c r="B63" s="68">
        <v>40235</v>
      </c>
      <c r="C63" s="198">
        <v>40235</v>
      </c>
      <c r="D63" s="69">
        <v>39507</v>
      </c>
      <c r="E63" s="70">
        <v>40235</v>
      </c>
      <c r="F63" s="71">
        <v>8</v>
      </c>
      <c r="G63" s="72"/>
      <c r="H63" s="82" t="s">
        <v>33</v>
      </c>
      <c r="I63" s="210"/>
      <c r="J63" s="210"/>
      <c r="K63" s="235">
        <v>548.70588235294122</v>
      </c>
      <c r="L63" s="235">
        <v>141.1764705882353</v>
      </c>
      <c r="M63" s="235">
        <v>689.88235294117658</v>
      </c>
      <c r="N63" s="235">
        <v>673.88235294117646</v>
      </c>
      <c r="O63" s="235">
        <v>97.882352941176464</v>
      </c>
      <c r="P63" s="235">
        <v>771.76470588235293</v>
      </c>
      <c r="Q63" s="235">
        <v>15.058823529411764</v>
      </c>
      <c r="R63" s="235">
        <v>0</v>
      </c>
      <c r="S63" s="235">
        <v>15.058823529411764</v>
      </c>
      <c r="T63" s="235">
        <v>110.11764705882354</v>
      </c>
      <c r="U63" s="235">
        <v>2355.7647058823532</v>
      </c>
      <c r="V63" s="235">
        <v>2465.8823529411766</v>
      </c>
      <c r="W63" s="235">
        <v>799.05882352941171</v>
      </c>
      <c r="X63" s="235">
        <v>2453.6470588235293</v>
      </c>
      <c r="Y63" s="235">
        <v>3252.705882352941</v>
      </c>
      <c r="Z63" s="200">
        <v>3942.5882352941176</v>
      </c>
      <c r="AA63" s="235">
        <v>1.9764705882352942</v>
      </c>
      <c r="AB63" s="235">
        <v>2.2588235294117647</v>
      </c>
      <c r="AC63" s="235">
        <v>4.2352941176470589</v>
      </c>
      <c r="AD63" s="235">
        <v>0</v>
      </c>
      <c r="AE63" s="235">
        <v>0</v>
      </c>
      <c r="AF63" s="235">
        <v>0</v>
      </c>
      <c r="AG63" s="235">
        <v>4.6117647058823534</v>
      </c>
      <c r="AH63" s="235">
        <v>5.2705882352941176</v>
      </c>
      <c r="AI63" s="235">
        <v>9.882352941176471</v>
      </c>
      <c r="AJ63" s="235">
        <v>0.94117647058823528</v>
      </c>
      <c r="AK63" s="235">
        <v>4.7058823529411766</v>
      </c>
      <c r="AL63" s="235">
        <v>5.6470588235294121</v>
      </c>
      <c r="AM63" s="235">
        <v>5.5529411764705889</v>
      </c>
      <c r="AN63" s="235">
        <v>9.9764705882352942</v>
      </c>
      <c r="AO63" s="235">
        <v>15.529411764705882</v>
      </c>
      <c r="AP63" s="200">
        <v>19.764705882352942</v>
      </c>
      <c r="AQ63" s="141">
        <v>0</v>
      </c>
      <c r="AR63" s="200">
        <v>694.11764705882365</v>
      </c>
      <c r="AS63" s="200">
        <v>3268.2352941176468</v>
      </c>
      <c r="AT63" s="66">
        <v>3962.3529411764703</v>
      </c>
      <c r="AU63" s="235">
        <v>0</v>
      </c>
      <c r="AV63" s="235">
        <v>37.647058823529413</v>
      </c>
      <c r="AW63" s="75">
        <v>0</v>
      </c>
      <c r="AX63" s="235">
        <v>37.647058823529413</v>
      </c>
      <c r="AY63" s="66">
        <v>75.294117647058826</v>
      </c>
      <c r="AZ63" s="202">
        <v>0</v>
      </c>
      <c r="BA63" s="87">
        <v>17.882352941176471</v>
      </c>
      <c r="BB63" s="87">
        <v>0</v>
      </c>
      <c r="BC63" s="87">
        <v>17.882352941176471</v>
      </c>
      <c r="BD63" s="87">
        <v>0</v>
      </c>
      <c r="BE63" s="87">
        <v>17.882352941176471</v>
      </c>
      <c r="BF63" s="87">
        <v>545.88235294117646</v>
      </c>
      <c r="BG63" s="66">
        <v>563.76470588235293</v>
      </c>
      <c r="BH63" s="67">
        <v>4601.411764705882</v>
      </c>
      <c r="BI63" s="67">
        <v>106811.58823529414</v>
      </c>
      <c r="FE63" s="39">
        <v>40235</v>
      </c>
      <c r="FF63" s="39">
        <v>548.70588235294122</v>
      </c>
      <c r="FG63" s="39">
        <v>673.88235294117646</v>
      </c>
      <c r="FH63" s="39">
        <v>1222.5882352941176</v>
      </c>
      <c r="FI63" s="39">
        <v>17.882352941176471</v>
      </c>
      <c r="FJ63" s="39" t="e">
        <v>#REF!</v>
      </c>
      <c r="FK63" s="39" t="e">
        <v>#REF!</v>
      </c>
      <c r="FL63" s="39">
        <v>0</v>
      </c>
      <c r="FM63" s="39">
        <v>37.647058823529413</v>
      </c>
      <c r="FN63" s="39" t="e">
        <v>#REF!</v>
      </c>
      <c r="FO63" s="39">
        <v>37.647058823529413</v>
      </c>
      <c r="FP63" s="39" t="e">
        <v>#REF!</v>
      </c>
      <c r="FR63" s="39" t="e">
        <v>#REF!</v>
      </c>
    </row>
    <row r="64" spans="1:174" s="40" customFormat="1" x14ac:dyDescent="0.25">
      <c r="A64" s="142">
        <v>0</v>
      </c>
      <c r="B64" s="85">
        <v>40236</v>
      </c>
      <c r="C64" s="203">
        <v>40236</v>
      </c>
      <c r="D64" s="76">
        <v>39508</v>
      </c>
      <c r="E64" s="77">
        <v>40236</v>
      </c>
      <c r="F64" s="78">
        <v>8</v>
      </c>
      <c r="G64" s="79"/>
      <c r="H64" s="80" t="s">
        <v>33</v>
      </c>
      <c r="I64" s="212"/>
      <c r="J64" s="212"/>
      <c r="K64" s="231">
        <v>978.82352941176475</v>
      </c>
      <c r="L64" s="231">
        <v>268.23529411764707</v>
      </c>
      <c r="M64" s="231">
        <v>1247.0588235294117</v>
      </c>
      <c r="N64" s="231">
        <v>740.70588235294122</v>
      </c>
      <c r="O64" s="231">
        <v>77.17647058823529</v>
      </c>
      <c r="P64" s="231">
        <v>817.88235294117646</v>
      </c>
      <c r="Q64" s="231">
        <v>16.941176470588236</v>
      </c>
      <c r="R64" s="231">
        <v>0</v>
      </c>
      <c r="S64" s="231">
        <v>16.941176470588236</v>
      </c>
      <c r="T64" s="231">
        <v>160</v>
      </c>
      <c r="U64" s="231">
        <v>1867.2941176470588</v>
      </c>
      <c r="V64" s="231">
        <v>2027.2941176470588</v>
      </c>
      <c r="W64" s="231">
        <v>917.64705882352939</v>
      </c>
      <c r="X64" s="231">
        <v>1944.4705882352941</v>
      </c>
      <c r="Y64" s="231">
        <v>2862.1176470588234</v>
      </c>
      <c r="Z64" s="200">
        <v>4109.1764705882351</v>
      </c>
      <c r="AA64" s="231">
        <v>7.9058823529411768</v>
      </c>
      <c r="AB64" s="231">
        <v>4.2352941176470589</v>
      </c>
      <c r="AC64" s="231">
        <v>12.141176470588235</v>
      </c>
      <c r="AD64" s="231">
        <v>0</v>
      </c>
      <c r="AE64" s="231">
        <v>0</v>
      </c>
      <c r="AF64" s="231">
        <v>0</v>
      </c>
      <c r="AG64" s="231">
        <v>18.447058823529414</v>
      </c>
      <c r="AH64" s="231">
        <v>9.882352941176471</v>
      </c>
      <c r="AI64" s="231">
        <v>28.329411764705885</v>
      </c>
      <c r="AJ64" s="231">
        <v>7.5294117647058822</v>
      </c>
      <c r="AK64" s="231">
        <v>13.176470588235293</v>
      </c>
      <c r="AL64" s="231">
        <v>20.705882352941178</v>
      </c>
      <c r="AM64" s="231">
        <v>25.976470588235294</v>
      </c>
      <c r="AN64" s="231">
        <v>23.058823529411764</v>
      </c>
      <c r="AO64" s="231">
        <v>49.035294117647062</v>
      </c>
      <c r="AP64" s="200">
        <v>61.176470588235297</v>
      </c>
      <c r="AQ64" s="232">
        <v>0</v>
      </c>
      <c r="AR64" s="200">
        <v>1259.2</v>
      </c>
      <c r="AS64" s="200">
        <v>2911.1529411764704</v>
      </c>
      <c r="AT64" s="66">
        <v>4170.3529411764703</v>
      </c>
      <c r="AU64" s="231">
        <v>0</v>
      </c>
      <c r="AV64" s="231">
        <v>70.588235294117652</v>
      </c>
      <c r="AW64" s="75">
        <v>282.35294117647061</v>
      </c>
      <c r="AX64" s="231">
        <v>37.647058823529413</v>
      </c>
      <c r="AY64" s="66">
        <v>390.58823529411768</v>
      </c>
      <c r="AZ64" s="208">
        <v>0</v>
      </c>
      <c r="BA64" s="86">
        <v>98.82352941176471</v>
      </c>
      <c r="BB64" s="86">
        <v>256.94117647058823</v>
      </c>
      <c r="BC64" s="86">
        <v>98.82352941176471</v>
      </c>
      <c r="BD64" s="86">
        <v>256.94117647058823</v>
      </c>
      <c r="BE64" s="86">
        <v>355.76470588235293</v>
      </c>
      <c r="BF64" s="86">
        <v>334.11764705882354</v>
      </c>
      <c r="BG64" s="66">
        <v>689.88235294117646</v>
      </c>
      <c r="BH64" s="67">
        <v>5250.823529411764</v>
      </c>
      <c r="BI64" s="67">
        <v>112062.4117647059</v>
      </c>
      <c r="FE64" s="40">
        <v>40236</v>
      </c>
      <c r="FF64" s="40">
        <v>978.82352941176475</v>
      </c>
      <c r="FG64" s="40">
        <v>740.70588235294122</v>
      </c>
      <c r="FH64" s="40">
        <v>1719.5294117647059</v>
      </c>
      <c r="FI64" s="40">
        <v>98.82352941176471</v>
      </c>
      <c r="FJ64" s="40" t="e">
        <v>#REF!</v>
      </c>
      <c r="FK64" s="40" t="e">
        <v>#REF!</v>
      </c>
      <c r="FL64" s="40">
        <v>0</v>
      </c>
      <c r="FM64" s="40">
        <v>70.588235294117652</v>
      </c>
      <c r="FN64" s="40" t="e">
        <v>#REF!</v>
      </c>
      <c r="FO64" s="40">
        <v>37.647058823529413</v>
      </c>
      <c r="FP64" s="40" t="e">
        <v>#REF!</v>
      </c>
      <c r="FR64" s="40" t="e">
        <v>#REF!</v>
      </c>
    </row>
    <row r="65" spans="1:174" s="40" customFormat="1" x14ac:dyDescent="0.25">
      <c r="A65" s="142">
        <v>0</v>
      </c>
      <c r="B65" s="85">
        <v>40237</v>
      </c>
      <c r="C65" s="203">
        <v>40237</v>
      </c>
      <c r="D65" s="76">
        <v>39509</v>
      </c>
      <c r="E65" s="77">
        <v>40237</v>
      </c>
      <c r="F65" s="78">
        <v>8</v>
      </c>
      <c r="G65" s="79"/>
      <c r="H65" s="80" t="s">
        <v>33</v>
      </c>
      <c r="I65" s="212"/>
      <c r="J65" s="212"/>
      <c r="K65" s="231">
        <v>701.17647058823525</v>
      </c>
      <c r="L65" s="231">
        <v>183.52941176470588</v>
      </c>
      <c r="M65" s="231">
        <v>884.7058823529411</v>
      </c>
      <c r="N65" s="231">
        <v>600.47058823529414</v>
      </c>
      <c r="O65" s="231">
        <v>82.82352941176471</v>
      </c>
      <c r="P65" s="231">
        <v>683.29411764705878</v>
      </c>
      <c r="Q65" s="231">
        <v>24.470588235294116</v>
      </c>
      <c r="R65" s="231">
        <v>0</v>
      </c>
      <c r="S65" s="231">
        <v>24.470588235294116</v>
      </c>
      <c r="T65" s="231">
        <v>114.82352941176471</v>
      </c>
      <c r="U65" s="231">
        <v>1621.6470588235295</v>
      </c>
      <c r="V65" s="231">
        <v>1736.4705882352941</v>
      </c>
      <c r="W65" s="231">
        <v>739.76470588235293</v>
      </c>
      <c r="X65" s="231">
        <v>1704.4705882352941</v>
      </c>
      <c r="Y65" s="231">
        <v>2444.2352941176468</v>
      </c>
      <c r="Z65" s="200">
        <v>3328.9411764705883</v>
      </c>
      <c r="AA65" s="231">
        <v>2.2588235294117647</v>
      </c>
      <c r="AB65" s="231">
        <v>1.6941176470588235</v>
      </c>
      <c r="AC65" s="231">
        <v>3.9529411764705884</v>
      </c>
      <c r="AD65" s="231">
        <v>0</v>
      </c>
      <c r="AE65" s="231">
        <v>0</v>
      </c>
      <c r="AF65" s="231">
        <v>0</v>
      </c>
      <c r="AG65" s="231">
        <v>5.2705882352941176</v>
      </c>
      <c r="AH65" s="231">
        <v>3.9529411764705884</v>
      </c>
      <c r="AI65" s="231">
        <v>9.2235294117647069</v>
      </c>
      <c r="AJ65" s="231">
        <v>6.5882352941176467</v>
      </c>
      <c r="AK65" s="231">
        <v>32.941176470588232</v>
      </c>
      <c r="AL65" s="231">
        <v>39.529411764705884</v>
      </c>
      <c r="AM65" s="231">
        <v>11.858823529411765</v>
      </c>
      <c r="AN65" s="231">
        <v>36.894117647058827</v>
      </c>
      <c r="AO65" s="231">
        <v>48.752941176470593</v>
      </c>
      <c r="AP65" s="200">
        <v>52.705882352941181</v>
      </c>
      <c r="AQ65" s="232">
        <v>0</v>
      </c>
      <c r="AR65" s="200">
        <v>888.65882352941173</v>
      </c>
      <c r="AS65" s="200">
        <v>2492.9882352941177</v>
      </c>
      <c r="AT65" s="66">
        <v>3381.6470588235293</v>
      </c>
      <c r="AU65" s="231">
        <v>0</v>
      </c>
      <c r="AV65" s="231">
        <v>70.588235294117652</v>
      </c>
      <c r="AW65" s="75">
        <v>0</v>
      </c>
      <c r="AX65" s="231">
        <v>47.058823529411768</v>
      </c>
      <c r="AY65" s="66">
        <v>117.64705882352942</v>
      </c>
      <c r="AZ65" s="208">
        <v>0</v>
      </c>
      <c r="BA65" s="86">
        <v>98.82352941176471</v>
      </c>
      <c r="BB65" s="86">
        <v>291.76470588235293</v>
      </c>
      <c r="BC65" s="86">
        <v>98.82352941176471</v>
      </c>
      <c r="BD65" s="86">
        <v>291.76470588235293</v>
      </c>
      <c r="BE65" s="86">
        <v>390.58823529411762</v>
      </c>
      <c r="BF65" s="86">
        <v>23.529411764705884</v>
      </c>
      <c r="BG65" s="66">
        <v>414.11764705882354</v>
      </c>
      <c r="BH65" s="67">
        <v>3913.411764705882</v>
      </c>
      <c r="BI65" s="67">
        <v>115975.82352941179</v>
      </c>
      <c r="FE65" s="40">
        <v>40237</v>
      </c>
      <c r="FF65" s="40">
        <v>701.17647058823525</v>
      </c>
      <c r="FG65" s="40">
        <v>600.47058823529414</v>
      </c>
      <c r="FH65" s="40">
        <v>1301.6470588235293</v>
      </c>
      <c r="FI65" s="40">
        <v>98.82352941176471</v>
      </c>
      <c r="FJ65" s="40" t="e">
        <v>#REF!</v>
      </c>
      <c r="FK65" s="40" t="e">
        <v>#REF!</v>
      </c>
      <c r="FL65" s="40">
        <v>0</v>
      </c>
      <c r="FM65" s="40">
        <v>70.588235294117652</v>
      </c>
      <c r="FN65" s="40" t="e">
        <v>#REF!</v>
      </c>
      <c r="FO65" s="40">
        <v>47.058823529411768</v>
      </c>
      <c r="FP65" s="40" t="e">
        <v>#REF!</v>
      </c>
      <c r="FR65" s="40" t="e">
        <v>#REF!</v>
      </c>
    </row>
    <row r="66" spans="1:174" s="230" customFormat="1" x14ac:dyDescent="0.25">
      <c r="A66" s="215"/>
      <c r="B66" s="216"/>
      <c r="C66" s="217"/>
      <c r="D66" s="218"/>
      <c r="E66" s="219"/>
      <c r="F66" s="220"/>
      <c r="G66" s="221"/>
      <c r="H66" s="222"/>
      <c r="I66" s="223"/>
      <c r="J66" s="223"/>
      <c r="K66" s="224"/>
      <c r="L66" s="224"/>
      <c r="M66" s="224"/>
      <c r="N66" s="224"/>
      <c r="O66" s="224"/>
      <c r="P66" s="224"/>
      <c r="Q66" s="224"/>
      <c r="R66" s="224"/>
      <c r="S66" s="224"/>
      <c r="T66" s="224"/>
      <c r="U66" s="224"/>
      <c r="V66" s="224"/>
      <c r="W66" s="224"/>
      <c r="X66" s="224"/>
      <c r="Y66" s="224"/>
      <c r="Z66" s="224"/>
      <c r="AA66" s="224"/>
      <c r="AB66" s="224"/>
      <c r="AC66" s="224"/>
      <c r="AD66" s="224"/>
      <c r="AE66" s="224"/>
      <c r="AF66" s="224"/>
      <c r="AG66" s="224"/>
      <c r="AH66" s="224"/>
      <c r="AI66" s="224"/>
      <c r="AJ66" s="224"/>
      <c r="AK66" s="224"/>
      <c r="AL66" s="224"/>
      <c r="AM66" s="224"/>
      <c r="AN66" s="224"/>
      <c r="AO66" s="224"/>
      <c r="AP66" s="224"/>
      <c r="AQ66" s="225"/>
      <c r="AR66" s="226"/>
      <c r="AS66" s="226"/>
      <c r="AT66" s="66">
        <v>0</v>
      </c>
      <c r="AU66" s="224"/>
      <c r="AV66" s="224"/>
      <c r="AW66" s="227"/>
      <c r="AX66" s="224"/>
      <c r="AY66" s="66">
        <v>0</v>
      </c>
      <c r="AZ66" s="224"/>
      <c r="BA66" s="224"/>
      <c r="BB66" s="224"/>
      <c r="BC66" s="224"/>
      <c r="BD66" s="224"/>
      <c r="BE66" s="224"/>
      <c r="BF66" s="224"/>
      <c r="BG66" s="228"/>
      <c r="BH66" s="229"/>
      <c r="BI66" s="229"/>
    </row>
    <row r="67" spans="1:174" x14ac:dyDescent="0.25">
      <c r="A67" s="142">
        <v>0</v>
      </c>
      <c r="B67" s="68">
        <v>40238</v>
      </c>
      <c r="C67" s="198">
        <v>40238</v>
      </c>
      <c r="D67" s="69">
        <v>39510</v>
      </c>
      <c r="E67" s="70">
        <v>40238</v>
      </c>
      <c r="F67" s="71">
        <v>9</v>
      </c>
      <c r="G67" s="72"/>
      <c r="H67" s="82" t="s">
        <v>35</v>
      </c>
      <c r="I67" s="210"/>
      <c r="J67" s="210"/>
      <c r="K67" s="235">
        <v>459.29411764705884</v>
      </c>
      <c r="L67" s="235">
        <v>164.70588235294119</v>
      </c>
      <c r="M67" s="235">
        <v>624</v>
      </c>
      <c r="N67" s="235">
        <v>720</v>
      </c>
      <c r="O67" s="235">
        <v>37.647058823529413</v>
      </c>
      <c r="P67" s="235">
        <v>757.64705882352939</v>
      </c>
      <c r="Q67" s="235">
        <v>15.058823529411764</v>
      </c>
      <c r="R67" s="235">
        <v>0</v>
      </c>
      <c r="S67" s="235">
        <v>15.058823529411764</v>
      </c>
      <c r="T67" s="235">
        <v>160</v>
      </c>
      <c r="U67" s="235">
        <v>931.76470588235293</v>
      </c>
      <c r="V67" s="235">
        <v>1091.7647058823529</v>
      </c>
      <c r="W67" s="235">
        <v>895.05882352941171</v>
      </c>
      <c r="X67" s="235">
        <v>969.41176470588232</v>
      </c>
      <c r="Y67" s="235">
        <v>1864.4705882352941</v>
      </c>
      <c r="Z67" s="200">
        <v>2488.4705882352941</v>
      </c>
      <c r="AA67" s="235">
        <v>0</v>
      </c>
      <c r="AB67" s="235">
        <v>1.411764705882353</v>
      </c>
      <c r="AC67" s="235">
        <v>1.411764705882353</v>
      </c>
      <c r="AD67" s="235">
        <v>0</v>
      </c>
      <c r="AE67" s="235">
        <v>0</v>
      </c>
      <c r="AF67" s="235">
        <v>0</v>
      </c>
      <c r="AG67" s="235">
        <v>0</v>
      </c>
      <c r="AH67" s="235">
        <v>3.2941176470588234</v>
      </c>
      <c r="AI67" s="235">
        <v>3.2941176470588234</v>
      </c>
      <c r="AJ67" s="235">
        <v>0</v>
      </c>
      <c r="AK67" s="235">
        <v>1.8823529411764706</v>
      </c>
      <c r="AL67" s="235">
        <v>1.8823529411764706</v>
      </c>
      <c r="AM67" s="235">
        <v>0</v>
      </c>
      <c r="AN67" s="235">
        <v>5.1764705882352944</v>
      </c>
      <c r="AO67" s="235">
        <v>5.1764705882352944</v>
      </c>
      <c r="AP67" s="200">
        <v>6.5882352941176467</v>
      </c>
      <c r="AQ67" s="141">
        <v>0</v>
      </c>
      <c r="AR67" s="200">
        <v>625.41176470588232</v>
      </c>
      <c r="AS67" s="200">
        <v>1869.6470588235295</v>
      </c>
      <c r="AT67" s="66">
        <v>2495.0588235294117</v>
      </c>
      <c r="AU67" s="235">
        <v>0</v>
      </c>
      <c r="AV67" s="235">
        <v>37.647058823529413</v>
      </c>
      <c r="AW67" s="75">
        <v>0</v>
      </c>
      <c r="AX67" s="235">
        <v>37.647058823529413</v>
      </c>
      <c r="AY67" s="66">
        <v>75.294117647058826</v>
      </c>
      <c r="AZ67" s="202">
        <v>0</v>
      </c>
      <c r="BA67" s="87">
        <v>0</v>
      </c>
      <c r="BB67" s="87">
        <v>0</v>
      </c>
      <c r="BC67" s="87">
        <v>0</v>
      </c>
      <c r="BD67" s="87">
        <v>0</v>
      </c>
      <c r="BE67" s="87">
        <v>0</v>
      </c>
      <c r="BF67" s="87">
        <v>0</v>
      </c>
      <c r="BG67" s="66">
        <v>0</v>
      </c>
      <c r="BH67" s="67">
        <v>2570.3529411764707</v>
      </c>
      <c r="BI67" s="67">
        <v>118546.17647058827</v>
      </c>
      <c r="FE67" s="39">
        <v>40238</v>
      </c>
      <c r="FF67" s="39">
        <v>459.29411764705884</v>
      </c>
      <c r="FG67" s="39">
        <v>720</v>
      </c>
      <c r="FH67" s="39">
        <v>1179.2941176470588</v>
      </c>
      <c r="FI67" s="39">
        <v>0</v>
      </c>
      <c r="FJ67" s="39" t="e">
        <v>#REF!</v>
      </c>
      <c r="FK67" s="39" t="e">
        <v>#REF!</v>
      </c>
      <c r="FL67" s="39">
        <v>0</v>
      </c>
      <c r="FM67" s="39">
        <v>37.647058823529413</v>
      </c>
      <c r="FN67" s="39" t="e">
        <v>#REF!</v>
      </c>
      <c r="FO67" s="39">
        <v>37.647058823529413</v>
      </c>
      <c r="FP67" s="39" t="e">
        <v>#REF!</v>
      </c>
      <c r="FR67" s="39" t="e">
        <v>#REF!</v>
      </c>
    </row>
    <row r="68" spans="1:174" x14ac:dyDescent="0.25">
      <c r="A68" s="142">
        <v>0</v>
      </c>
      <c r="B68" s="68">
        <v>40239</v>
      </c>
      <c r="C68" s="198">
        <v>40239</v>
      </c>
      <c r="D68" s="69">
        <v>39511</v>
      </c>
      <c r="E68" s="70">
        <v>40239</v>
      </c>
      <c r="F68" s="71">
        <v>9</v>
      </c>
      <c r="G68" s="72"/>
      <c r="H68" s="82" t="s">
        <v>35</v>
      </c>
      <c r="I68" s="210"/>
      <c r="J68" s="210"/>
      <c r="K68" s="235">
        <v>508.23529411764707</v>
      </c>
      <c r="L68" s="235">
        <v>216.47058823529412</v>
      </c>
      <c r="M68" s="235">
        <v>724.70588235294122</v>
      </c>
      <c r="N68" s="235">
        <v>529.88235294117646</v>
      </c>
      <c r="O68" s="235">
        <v>60.235294117647058</v>
      </c>
      <c r="P68" s="235">
        <v>590.11764705882354</v>
      </c>
      <c r="Q68" s="235">
        <v>3.7647058823529411</v>
      </c>
      <c r="R68" s="235">
        <v>0</v>
      </c>
      <c r="S68" s="235">
        <v>3.7647058823529411</v>
      </c>
      <c r="T68" s="235">
        <v>188.23529411764707</v>
      </c>
      <c r="U68" s="235">
        <v>1115.2941176470588</v>
      </c>
      <c r="V68" s="235">
        <v>1303.5294117647059</v>
      </c>
      <c r="W68" s="235">
        <v>721.88235294117646</v>
      </c>
      <c r="X68" s="235">
        <v>1175.5294117647059</v>
      </c>
      <c r="Y68" s="235">
        <v>1897.4117647058824</v>
      </c>
      <c r="Z68" s="200">
        <v>2622.1176470588234</v>
      </c>
      <c r="AA68" s="235">
        <v>0</v>
      </c>
      <c r="AB68" s="235">
        <v>1.411764705882353</v>
      </c>
      <c r="AC68" s="235">
        <v>1.411764705882353</v>
      </c>
      <c r="AD68" s="235">
        <v>0</v>
      </c>
      <c r="AE68" s="235">
        <v>0</v>
      </c>
      <c r="AF68" s="235">
        <v>0</v>
      </c>
      <c r="AG68" s="235">
        <v>0</v>
      </c>
      <c r="AH68" s="235">
        <v>3.2941176470588234</v>
      </c>
      <c r="AI68" s="235">
        <v>3.2941176470588234</v>
      </c>
      <c r="AJ68" s="235">
        <v>0</v>
      </c>
      <c r="AK68" s="235">
        <v>3.7647058823529411</v>
      </c>
      <c r="AL68" s="235">
        <v>3.7647058823529411</v>
      </c>
      <c r="AM68" s="235">
        <v>0</v>
      </c>
      <c r="AN68" s="235">
        <v>7.0588235294117645</v>
      </c>
      <c r="AO68" s="235">
        <v>7.0588235294117645</v>
      </c>
      <c r="AP68" s="200">
        <v>8.4705882352941178</v>
      </c>
      <c r="AQ68" s="141">
        <v>0</v>
      </c>
      <c r="AR68" s="200">
        <v>726.11764705882354</v>
      </c>
      <c r="AS68" s="200">
        <v>1904.4705882352941</v>
      </c>
      <c r="AT68" s="66">
        <v>2630.5882352941176</v>
      </c>
      <c r="AU68" s="235">
        <v>0</v>
      </c>
      <c r="AV68" s="235">
        <v>37.647058823529413</v>
      </c>
      <c r="AW68" s="75">
        <v>0</v>
      </c>
      <c r="AX68" s="235">
        <v>564.70588235294122</v>
      </c>
      <c r="AY68" s="66">
        <v>602.35294117647061</v>
      </c>
      <c r="AZ68" s="202">
        <v>0</v>
      </c>
      <c r="BA68" s="87">
        <v>0</v>
      </c>
      <c r="BB68" s="87">
        <v>0</v>
      </c>
      <c r="BC68" s="87">
        <v>0</v>
      </c>
      <c r="BD68" s="87">
        <v>0</v>
      </c>
      <c r="BE68" s="87">
        <v>0</v>
      </c>
      <c r="BF68" s="87">
        <v>305.88235294117646</v>
      </c>
      <c r="BG68" s="66">
        <v>305.88235294117646</v>
      </c>
      <c r="BH68" s="67">
        <v>3538.8235294117649</v>
      </c>
      <c r="BI68" s="67">
        <v>122085</v>
      </c>
      <c r="FE68" s="39">
        <v>40239</v>
      </c>
      <c r="FF68" s="39">
        <v>508.23529411764707</v>
      </c>
      <c r="FG68" s="39">
        <v>529.88235294117646</v>
      </c>
      <c r="FH68" s="39">
        <v>1038.1176470588234</v>
      </c>
      <c r="FI68" s="39">
        <v>0</v>
      </c>
      <c r="FJ68" s="39" t="e">
        <v>#REF!</v>
      </c>
      <c r="FK68" s="39" t="e">
        <v>#REF!</v>
      </c>
      <c r="FL68" s="39">
        <v>0</v>
      </c>
      <c r="FM68" s="39">
        <v>37.647058823529413</v>
      </c>
      <c r="FN68" s="39" t="e">
        <v>#REF!</v>
      </c>
      <c r="FO68" s="39">
        <v>564.70588235294122</v>
      </c>
      <c r="FP68" s="39" t="e">
        <v>#REF!</v>
      </c>
      <c r="FR68" s="39" t="e">
        <v>#REF!</v>
      </c>
    </row>
    <row r="69" spans="1:174" x14ac:dyDescent="0.25">
      <c r="A69" s="142">
        <v>0</v>
      </c>
      <c r="B69" s="68">
        <v>40240</v>
      </c>
      <c r="C69" s="198">
        <v>40240</v>
      </c>
      <c r="D69" s="69">
        <v>39512</v>
      </c>
      <c r="E69" s="70">
        <v>40240</v>
      </c>
      <c r="F69" s="71">
        <v>9</v>
      </c>
      <c r="G69" s="72"/>
      <c r="H69" s="82" t="s">
        <v>35</v>
      </c>
      <c r="I69" s="210"/>
      <c r="J69" s="210"/>
      <c r="K69" s="235">
        <v>442.35294117647061</v>
      </c>
      <c r="L69" s="235">
        <v>235.29411764705881</v>
      </c>
      <c r="M69" s="235">
        <v>677.64705882352939</v>
      </c>
      <c r="N69" s="235">
        <v>310.58823529411762</v>
      </c>
      <c r="O69" s="235">
        <v>55.529411764705884</v>
      </c>
      <c r="P69" s="235">
        <v>366.11764705882354</v>
      </c>
      <c r="Q69" s="235">
        <v>1.8823529411764706</v>
      </c>
      <c r="R69" s="235">
        <v>0</v>
      </c>
      <c r="S69" s="235">
        <v>1.8823529411764706</v>
      </c>
      <c r="T69" s="235">
        <v>94.117647058823536</v>
      </c>
      <c r="U69" s="235">
        <v>800</v>
      </c>
      <c r="V69" s="235">
        <v>894.11764705882354</v>
      </c>
      <c r="W69" s="235">
        <v>406.58823529411762</v>
      </c>
      <c r="X69" s="235">
        <v>855.52941176470586</v>
      </c>
      <c r="Y69" s="235">
        <v>1262.1176470588234</v>
      </c>
      <c r="Z69" s="200">
        <v>1939.7647058823529</v>
      </c>
      <c r="AA69" s="235">
        <v>0</v>
      </c>
      <c r="AB69" s="235">
        <v>0</v>
      </c>
      <c r="AC69" s="235">
        <v>0</v>
      </c>
      <c r="AD69" s="235">
        <v>0</v>
      </c>
      <c r="AE69" s="235">
        <v>0</v>
      </c>
      <c r="AF69" s="235">
        <v>0</v>
      </c>
      <c r="AG69" s="235">
        <v>0</v>
      </c>
      <c r="AH69" s="235">
        <v>0</v>
      </c>
      <c r="AI69" s="235">
        <v>0</v>
      </c>
      <c r="AJ69" s="235">
        <v>0</v>
      </c>
      <c r="AK69" s="235">
        <v>7.5294117647058822</v>
      </c>
      <c r="AL69" s="235">
        <v>7.5294117647058822</v>
      </c>
      <c r="AM69" s="235">
        <v>0</v>
      </c>
      <c r="AN69" s="235">
        <v>7.5294117647058822</v>
      </c>
      <c r="AO69" s="235">
        <v>7.5294117647058822</v>
      </c>
      <c r="AP69" s="200">
        <v>7.5294117647058822</v>
      </c>
      <c r="AQ69" s="141">
        <v>0</v>
      </c>
      <c r="AR69" s="200">
        <v>677.64705882352939</v>
      </c>
      <c r="AS69" s="200">
        <v>1269.6470588235293</v>
      </c>
      <c r="AT69" s="66">
        <v>1947.2941176470586</v>
      </c>
      <c r="AU69" s="235">
        <v>0</v>
      </c>
      <c r="AV69" s="235">
        <v>37.647058823529413</v>
      </c>
      <c r="AW69" s="75">
        <v>0</v>
      </c>
      <c r="AX69" s="235">
        <v>18.823529411764707</v>
      </c>
      <c r="AY69" s="66">
        <v>56.470588235294116</v>
      </c>
      <c r="AZ69" s="202">
        <v>0</v>
      </c>
      <c r="BA69" s="87">
        <v>0</v>
      </c>
      <c r="BB69" s="87">
        <v>0</v>
      </c>
      <c r="BC69" s="87">
        <v>0</v>
      </c>
      <c r="BD69" s="87">
        <v>0</v>
      </c>
      <c r="BE69" s="87">
        <v>0</v>
      </c>
      <c r="BF69" s="87">
        <v>324.70588235294116</v>
      </c>
      <c r="BG69" s="66">
        <v>324.70588235294116</v>
      </c>
      <c r="BH69" s="67">
        <v>2328.4705882352937</v>
      </c>
      <c r="BI69" s="67">
        <v>124413.47058823533</v>
      </c>
      <c r="FE69" s="39">
        <v>40240</v>
      </c>
      <c r="FF69" s="39">
        <v>442.35294117647061</v>
      </c>
      <c r="FG69" s="39">
        <v>310.58823529411762</v>
      </c>
      <c r="FH69" s="39">
        <v>752.94117647058829</v>
      </c>
      <c r="FI69" s="39">
        <v>0</v>
      </c>
      <c r="FJ69" s="39" t="e">
        <v>#REF!</v>
      </c>
      <c r="FK69" s="39" t="e">
        <v>#REF!</v>
      </c>
      <c r="FL69" s="39">
        <v>0</v>
      </c>
      <c r="FM69" s="39">
        <v>37.647058823529413</v>
      </c>
      <c r="FN69" s="39" t="e">
        <v>#REF!</v>
      </c>
      <c r="FO69" s="39">
        <v>18.823529411764707</v>
      </c>
      <c r="FP69" s="39" t="e">
        <v>#REF!</v>
      </c>
      <c r="FR69" s="39" t="e">
        <v>#REF!</v>
      </c>
    </row>
    <row r="70" spans="1:174" x14ac:dyDescent="0.25">
      <c r="A70" s="142">
        <v>0</v>
      </c>
      <c r="B70" s="68">
        <v>40241</v>
      </c>
      <c r="C70" s="198">
        <v>40241</v>
      </c>
      <c r="D70" s="69">
        <v>39513</v>
      </c>
      <c r="E70" s="70">
        <v>40241</v>
      </c>
      <c r="F70" s="71">
        <v>9</v>
      </c>
      <c r="G70" s="72"/>
      <c r="H70" s="82" t="s">
        <v>35</v>
      </c>
      <c r="I70" s="210"/>
      <c r="J70" s="210"/>
      <c r="K70" s="235">
        <v>536.47058823529414</v>
      </c>
      <c r="L70" s="235">
        <v>216.47058823529412</v>
      </c>
      <c r="M70" s="235">
        <v>752.94117647058829</v>
      </c>
      <c r="N70" s="235">
        <v>526.11764705882354</v>
      </c>
      <c r="O70" s="235">
        <v>88.470588235294116</v>
      </c>
      <c r="P70" s="235">
        <v>614.58823529411768</v>
      </c>
      <c r="Q70" s="235">
        <v>28.235294117647058</v>
      </c>
      <c r="R70" s="235">
        <v>0</v>
      </c>
      <c r="S70" s="235">
        <v>28.235294117647058</v>
      </c>
      <c r="T70" s="235">
        <v>150.58823529411765</v>
      </c>
      <c r="U70" s="235">
        <v>1317.6470588235295</v>
      </c>
      <c r="V70" s="235">
        <v>1468.2352941176471</v>
      </c>
      <c r="W70" s="235">
        <v>704.94117647058829</v>
      </c>
      <c r="X70" s="235">
        <v>1406.1176470588234</v>
      </c>
      <c r="Y70" s="235">
        <v>2111.0588235294117</v>
      </c>
      <c r="Z70" s="200">
        <v>2864</v>
      </c>
      <c r="AA70" s="235">
        <v>0.56470588235294117</v>
      </c>
      <c r="AB70" s="235">
        <v>0</v>
      </c>
      <c r="AC70" s="235">
        <v>0.56470588235294117</v>
      </c>
      <c r="AD70" s="235">
        <v>0</v>
      </c>
      <c r="AE70" s="235">
        <v>0</v>
      </c>
      <c r="AF70" s="235">
        <v>0</v>
      </c>
      <c r="AG70" s="235">
        <v>1.3176470588235294</v>
      </c>
      <c r="AH70" s="235">
        <v>0</v>
      </c>
      <c r="AI70" s="235">
        <v>1.3176470588235294</v>
      </c>
      <c r="AJ70" s="235">
        <v>3.7647058823529411</v>
      </c>
      <c r="AK70" s="235">
        <v>7.5294117647058822</v>
      </c>
      <c r="AL70" s="235">
        <v>11.294117647058824</v>
      </c>
      <c r="AM70" s="235">
        <v>5.0823529411764712</v>
      </c>
      <c r="AN70" s="235">
        <v>7.5294117647058822</v>
      </c>
      <c r="AO70" s="235">
        <v>12.611764705882353</v>
      </c>
      <c r="AP70" s="200">
        <v>13.176470588235293</v>
      </c>
      <c r="AQ70" s="141">
        <v>0</v>
      </c>
      <c r="AR70" s="200">
        <v>753.50588235294128</v>
      </c>
      <c r="AS70" s="200">
        <v>2123.670588235294</v>
      </c>
      <c r="AT70" s="66">
        <v>2877.1764705882351</v>
      </c>
      <c r="AU70" s="235">
        <v>0</v>
      </c>
      <c r="AV70" s="235">
        <v>65.882352941176464</v>
      </c>
      <c r="AW70" s="75">
        <v>0</v>
      </c>
      <c r="AX70" s="235">
        <v>56.470588235294116</v>
      </c>
      <c r="AY70" s="66">
        <v>122.35294117647058</v>
      </c>
      <c r="AZ70" s="202">
        <v>0</v>
      </c>
      <c r="BA70" s="87">
        <v>0</v>
      </c>
      <c r="BB70" s="87">
        <v>0</v>
      </c>
      <c r="BC70" s="87">
        <v>0</v>
      </c>
      <c r="BD70" s="87">
        <v>55.529411764705884</v>
      </c>
      <c r="BE70" s="87">
        <v>55.529411764705884</v>
      </c>
      <c r="BF70" s="87">
        <v>353.88235294117646</v>
      </c>
      <c r="BG70" s="66">
        <v>409.41176470588232</v>
      </c>
      <c r="BH70" s="67">
        <v>3408.9411764705883</v>
      </c>
      <c r="BI70" s="67">
        <v>127822.41176470592</v>
      </c>
      <c r="FE70" s="39">
        <v>40241</v>
      </c>
      <c r="FF70" s="39">
        <v>536.47058823529414</v>
      </c>
      <c r="FG70" s="39">
        <v>526.11764705882354</v>
      </c>
      <c r="FH70" s="39">
        <v>1062.5882352941176</v>
      </c>
      <c r="FI70" s="39">
        <v>0</v>
      </c>
      <c r="FJ70" s="39" t="e">
        <v>#REF!</v>
      </c>
      <c r="FK70" s="39" t="e">
        <v>#REF!</v>
      </c>
      <c r="FL70" s="39">
        <v>0</v>
      </c>
      <c r="FM70" s="39">
        <v>65.882352941176464</v>
      </c>
      <c r="FN70" s="39" t="e">
        <v>#REF!</v>
      </c>
      <c r="FO70" s="39">
        <v>56.470588235294116</v>
      </c>
      <c r="FP70" s="39" t="e">
        <v>#REF!</v>
      </c>
      <c r="FR70" s="39" t="e">
        <v>#REF!</v>
      </c>
    </row>
    <row r="71" spans="1:174" x14ac:dyDescent="0.25">
      <c r="A71" s="142">
        <v>0</v>
      </c>
      <c r="B71" s="68">
        <v>40242</v>
      </c>
      <c r="C71" s="198">
        <v>40242</v>
      </c>
      <c r="D71" s="69">
        <v>39514</v>
      </c>
      <c r="E71" s="70">
        <v>40242</v>
      </c>
      <c r="F71" s="71">
        <v>9</v>
      </c>
      <c r="G71" s="72"/>
      <c r="H71" s="82" t="s">
        <v>35</v>
      </c>
      <c r="I71" s="210"/>
      <c r="J71" s="210"/>
      <c r="K71" s="235">
        <v>498.8235294117647</v>
      </c>
      <c r="L71" s="235">
        <v>211.76470588235293</v>
      </c>
      <c r="M71" s="235">
        <v>710.58823529411757</v>
      </c>
      <c r="N71" s="235">
        <v>410.35294117647061</v>
      </c>
      <c r="O71" s="235">
        <v>69.647058823529406</v>
      </c>
      <c r="P71" s="235">
        <v>480</v>
      </c>
      <c r="Q71" s="235">
        <v>13.176470588235293</v>
      </c>
      <c r="R71" s="235">
        <v>0</v>
      </c>
      <c r="S71" s="235">
        <v>13.176470588235293</v>
      </c>
      <c r="T71" s="235">
        <v>94.117647058823536</v>
      </c>
      <c r="U71" s="235">
        <v>1025.8823529411766</v>
      </c>
      <c r="V71" s="235">
        <v>1120</v>
      </c>
      <c r="W71" s="235">
        <v>517.64705882352939</v>
      </c>
      <c r="X71" s="235">
        <v>1095.5294117647059</v>
      </c>
      <c r="Y71" s="235">
        <v>1613.1764705882354</v>
      </c>
      <c r="Z71" s="200">
        <v>2323.7647058823532</v>
      </c>
      <c r="AA71" s="235">
        <v>2.5411764705882356</v>
      </c>
      <c r="AB71" s="235">
        <v>0</v>
      </c>
      <c r="AC71" s="235">
        <v>2.5411764705882356</v>
      </c>
      <c r="AD71" s="235">
        <v>0</v>
      </c>
      <c r="AE71" s="235">
        <v>0</v>
      </c>
      <c r="AF71" s="235">
        <v>0</v>
      </c>
      <c r="AG71" s="235">
        <v>5.9294117647058826</v>
      </c>
      <c r="AH71" s="235">
        <v>0</v>
      </c>
      <c r="AI71" s="235">
        <v>5.9294117647058826</v>
      </c>
      <c r="AJ71" s="235">
        <v>0</v>
      </c>
      <c r="AK71" s="235">
        <v>8.4705882352941178</v>
      </c>
      <c r="AL71" s="235">
        <v>8.4705882352941178</v>
      </c>
      <c r="AM71" s="235">
        <v>5.9294117647058826</v>
      </c>
      <c r="AN71" s="235">
        <v>8.4705882352941178</v>
      </c>
      <c r="AO71" s="235">
        <v>14.4</v>
      </c>
      <c r="AP71" s="200">
        <v>16.941176470588236</v>
      </c>
      <c r="AQ71" s="141">
        <v>0</v>
      </c>
      <c r="AR71" s="200">
        <v>713.12941176470576</v>
      </c>
      <c r="AS71" s="200">
        <v>1627.5764705882355</v>
      </c>
      <c r="AT71" s="66">
        <v>2340.7058823529414</v>
      </c>
      <c r="AU71" s="235">
        <v>0</v>
      </c>
      <c r="AV71" s="235">
        <v>23.529411764705884</v>
      </c>
      <c r="AW71" s="75">
        <v>16</v>
      </c>
      <c r="AX71" s="235">
        <v>470.58823529411762</v>
      </c>
      <c r="AY71" s="66">
        <v>510.11764705882354</v>
      </c>
      <c r="AZ71" s="202">
        <v>0</v>
      </c>
      <c r="BA71" s="87">
        <v>0</v>
      </c>
      <c r="BB71" s="87">
        <v>0</v>
      </c>
      <c r="BC71" s="87">
        <v>0</v>
      </c>
      <c r="BD71" s="87">
        <v>47.058823529411768</v>
      </c>
      <c r="BE71" s="87">
        <v>47.058823529411768</v>
      </c>
      <c r="BF71" s="87">
        <v>776.47058823529414</v>
      </c>
      <c r="BG71" s="66">
        <v>823.52941176470586</v>
      </c>
      <c r="BH71" s="67">
        <v>3674.3529411764707</v>
      </c>
      <c r="BI71" s="67">
        <v>131496.76470588238</v>
      </c>
      <c r="FE71" s="39">
        <v>40242</v>
      </c>
      <c r="FF71" s="39">
        <v>498.8235294117647</v>
      </c>
      <c r="FG71" s="39">
        <v>410.35294117647061</v>
      </c>
      <c r="FH71" s="39">
        <v>909.17647058823536</v>
      </c>
      <c r="FI71" s="39">
        <v>0</v>
      </c>
      <c r="FJ71" s="39" t="e">
        <v>#REF!</v>
      </c>
      <c r="FK71" s="39" t="e">
        <v>#REF!</v>
      </c>
      <c r="FL71" s="39">
        <v>0</v>
      </c>
      <c r="FM71" s="39">
        <v>23.529411764705884</v>
      </c>
      <c r="FN71" s="39" t="e">
        <v>#REF!</v>
      </c>
      <c r="FO71" s="39">
        <v>470.58823529411762</v>
      </c>
      <c r="FP71" s="39" t="e">
        <v>#REF!</v>
      </c>
      <c r="FR71" s="39" t="e">
        <v>#REF!</v>
      </c>
    </row>
    <row r="72" spans="1:174" s="40" customFormat="1" x14ac:dyDescent="0.25">
      <c r="A72" s="142">
        <v>0</v>
      </c>
      <c r="B72" s="85">
        <v>40243</v>
      </c>
      <c r="C72" s="203">
        <v>40243</v>
      </c>
      <c r="D72" s="76">
        <v>39515</v>
      </c>
      <c r="E72" s="77">
        <v>40243</v>
      </c>
      <c r="F72" s="78">
        <v>9</v>
      </c>
      <c r="G72" s="79"/>
      <c r="H72" s="80" t="s">
        <v>35</v>
      </c>
      <c r="I72" s="212"/>
      <c r="J72" s="212"/>
      <c r="K72" s="231">
        <v>807.52941176470586</v>
      </c>
      <c r="L72" s="231">
        <v>470.58823529411762</v>
      </c>
      <c r="M72" s="231">
        <v>1278.1176470588234</v>
      </c>
      <c r="N72" s="231">
        <v>566.58823529411768</v>
      </c>
      <c r="O72" s="231">
        <v>39.529411764705884</v>
      </c>
      <c r="P72" s="231">
        <v>606.11764705882354</v>
      </c>
      <c r="Q72" s="231">
        <v>21.647058823529413</v>
      </c>
      <c r="R72" s="231">
        <v>0</v>
      </c>
      <c r="S72" s="231">
        <v>21.647058823529413</v>
      </c>
      <c r="T72" s="231">
        <v>188.23529411764707</v>
      </c>
      <c r="U72" s="231">
        <v>1317.6470588235295</v>
      </c>
      <c r="V72" s="231">
        <v>1505.8823529411766</v>
      </c>
      <c r="W72" s="231">
        <v>776.47058823529414</v>
      </c>
      <c r="X72" s="231">
        <v>1357.1764705882354</v>
      </c>
      <c r="Y72" s="231">
        <v>2133.6470588235293</v>
      </c>
      <c r="Z72" s="200">
        <v>3411.7647058823532</v>
      </c>
      <c r="AA72" s="231">
        <v>4.2352941176470589</v>
      </c>
      <c r="AB72" s="231">
        <v>2.2588235294117647</v>
      </c>
      <c r="AC72" s="231">
        <v>6.4941176470588236</v>
      </c>
      <c r="AD72" s="231">
        <v>0</v>
      </c>
      <c r="AE72" s="231">
        <v>0</v>
      </c>
      <c r="AF72" s="231">
        <v>0</v>
      </c>
      <c r="AG72" s="231">
        <v>9.882352941176471</v>
      </c>
      <c r="AH72" s="231">
        <v>5.2705882352941176</v>
      </c>
      <c r="AI72" s="231">
        <v>15.152941176470589</v>
      </c>
      <c r="AJ72" s="231">
        <v>0</v>
      </c>
      <c r="AK72" s="231">
        <v>7.5294117647058822</v>
      </c>
      <c r="AL72" s="231">
        <v>7.5294117647058822</v>
      </c>
      <c r="AM72" s="231">
        <v>9.882352941176471</v>
      </c>
      <c r="AN72" s="231">
        <v>12.8</v>
      </c>
      <c r="AO72" s="231">
        <v>22.682352941176472</v>
      </c>
      <c r="AP72" s="200">
        <v>29.176470588235293</v>
      </c>
      <c r="AQ72" s="232">
        <v>0</v>
      </c>
      <c r="AR72" s="200">
        <v>1284.6117647058823</v>
      </c>
      <c r="AS72" s="200">
        <v>2156.3294117647056</v>
      </c>
      <c r="AT72" s="66">
        <v>3440.9411764705878</v>
      </c>
      <c r="AU72" s="231">
        <v>0</v>
      </c>
      <c r="AV72" s="231">
        <v>65.882352941176464</v>
      </c>
      <c r="AW72" s="75">
        <v>0</v>
      </c>
      <c r="AX72" s="231">
        <v>70.588235294117652</v>
      </c>
      <c r="AY72" s="66">
        <v>136.47058823529412</v>
      </c>
      <c r="AZ72" s="208">
        <v>0</v>
      </c>
      <c r="BA72" s="86">
        <v>235.29411764705881</v>
      </c>
      <c r="BB72" s="86">
        <v>141.1764705882353</v>
      </c>
      <c r="BC72" s="86">
        <v>235.29411764705881</v>
      </c>
      <c r="BD72" s="86">
        <v>141.1764705882353</v>
      </c>
      <c r="BE72" s="86">
        <v>376.47058823529414</v>
      </c>
      <c r="BF72" s="86">
        <v>367.05882352941177</v>
      </c>
      <c r="BG72" s="66">
        <v>743.52941176470586</v>
      </c>
      <c r="BH72" s="67">
        <v>4320.9411764705874</v>
      </c>
      <c r="BI72" s="67">
        <v>135817.70588235295</v>
      </c>
      <c r="FE72" s="40">
        <v>40243</v>
      </c>
      <c r="FF72" s="40">
        <v>807.52941176470586</v>
      </c>
      <c r="FG72" s="40">
        <v>566.58823529411768</v>
      </c>
      <c r="FH72" s="40">
        <v>1374.1176470588234</v>
      </c>
      <c r="FI72" s="40">
        <v>235.29411764705881</v>
      </c>
      <c r="FJ72" s="40" t="e">
        <v>#REF!</v>
      </c>
      <c r="FK72" s="40" t="e">
        <v>#REF!</v>
      </c>
      <c r="FL72" s="40">
        <v>0</v>
      </c>
      <c r="FM72" s="40">
        <v>65.882352941176464</v>
      </c>
      <c r="FN72" s="40" t="e">
        <v>#REF!</v>
      </c>
      <c r="FO72" s="40">
        <v>70.588235294117652</v>
      </c>
      <c r="FP72" s="40" t="e">
        <v>#REF!</v>
      </c>
      <c r="FR72" s="40" t="e">
        <v>#REF!</v>
      </c>
    </row>
    <row r="73" spans="1:174" s="40" customFormat="1" x14ac:dyDescent="0.25">
      <c r="A73" s="142">
        <v>0</v>
      </c>
      <c r="B73" s="85">
        <v>40244</v>
      </c>
      <c r="C73" s="203">
        <v>40244</v>
      </c>
      <c r="D73" s="76">
        <v>39516</v>
      </c>
      <c r="E73" s="77">
        <v>40244</v>
      </c>
      <c r="F73" s="78">
        <v>9</v>
      </c>
      <c r="G73" s="79"/>
      <c r="H73" s="80" t="s">
        <v>35</v>
      </c>
      <c r="I73" s="212"/>
      <c r="J73" s="212"/>
      <c r="K73" s="231">
        <v>470.58823529411762</v>
      </c>
      <c r="L73" s="231">
        <v>141.1764705882353</v>
      </c>
      <c r="M73" s="231">
        <v>611.76470588235293</v>
      </c>
      <c r="N73" s="231">
        <v>424.47058823529414</v>
      </c>
      <c r="O73" s="231">
        <v>40.470588235294116</v>
      </c>
      <c r="P73" s="231">
        <v>464.94117647058823</v>
      </c>
      <c r="Q73" s="231">
        <v>18.823529411764707</v>
      </c>
      <c r="R73" s="231">
        <v>0</v>
      </c>
      <c r="S73" s="231">
        <v>18.823529411764707</v>
      </c>
      <c r="T73" s="231">
        <v>94.117647058823536</v>
      </c>
      <c r="U73" s="231">
        <v>1223.5294117647059</v>
      </c>
      <c r="V73" s="231">
        <v>1317.6470588235295</v>
      </c>
      <c r="W73" s="231">
        <v>537.41176470588232</v>
      </c>
      <c r="X73" s="231">
        <v>1264</v>
      </c>
      <c r="Y73" s="231">
        <v>1801.4117647058824</v>
      </c>
      <c r="Z73" s="200">
        <v>2413.1764705882351</v>
      </c>
      <c r="AA73" s="231">
        <v>1.1294117647058823</v>
      </c>
      <c r="AB73" s="231">
        <v>2.2588235294117647</v>
      </c>
      <c r="AC73" s="231">
        <v>3.3882352941176466</v>
      </c>
      <c r="AD73" s="231">
        <v>0</v>
      </c>
      <c r="AE73" s="231">
        <v>0</v>
      </c>
      <c r="AF73" s="231">
        <v>0</v>
      </c>
      <c r="AG73" s="231">
        <v>2.6352941176470588</v>
      </c>
      <c r="AH73" s="231">
        <v>5.2705882352941176</v>
      </c>
      <c r="AI73" s="231">
        <v>7.905882352941175</v>
      </c>
      <c r="AJ73" s="231">
        <v>0</v>
      </c>
      <c r="AK73" s="231">
        <v>2.8235294117647061</v>
      </c>
      <c r="AL73" s="231">
        <v>2.8235294117647061</v>
      </c>
      <c r="AM73" s="231">
        <v>2.6352941176470588</v>
      </c>
      <c r="AN73" s="231">
        <v>8.0941176470588232</v>
      </c>
      <c r="AO73" s="231">
        <v>10.729411764705882</v>
      </c>
      <c r="AP73" s="200">
        <v>14.117647058823527</v>
      </c>
      <c r="AQ73" s="232">
        <v>0</v>
      </c>
      <c r="AR73" s="200">
        <v>615.15294117647056</v>
      </c>
      <c r="AS73" s="200">
        <v>1812.1411764705883</v>
      </c>
      <c r="AT73" s="66">
        <v>2427.294117647059</v>
      </c>
      <c r="AU73" s="231">
        <v>0</v>
      </c>
      <c r="AV73" s="231">
        <v>84.705882352941174</v>
      </c>
      <c r="AW73" s="75">
        <v>0</v>
      </c>
      <c r="AX73" s="231">
        <v>47.058823529411768</v>
      </c>
      <c r="AY73" s="66">
        <v>131.76470588235293</v>
      </c>
      <c r="AZ73" s="208">
        <v>0</v>
      </c>
      <c r="BA73" s="86">
        <v>117.64705882352941</v>
      </c>
      <c r="BB73" s="86">
        <v>94.117647058823536</v>
      </c>
      <c r="BC73" s="86">
        <v>117.64705882352941</v>
      </c>
      <c r="BD73" s="86">
        <v>94.117647058823536</v>
      </c>
      <c r="BE73" s="86">
        <v>211.76470588235293</v>
      </c>
      <c r="BF73" s="86">
        <v>248.47058823529412</v>
      </c>
      <c r="BG73" s="66">
        <v>460.23529411764707</v>
      </c>
      <c r="BH73" s="67">
        <v>3019.294117647059</v>
      </c>
      <c r="BI73" s="67">
        <v>138837</v>
      </c>
      <c r="FE73" s="40">
        <v>40244</v>
      </c>
      <c r="FF73" s="40">
        <v>470.58823529411762</v>
      </c>
      <c r="FG73" s="40">
        <v>424.47058823529414</v>
      </c>
      <c r="FH73" s="40">
        <v>895.05882352941171</v>
      </c>
      <c r="FI73" s="40">
        <v>117.64705882352941</v>
      </c>
      <c r="FJ73" s="40" t="e">
        <v>#REF!</v>
      </c>
      <c r="FK73" s="40" t="e">
        <v>#REF!</v>
      </c>
      <c r="FL73" s="40">
        <v>0</v>
      </c>
      <c r="FM73" s="40">
        <v>84.705882352941174</v>
      </c>
      <c r="FN73" s="40" t="e">
        <v>#REF!</v>
      </c>
      <c r="FO73" s="40">
        <v>47.058823529411768</v>
      </c>
      <c r="FP73" s="40" t="e">
        <v>#REF!</v>
      </c>
      <c r="FR73" s="40" t="e">
        <v>#REF!</v>
      </c>
    </row>
    <row r="74" spans="1:174" x14ac:dyDescent="0.25">
      <c r="A74" s="142">
        <v>0</v>
      </c>
      <c r="B74" s="68">
        <v>40245</v>
      </c>
      <c r="C74" s="198">
        <v>40245</v>
      </c>
      <c r="D74" s="69">
        <v>39517</v>
      </c>
      <c r="E74" s="70">
        <v>40245</v>
      </c>
      <c r="F74" s="71">
        <v>10</v>
      </c>
      <c r="G74" s="72"/>
      <c r="H74" s="82"/>
      <c r="I74" s="210"/>
      <c r="J74" s="210"/>
      <c r="K74" s="235">
        <v>103.52941176470588</v>
      </c>
      <c r="L74" s="235">
        <v>26.352941176470587</v>
      </c>
      <c r="M74" s="235">
        <v>129.88235294117646</v>
      </c>
      <c r="N74" s="235">
        <v>102.58823529411765</v>
      </c>
      <c r="O74" s="235">
        <v>7.5294117647058822</v>
      </c>
      <c r="P74" s="235">
        <v>110.11764705882354</v>
      </c>
      <c r="Q74" s="235">
        <v>3.7647058823529411</v>
      </c>
      <c r="R74" s="235">
        <v>0</v>
      </c>
      <c r="S74" s="235">
        <v>3.7647058823529411</v>
      </c>
      <c r="T74" s="235">
        <v>94.117647058823536</v>
      </c>
      <c r="U74" s="235">
        <v>283.29411764705884</v>
      </c>
      <c r="V74" s="235">
        <v>377.41176470588238</v>
      </c>
      <c r="W74" s="235">
        <v>200.47058823529412</v>
      </c>
      <c r="X74" s="235">
        <v>290.8235294117647</v>
      </c>
      <c r="Y74" s="235">
        <v>491.29411764705884</v>
      </c>
      <c r="Z74" s="200">
        <v>621.17647058823525</v>
      </c>
      <c r="AA74" s="235">
        <v>1.1294117647058823</v>
      </c>
      <c r="AB74" s="235">
        <v>0</v>
      </c>
      <c r="AC74" s="235">
        <v>1.1294117647058823</v>
      </c>
      <c r="AD74" s="235">
        <v>0</v>
      </c>
      <c r="AE74" s="235">
        <v>0</v>
      </c>
      <c r="AF74" s="235">
        <v>0</v>
      </c>
      <c r="AG74" s="235">
        <v>2.6352941176470588</v>
      </c>
      <c r="AH74" s="235">
        <v>0</v>
      </c>
      <c r="AI74" s="235">
        <v>2.6352941176470588</v>
      </c>
      <c r="AJ74" s="235">
        <v>0</v>
      </c>
      <c r="AK74" s="235">
        <v>1.8823529411764706</v>
      </c>
      <c r="AL74" s="235">
        <v>1.8823529411764706</v>
      </c>
      <c r="AM74" s="235">
        <v>2.6352941176470588</v>
      </c>
      <c r="AN74" s="235">
        <v>1.8823529411764706</v>
      </c>
      <c r="AO74" s="235">
        <v>4.5176470588235293</v>
      </c>
      <c r="AP74" s="200">
        <v>5.6470588235294121</v>
      </c>
      <c r="AQ74" s="141">
        <v>0</v>
      </c>
      <c r="AR74" s="200">
        <v>131.01176470588234</v>
      </c>
      <c r="AS74" s="200">
        <v>495.81176470588235</v>
      </c>
      <c r="AT74" s="66">
        <v>626.82352941176464</v>
      </c>
      <c r="AU74" s="235">
        <v>0</v>
      </c>
      <c r="AV74" s="235">
        <v>18.823529411764707</v>
      </c>
      <c r="AW74" s="75">
        <v>0</v>
      </c>
      <c r="AX74" s="235">
        <v>47.058823529411768</v>
      </c>
      <c r="AY74" s="66">
        <v>65.882352941176478</v>
      </c>
      <c r="AZ74" s="202">
        <v>0</v>
      </c>
      <c r="BA74" s="87">
        <v>23.529411764705884</v>
      </c>
      <c r="BB74" s="87">
        <v>42.352941176470587</v>
      </c>
      <c r="BC74" s="87">
        <v>23.529411764705884</v>
      </c>
      <c r="BD74" s="87">
        <v>42.352941176470587</v>
      </c>
      <c r="BE74" s="87">
        <v>65.882352941176464</v>
      </c>
      <c r="BF74" s="87">
        <v>122.35294117647059</v>
      </c>
      <c r="BG74" s="66">
        <v>188.23529411764707</v>
      </c>
      <c r="BH74" s="67">
        <v>880.94117647058818</v>
      </c>
      <c r="BI74" s="67">
        <v>139717.9411764706</v>
      </c>
      <c r="FE74" s="39">
        <v>40245</v>
      </c>
      <c r="FF74" s="39">
        <v>103.52941176470588</v>
      </c>
      <c r="FG74" s="39">
        <v>102.58823529411765</v>
      </c>
      <c r="FH74" s="39">
        <v>206.11764705882354</v>
      </c>
      <c r="FI74" s="39">
        <v>23.529411764705884</v>
      </c>
      <c r="FJ74" s="39" t="e">
        <v>#REF!</v>
      </c>
      <c r="FK74" s="39" t="e">
        <v>#REF!</v>
      </c>
      <c r="FL74" s="39">
        <v>0</v>
      </c>
      <c r="FM74" s="39">
        <v>18.823529411764707</v>
      </c>
      <c r="FN74" s="39" t="e">
        <v>#REF!</v>
      </c>
      <c r="FO74" s="39">
        <v>47.058823529411768</v>
      </c>
      <c r="FP74" s="39" t="e">
        <v>#REF!</v>
      </c>
      <c r="FR74" s="39" t="e">
        <v>#REF!</v>
      </c>
    </row>
    <row r="75" spans="1:174" x14ac:dyDescent="0.25">
      <c r="A75" s="142">
        <v>0</v>
      </c>
      <c r="B75" s="68">
        <v>40246</v>
      </c>
      <c r="C75" s="198">
        <v>40246</v>
      </c>
      <c r="D75" s="69">
        <v>39518</v>
      </c>
      <c r="E75" s="70">
        <v>40246</v>
      </c>
      <c r="F75" s="71">
        <v>10</v>
      </c>
      <c r="G75" s="72"/>
      <c r="H75" s="82"/>
      <c r="I75" s="210"/>
      <c r="J75" s="210"/>
      <c r="K75" s="235">
        <v>140.23529411764707</v>
      </c>
      <c r="L75" s="235">
        <v>18.823529411764707</v>
      </c>
      <c r="M75" s="235">
        <v>159.05882352941177</v>
      </c>
      <c r="N75" s="235">
        <v>74.352941176470594</v>
      </c>
      <c r="O75" s="235">
        <v>9.4117647058823533</v>
      </c>
      <c r="P75" s="235">
        <v>83.764705882352942</v>
      </c>
      <c r="Q75" s="235">
        <v>0</v>
      </c>
      <c r="R75" s="235">
        <v>0</v>
      </c>
      <c r="S75" s="235">
        <v>0</v>
      </c>
      <c r="T75" s="235">
        <v>89.411764705882348</v>
      </c>
      <c r="U75" s="235">
        <v>238.11764705882354</v>
      </c>
      <c r="V75" s="235">
        <v>327.52941176470586</v>
      </c>
      <c r="W75" s="235">
        <v>163.76470588235293</v>
      </c>
      <c r="X75" s="235">
        <v>247.52941176470588</v>
      </c>
      <c r="Y75" s="235">
        <v>411.29411764705884</v>
      </c>
      <c r="Z75" s="200">
        <v>570.35294117647061</v>
      </c>
      <c r="AA75" s="235">
        <v>0</v>
      </c>
      <c r="AB75" s="235">
        <v>0</v>
      </c>
      <c r="AC75" s="235">
        <v>0</v>
      </c>
      <c r="AD75" s="235">
        <v>0</v>
      </c>
      <c r="AE75" s="235">
        <v>0</v>
      </c>
      <c r="AF75" s="235">
        <v>0</v>
      </c>
      <c r="AG75" s="235">
        <v>0</v>
      </c>
      <c r="AH75" s="235">
        <v>0</v>
      </c>
      <c r="AI75" s="235">
        <v>0</v>
      </c>
      <c r="AJ75" s="235">
        <v>3.7647058823529411</v>
      </c>
      <c r="AK75" s="235">
        <v>1.8823529411764706</v>
      </c>
      <c r="AL75" s="235">
        <v>5.6470588235294121</v>
      </c>
      <c r="AM75" s="235">
        <v>3.7647058823529411</v>
      </c>
      <c r="AN75" s="235">
        <v>1.8823529411764706</v>
      </c>
      <c r="AO75" s="235">
        <v>5.6470588235294121</v>
      </c>
      <c r="AP75" s="200">
        <v>5.6470588235294121</v>
      </c>
      <c r="AQ75" s="141">
        <v>0</v>
      </c>
      <c r="AR75" s="200">
        <v>159.05882352941177</v>
      </c>
      <c r="AS75" s="200">
        <v>416.94117647058823</v>
      </c>
      <c r="AT75" s="66">
        <v>576</v>
      </c>
      <c r="AU75" s="235">
        <v>0</v>
      </c>
      <c r="AV75" s="235">
        <v>18.823529411764707</v>
      </c>
      <c r="AW75" s="75">
        <v>263.52941176470586</v>
      </c>
      <c r="AX75" s="235">
        <v>42.352941176470587</v>
      </c>
      <c r="AY75" s="66">
        <v>324.70588235294116</v>
      </c>
      <c r="AZ75" s="202">
        <v>0</v>
      </c>
      <c r="BA75" s="87">
        <v>0</v>
      </c>
      <c r="BB75" s="87">
        <v>42.352941176470587</v>
      </c>
      <c r="BC75" s="87">
        <v>0</v>
      </c>
      <c r="BD75" s="87">
        <v>42.352941176470587</v>
      </c>
      <c r="BE75" s="87">
        <v>42.352941176470587</v>
      </c>
      <c r="BF75" s="87">
        <v>136.47058823529412</v>
      </c>
      <c r="BG75" s="66">
        <v>178.8235294117647</v>
      </c>
      <c r="BH75" s="67">
        <v>1079.5294117647059</v>
      </c>
      <c r="BI75" s="67">
        <v>140797.4705882353</v>
      </c>
      <c r="FE75" s="39">
        <v>40246</v>
      </c>
      <c r="FF75" s="39">
        <v>140.23529411764707</v>
      </c>
      <c r="FG75" s="39">
        <v>74.352941176470594</v>
      </c>
      <c r="FH75" s="39">
        <v>214.58823529411768</v>
      </c>
      <c r="FI75" s="39">
        <v>0</v>
      </c>
      <c r="FJ75" s="39" t="e">
        <v>#REF!</v>
      </c>
      <c r="FK75" s="39" t="e">
        <v>#REF!</v>
      </c>
      <c r="FL75" s="39">
        <v>0</v>
      </c>
      <c r="FM75" s="39">
        <v>18.823529411764707</v>
      </c>
      <c r="FN75" s="39" t="e">
        <v>#REF!</v>
      </c>
      <c r="FO75" s="39">
        <v>42.352941176470587</v>
      </c>
      <c r="FP75" s="39" t="e">
        <v>#REF!</v>
      </c>
      <c r="FR75" s="39" t="e">
        <v>#REF!</v>
      </c>
    </row>
    <row r="76" spans="1:174" x14ac:dyDescent="0.25">
      <c r="A76" s="142">
        <v>0</v>
      </c>
      <c r="B76" s="68">
        <v>40247</v>
      </c>
      <c r="C76" s="198">
        <v>40247</v>
      </c>
      <c r="D76" s="69">
        <v>39519</v>
      </c>
      <c r="E76" s="70">
        <v>40247</v>
      </c>
      <c r="F76" s="71">
        <v>10</v>
      </c>
      <c r="G76" s="72"/>
      <c r="H76" s="82"/>
      <c r="I76" s="210"/>
      <c r="J76" s="210"/>
      <c r="K76" s="235">
        <v>160</v>
      </c>
      <c r="L76" s="235">
        <v>13.176470588235293</v>
      </c>
      <c r="M76" s="235">
        <v>173.1764705882353</v>
      </c>
      <c r="N76" s="235">
        <v>94.117647058823536</v>
      </c>
      <c r="O76" s="235">
        <v>5.6470588235294121</v>
      </c>
      <c r="P76" s="235">
        <v>99.764705882352942</v>
      </c>
      <c r="Q76" s="235">
        <v>1.8823529411764706</v>
      </c>
      <c r="R76" s="235">
        <v>0</v>
      </c>
      <c r="S76" s="235">
        <v>1.8823529411764706</v>
      </c>
      <c r="T76" s="235">
        <v>80</v>
      </c>
      <c r="U76" s="235">
        <v>235.29411764705881</v>
      </c>
      <c r="V76" s="235">
        <v>315.29411764705884</v>
      </c>
      <c r="W76" s="235">
        <v>176</v>
      </c>
      <c r="X76" s="235">
        <v>240.94117647058823</v>
      </c>
      <c r="Y76" s="235">
        <v>416.94117647058823</v>
      </c>
      <c r="Z76" s="200">
        <v>590.11764705882354</v>
      </c>
      <c r="AA76" s="235">
        <v>0.56470588235294117</v>
      </c>
      <c r="AB76" s="235">
        <v>0</v>
      </c>
      <c r="AC76" s="235">
        <v>0.56470588235294117</v>
      </c>
      <c r="AD76" s="235">
        <v>0</v>
      </c>
      <c r="AE76" s="235">
        <v>0</v>
      </c>
      <c r="AF76" s="235">
        <v>0</v>
      </c>
      <c r="AG76" s="235">
        <v>1.3176470588235294</v>
      </c>
      <c r="AH76" s="235">
        <v>0</v>
      </c>
      <c r="AI76" s="235">
        <v>1.3176470588235294</v>
      </c>
      <c r="AJ76" s="235">
        <v>0</v>
      </c>
      <c r="AK76" s="235">
        <v>7.5294117647058822</v>
      </c>
      <c r="AL76" s="235">
        <v>7.5294117647058822</v>
      </c>
      <c r="AM76" s="235">
        <v>1.3176470588235294</v>
      </c>
      <c r="AN76" s="235">
        <v>7.5294117647058822</v>
      </c>
      <c r="AO76" s="235">
        <v>8.8470588235294123</v>
      </c>
      <c r="AP76" s="200">
        <v>9.4117647058823533</v>
      </c>
      <c r="AQ76" s="141">
        <v>0</v>
      </c>
      <c r="AR76" s="200">
        <v>173.74117647058824</v>
      </c>
      <c r="AS76" s="200">
        <v>425.78823529411767</v>
      </c>
      <c r="AT76" s="66">
        <v>599.52941176470586</v>
      </c>
      <c r="AU76" s="235">
        <v>0</v>
      </c>
      <c r="AV76" s="235">
        <v>18.823529411764707</v>
      </c>
      <c r="AW76" s="75">
        <v>188.23529411764707</v>
      </c>
      <c r="AX76" s="235">
        <v>4.7058823529411766</v>
      </c>
      <c r="AY76" s="66">
        <v>211.76470588235296</v>
      </c>
      <c r="AZ76" s="202">
        <v>0</v>
      </c>
      <c r="BA76" s="87">
        <v>0</v>
      </c>
      <c r="BB76" s="87">
        <v>0</v>
      </c>
      <c r="BC76" s="87">
        <v>0</v>
      </c>
      <c r="BD76" s="87">
        <v>0</v>
      </c>
      <c r="BE76" s="87">
        <v>0</v>
      </c>
      <c r="BF76" s="87">
        <v>592.94117647058829</v>
      </c>
      <c r="BG76" s="66">
        <v>592.94117647058829</v>
      </c>
      <c r="BH76" s="67">
        <v>1404.2352941176471</v>
      </c>
      <c r="BI76" s="67">
        <v>142201.70588235295</v>
      </c>
      <c r="FE76" s="39">
        <v>40247</v>
      </c>
      <c r="FF76" s="39">
        <v>160</v>
      </c>
      <c r="FG76" s="39">
        <v>94.117647058823536</v>
      </c>
      <c r="FH76" s="39">
        <v>254.11764705882354</v>
      </c>
      <c r="FI76" s="39">
        <v>0</v>
      </c>
      <c r="FJ76" s="39" t="e">
        <v>#REF!</v>
      </c>
      <c r="FK76" s="39" t="e">
        <v>#REF!</v>
      </c>
      <c r="FL76" s="39">
        <v>0</v>
      </c>
      <c r="FM76" s="39">
        <v>18.823529411764707</v>
      </c>
      <c r="FN76" s="39" t="e">
        <v>#REF!</v>
      </c>
      <c r="FO76" s="39">
        <v>4.7058823529411766</v>
      </c>
      <c r="FP76" s="39" t="e">
        <v>#REF!</v>
      </c>
      <c r="FR76" s="39" t="e">
        <v>#REF!</v>
      </c>
    </row>
    <row r="77" spans="1:174" x14ac:dyDescent="0.25">
      <c r="A77" s="142">
        <v>0</v>
      </c>
      <c r="B77" s="68">
        <v>40248</v>
      </c>
      <c r="C77" s="198">
        <v>40248</v>
      </c>
      <c r="D77" s="69">
        <v>39520</v>
      </c>
      <c r="E77" s="70">
        <v>40248</v>
      </c>
      <c r="F77" s="71">
        <v>10</v>
      </c>
      <c r="G77" s="72"/>
      <c r="H77" s="82"/>
      <c r="I77" s="210"/>
      <c r="J77" s="210"/>
      <c r="K77" s="235">
        <v>136.47058823529412</v>
      </c>
      <c r="L77" s="235">
        <v>14.117647058823529</v>
      </c>
      <c r="M77" s="235">
        <v>150.58823529411765</v>
      </c>
      <c r="N77" s="235">
        <v>117.64705882352941</v>
      </c>
      <c r="O77" s="235">
        <v>5.6470588235294121</v>
      </c>
      <c r="P77" s="235">
        <v>123.29411764705883</v>
      </c>
      <c r="Q77" s="235">
        <v>3.7647058823529411</v>
      </c>
      <c r="R77" s="235">
        <v>0</v>
      </c>
      <c r="S77" s="235">
        <v>3.7647058823529411</v>
      </c>
      <c r="T77" s="235">
        <v>14.117647058823529</v>
      </c>
      <c r="U77" s="235">
        <v>263.52941176470586</v>
      </c>
      <c r="V77" s="235">
        <v>277.64705882352939</v>
      </c>
      <c r="W77" s="235">
        <v>135.52941176470588</v>
      </c>
      <c r="X77" s="235">
        <v>269.1764705882353</v>
      </c>
      <c r="Y77" s="235">
        <v>404.70588235294116</v>
      </c>
      <c r="Z77" s="200">
        <v>555.29411764705878</v>
      </c>
      <c r="AA77" s="235">
        <v>1.1294117647058823</v>
      </c>
      <c r="AB77" s="235">
        <v>0</v>
      </c>
      <c r="AC77" s="235">
        <v>1.1294117647058823</v>
      </c>
      <c r="AD77" s="235">
        <v>0</v>
      </c>
      <c r="AE77" s="235">
        <v>0</v>
      </c>
      <c r="AF77" s="235">
        <v>0</v>
      </c>
      <c r="AG77" s="235">
        <v>2.6352941176470588</v>
      </c>
      <c r="AH77" s="235">
        <v>0</v>
      </c>
      <c r="AI77" s="235">
        <v>2.6352941176470588</v>
      </c>
      <c r="AJ77" s="235">
        <v>0</v>
      </c>
      <c r="AK77" s="235">
        <v>11.294117647058824</v>
      </c>
      <c r="AL77" s="235">
        <v>11.294117647058824</v>
      </c>
      <c r="AM77" s="235">
        <v>2.6352941176470588</v>
      </c>
      <c r="AN77" s="235">
        <v>11.294117647058824</v>
      </c>
      <c r="AO77" s="235">
        <v>13.929411764705883</v>
      </c>
      <c r="AP77" s="200">
        <v>15.058823529411764</v>
      </c>
      <c r="AQ77" s="141">
        <v>0</v>
      </c>
      <c r="AR77" s="200">
        <v>151.71764705882353</v>
      </c>
      <c r="AS77" s="200">
        <v>418.63529411764705</v>
      </c>
      <c r="AT77" s="66">
        <v>570.35294117647061</v>
      </c>
      <c r="AU77" s="235">
        <v>0</v>
      </c>
      <c r="AV77" s="235">
        <v>18.823529411764707</v>
      </c>
      <c r="AW77" s="75">
        <v>0</v>
      </c>
      <c r="AX77" s="235">
        <v>56.470588235294116</v>
      </c>
      <c r="AY77" s="66">
        <v>75.294117647058826</v>
      </c>
      <c r="AZ77" s="202">
        <v>0</v>
      </c>
      <c r="BA77" s="87">
        <v>18.823529411764707</v>
      </c>
      <c r="BB77" s="87">
        <v>0</v>
      </c>
      <c r="BC77" s="87">
        <v>37.647058823529413</v>
      </c>
      <c r="BD77" s="87">
        <v>0</v>
      </c>
      <c r="BE77" s="87">
        <v>37.647058823529413</v>
      </c>
      <c r="BF77" s="87">
        <v>395.29411764705884</v>
      </c>
      <c r="BG77" s="66">
        <v>432.94117647058823</v>
      </c>
      <c r="BH77" s="67">
        <v>1078.5882352941176</v>
      </c>
      <c r="BI77" s="67">
        <v>143280.29411764708</v>
      </c>
      <c r="FE77" s="39">
        <v>40248</v>
      </c>
      <c r="FF77" s="39">
        <v>136.47058823529412</v>
      </c>
      <c r="FG77" s="39">
        <v>117.64705882352941</v>
      </c>
      <c r="FH77" s="39">
        <v>254.11764705882354</v>
      </c>
      <c r="FI77" s="39">
        <v>18.823529411764707</v>
      </c>
      <c r="FJ77" s="39" t="e">
        <v>#REF!</v>
      </c>
      <c r="FK77" s="39" t="e">
        <v>#REF!</v>
      </c>
      <c r="FL77" s="39">
        <v>0</v>
      </c>
      <c r="FM77" s="39">
        <v>18.823529411764707</v>
      </c>
      <c r="FN77" s="39" t="e">
        <v>#REF!</v>
      </c>
      <c r="FO77" s="39">
        <v>56.470588235294116</v>
      </c>
      <c r="FP77" s="39" t="e">
        <v>#REF!</v>
      </c>
      <c r="FR77" s="39" t="e">
        <v>#REF!</v>
      </c>
    </row>
    <row r="78" spans="1:174" x14ac:dyDescent="0.25">
      <c r="A78" s="142">
        <v>0</v>
      </c>
      <c r="B78" s="68">
        <v>40249</v>
      </c>
      <c r="C78" s="198">
        <v>40249</v>
      </c>
      <c r="D78" s="69">
        <v>39521</v>
      </c>
      <c r="E78" s="70">
        <v>40249</v>
      </c>
      <c r="F78" s="71">
        <v>10</v>
      </c>
      <c r="G78" s="72"/>
      <c r="H78" s="82"/>
      <c r="I78" s="210"/>
      <c r="J78" s="210"/>
      <c r="K78" s="235">
        <v>131.76470588235293</v>
      </c>
      <c r="L78" s="235">
        <v>23.529411764705884</v>
      </c>
      <c r="M78" s="235">
        <v>155.29411764705881</v>
      </c>
      <c r="N78" s="235">
        <v>99.764705882352942</v>
      </c>
      <c r="O78" s="235">
        <v>7.5294117647058822</v>
      </c>
      <c r="P78" s="235">
        <v>107.29411764705883</v>
      </c>
      <c r="Q78" s="235">
        <v>0</v>
      </c>
      <c r="R78" s="235">
        <v>0</v>
      </c>
      <c r="S78" s="235">
        <v>0</v>
      </c>
      <c r="T78" s="235">
        <v>14.117647058823529</v>
      </c>
      <c r="U78" s="235">
        <v>235.29411764705881</v>
      </c>
      <c r="V78" s="235">
        <v>249.41176470588235</v>
      </c>
      <c r="W78" s="235">
        <v>113.88235294117646</v>
      </c>
      <c r="X78" s="235">
        <v>242.8235294117647</v>
      </c>
      <c r="Y78" s="235">
        <v>356.70588235294116</v>
      </c>
      <c r="Z78" s="200">
        <v>512</v>
      </c>
      <c r="AA78" s="235">
        <v>1.1294117647058823</v>
      </c>
      <c r="AB78" s="235">
        <v>0</v>
      </c>
      <c r="AC78" s="235">
        <v>1.1294117647058823</v>
      </c>
      <c r="AD78" s="235">
        <v>0</v>
      </c>
      <c r="AE78" s="235">
        <v>0</v>
      </c>
      <c r="AF78" s="235">
        <v>0</v>
      </c>
      <c r="AG78" s="235">
        <v>2.6352941176470588</v>
      </c>
      <c r="AH78" s="235">
        <v>0</v>
      </c>
      <c r="AI78" s="235">
        <v>2.6352941176470588</v>
      </c>
      <c r="AJ78" s="235">
        <v>0</v>
      </c>
      <c r="AK78" s="235">
        <v>11.294117647058824</v>
      </c>
      <c r="AL78" s="235">
        <v>11.294117647058824</v>
      </c>
      <c r="AM78" s="235">
        <v>2.6352941176470588</v>
      </c>
      <c r="AN78" s="235">
        <v>11.294117647058824</v>
      </c>
      <c r="AO78" s="235">
        <v>13.929411764705883</v>
      </c>
      <c r="AP78" s="200">
        <v>15.058823529411764</v>
      </c>
      <c r="AQ78" s="141">
        <v>0</v>
      </c>
      <c r="AR78" s="200">
        <v>156.42352941176469</v>
      </c>
      <c r="AS78" s="200">
        <v>370.63529411764705</v>
      </c>
      <c r="AT78" s="66">
        <v>527.05882352941171</v>
      </c>
      <c r="AU78" s="235">
        <v>0</v>
      </c>
      <c r="AV78" s="235">
        <v>18.823529411764707</v>
      </c>
      <c r="AW78" s="75">
        <v>0</v>
      </c>
      <c r="AX78" s="235">
        <v>37.647058823529413</v>
      </c>
      <c r="AY78" s="66">
        <v>56.470588235294116</v>
      </c>
      <c r="AZ78" s="202">
        <v>0</v>
      </c>
      <c r="BA78" s="87">
        <v>0</v>
      </c>
      <c r="BB78" s="87">
        <v>0</v>
      </c>
      <c r="BC78" s="87">
        <v>0</v>
      </c>
      <c r="BD78" s="87">
        <v>0</v>
      </c>
      <c r="BE78" s="87">
        <v>0</v>
      </c>
      <c r="BF78" s="87">
        <v>1077.6470588235295</v>
      </c>
      <c r="BG78" s="66">
        <v>1077.6470588235295</v>
      </c>
      <c r="BH78" s="67">
        <v>1661.1764705882354</v>
      </c>
      <c r="BI78" s="67">
        <v>144941.4705882353</v>
      </c>
      <c r="FE78" s="39">
        <v>40249</v>
      </c>
      <c r="FF78" s="39">
        <v>131.76470588235293</v>
      </c>
      <c r="FG78" s="39">
        <v>99.764705882352942</v>
      </c>
      <c r="FH78" s="39">
        <v>231.52941176470586</v>
      </c>
      <c r="FI78" s="39">
        <v>0</v>
      </c>
      <c r="FJ78" s="39" t="e">
        <v>#REF!</v>
      </c>
      <c r="FK78" s="39" t="e">
        <v>#REF!</v>
      </c>
      <c r="FL78" s="39">
        <v>0</v>
      </c>
      <c r="FM78" s="39">
        <v>18.823529411764707</v>
      </c>
      <c r="FN78" s="39" t="e">
        <v>#REF!</v>
      </c>
      <c r="FO78" s="39">
        <v>37.647058823529413</v>
      </c>
      <c r="FP78" s="39" t="e">
        <v>#REF!</v>
      </c>
      <c r="FR78" s="39" t="e">
        <v>#REF!</v>
      </c>
    </row>
    <row r="79" spans="1:174" s="40" customFormat="1" x14ac:dyDescent="0.25">
      <c r="A79" s="142">
        <v>0</v>
      </c>
      <c r="B79" s="85">
        <v>40250</v>
      </c>
      <c r="C79" s="203">
        <v>40250</v>
      </c>
      <c r="D79" s="76">
        <v>39522</v>
      </c>
      <c r="E79" s="77">
        <v>40250</v>
      </c>
      <c r="F79" s="78">
        <v>10</v>
      </c>
      <c r="G79" s="79"/>
      <c r="H79" s="80"/>
      <c r="I79" s="212"/>
      <c r="J79" s="212"/>
      <c r="K79" s="231">
        <v>1411.7647058823529</v>
      </c>
      <c r="L79" s="231">
        <v>517.64705882352939</v>
      </c>
      <c r="M79" s="231">
        <v>1929.4117647058824</v>
      </c>
      <c r="N79" s="231">
        <v>950.58823529411768</v>
      </c>
      <c r="O79" s="231">
        <v>19.764705882352942</v>
      </c>
      <c r="P79" s="231">
        <v>970.35294117647061</v>
      </c>
      <c r="Q79" s="231">
        <v>5.6470588235294121</v>
      </c>
      <c r="R79" s="231">
        <v>0</v>
      </c>
      <c r="S79" s="231">
        <v>5.6470588235294121</v>
      </c>
      <c r="T79" s="231">
        <v>188.23529411764707</v>
      </c>
      <c r="U79" s="231">
        <v>1223.5294117647059</v>
      </c>
      <c r="V79" s="231">
        <v>1411.7647058823529</v>
      </c>
      <c r="W79" s="231">
        <v>1144.4705882352941</v>
      </c>
      <c r="X79" s="231">
        <v>1243.2941176470588</v>
      </c>
      <c r="Y79" s="231">
        <v>2387.7647058823532</v>
      </c>
      <c r="Z79" s="200">
        <v>4317.1764705882351</v>
      </c>
      <c r="AA79" s="231">
        <v>5.3647058823529417</v>
      </c>
      <c r="AB79" s="231">
        <v>4.2352941176470589</v>
      </c>
      <c r="AC79" s="231">
        <v>9.6</v>
      </c>
      <c r="AD79" s="231">
        <v>0</v>
      </c>
      <c r="AE79" s="231">
        <v>0</v>
      </c>
      <c r="AF79" s="231">
        <v>0</v>
      </c>
      <c r="AG79" s="231">
        <v>12.517647058823529</v>
      </c>
      <c r="AH79" s="231">
        <v>9.882352941176471</v>
      </c>
      <c r="AI79" s="231">
        <v>22.4</v>
      </c>
      <c r="AJ79" s="231">
        <v>0</v>
      </c>
      <c r="AK79" s="231">
        <v>24.470588235294116</v>
      </c>
      <c r="AL79" s="231">
        <v>24.470588235294116</v>
      </c>
      <c r="AM79" s="231">
        <v>12.517647058823529</v>
      </c>
      <c r="AN79" s="231">
        <v>34.352941176470587</v>
      </c>
      <c r="AO79" s="231">
        <v>46.870588235294115</v>
      </c>
      <c r="AP79" s="200">
        <v>56.470588235294116</v>
      </c>
      <c r="AQ79" s="232">
        <v>0</v>
      </c>
      <c r="AR79" s="200">
        <v>1939.0117647058823</v>
      </c>
      <c r="AS79" s="200">
        <v>2434.6352941176474</v>
      </c>
      <c r="AT79" s="66">
        <v>4373.6470588235297</v>
      </c>
      <c r="AU79" s="231">
        <v>0</v>
      </c>
      <c r="AV79" s="231">
        <v>37.647058823529413</v>
      </c>
      <c r="AW79" s="75">
        <v>0</v>
      </c>
      <c r="AX79" s="231">
        <v>329.41176470588238</v>
      </c>
      <c r="AY79" s="66">
        <v>367.05882352941177</v>
      </c>
      <c r="AZ79" s="208">
        <v>0</v>
      </c>
      <c r="BA79" s="86">
        <v>160</v>
      </c>
      <c r="BB79" s="86">
        <v>1016.4705882352941</v>
      </c>
      <c r="BC79" s="86">
        <v>160</v>
      </c>
      <c r="BD79" s="86">
        <v>1016.4705882352941</v>
      </c>
      <c r="BE79" s="86">
        <v>1176.4705882352941</v>
      </c>
      <c r="BF79" s="86">
        <v>965.64705882352939</v>
      </c>
      <c r="BG79" s="66">
        <v>2142.1176470588234</v>
      </c>
      <c r="BH79" s="67">
        <v>6882.8235294117649</v>
      </c>
      <c r="BI79" s="67">
        <v>151824.29411764708</v>
      </c>
      <c r="FE79" s="40">
        <v>40250</v>
      </c>
      <c r="FF79" s="40">
        <v>1411.7647058823529</v>
      </c>
      <c r="FG79" s="40">
        <v>950.58823529411768</v>
      </c>
      <c r="FH79" s="40">
        <v>2362.3529411764707</v>
      </c>
      <c r="FI79" s="40">
        <v>160</v>
      </c>
      <c r="FJ79" s="40" t="e">
        <v>#REF!</v>
      </c>
      <c r="FK79" s="40" t="e">
        <v>#REF!</v>
      </c>
      <c r="FL79" s="40">
        <v>0</v>
      </c>
      <c r="FM79" s="40">
        <v>37.647058823529413</v>
      </c>
      <c r="FN79" s="40" t="e">
        <v>#REF!</v>
      </c>
      <c r="FO79" s="40">
        <v>329.41176470588238</v>
      </c>
      <c r="FP79" s="40" t="e">
        <v>#REF!</v>
      </c>
      <c r="FR79" s="40" t="e">
        <v>#REF!</v>
      </c>
    </row>
    <row r="80" spans="1:174" s="40" customFormat="1" x14ac:dyDescent="0.25">
      <c r="A80" s="142">
        <v>0</v>
      </c>
      <c r="B80" s="85">
        <v>40251</v>
      </c>
      <c r="C80" s="203">
        <v>40251</v>
      </c>
      <c r="D80" s="76">
        <v>39523</v>
      </c>
      <c r="E80" s="77">
        <v>40251</v>
      </c>
      <c r="F80" s="78">
        <v>10</v>
      </c>
      <c r="G80" s="79"/>
      <c r="H80" s="80"/>
      <c r="I80" s="212"/>
      <c r="J80" s="212"/>
      <c r="K80" s="231">
        <v>1035.2941176470588</v>
      </c>
      <c r="L80" s="231">
        <v>94.117647058823536</v>
      </c>
      <c r="M80" s="231">
        <v>1129.4117647058824</v>
      </c>
      <c r="N80" s="231">
        <v>510.11764705882354</v>
      </c>
      <c r="O80" s="231">
        <v>17.882352941176471</v>
      </c>
      <c r="P80" s="231">
        <v>528</v>
      </c>
      <c r="Q80" s="231">
        <v>1.8823529411764706</v>
      </c>
      <c r="R80" s="231">
        <v>0</v>
      </c>
      <c r="S80" s="231">
        <v>1.8823529411764706</v>
      </c>
      <c r="T80" s="231">
        <v>94.117647058823536</v>
      </c>
      <c r="U80" s="231">
        <v>1223.5294117647059</v>
      </c>
      <c r="V80" s="231">
        <v>1317.6470588235295</v>
      </c>
      <c r="W80" s="231">
        <v>606.11764705882354</v>
      </c>
      <c r="X80" s="231">
        <v>1241.4117647058824</v>
      </c>
      <c r="Y80" s="231">
        <v>1847.5294117647059</v>
      </c>
      <c r="Z80" s="200">
        <v>2976.9411764705883</v>
      </c>
      <c r="AA80" s="231">
        <v>1.9764705882352942</v>
      </c>
      <c r="AB80" s="231">
        <v>4.2352941176470589</v>
      </c>
      <c r="AC80" s="231">
        <v>6.2117647058823522</v>
      </c>
      <c r="AD80" s="231">
        <v>0</v>
      </c>
      <c r="AE80" s="231">
        <v>0</v>
      </c>
      <c r="AF80" s="231">
        <v>0</v>
      </c>
      <c r="AG80" s="231">
        <v>4.6117647058823534</v>
      </c>
      <c r="AH80" s="231">
        <v>9.882352941176471</v>
      </c>
      <c r="AI80" s="231">
        <v>14.494117647058824</v>
      </c>
      <c r="AJ80" s="231">
        <v>0</v>
      </c>
      <c r="AK80" s="231">
        <v>18.823529411764707</v>
      </c>
      <c r="AL80" s="231">
        <v>18.823529411764707</v>
      </c>
      <c r="AM80" s="231">
        <v>4.6117647058823534</v>
      </c>
      <c r="AN80" s="231">
        <v>28.705882352941178</v>
      </c>
      <c r="AO80" s="231">
        <v>33.317647058823525</v>
      </c>
      <c r="AP80" s="200">
        <v>39.529411764705884</v>
      </c>
      <c r="AQ80" s="232">
        <v>0</v>
      </c>
      <c r="AR80" s="200">
        <v>1135.6235294117648</v>
      </c>
      <c r="AS80" s="200">
        <v>1880.8470588235293</v>
      </c>
      <c r="AT80" s="66">
        <v>3016.4705882352941</v>
      </c>
      <c r="AU80" s="231">
        <v>0</v>
      </c>
      <c r="AV80" s="231">
        <v>47.058823529411768</v>
      </c>
      <c r="AW80" s="75">
        <v>18.823529411764707</v>
      </c>
      <c r="AX80" s="231">
        <v>65.882352941176464</v>
      </c>
      <c r="AY80" s="66">
        <v>131.76470588235293</v>
      </c>
      <c r="AZ80" s="208">
        <v>0</v>
      </c>
      <c r="BA80" s="86">
        <v>174.11764705882354</v>
      </c>
      <c r="BB80" s="86">
        <v>1040</v>
      </c>
      <c r="BC80" s="86">
        <v>174.11764705882354</v>
      </c>
      <c r="BD80" s="86">
        <v>1120</v>
      </c>
      <c r="BE80" s="86">
        <v>1294.1176470588234</v>
      </c>
      <c r="BF80" s="86">
        <v>1327.0588235294117</v>
      </c>
      <c r="BG80" s="66">
        <v>2621.1764705882351</v>
      </c>
      <c r="BH80" s="67">
        <v>5769.4117647058829</v>
      </c>
      <c r="BI80" s="67">
        <v>157593.70588235295</v>
      </c>
      <c r="FE80" s="40">
        <v>40251</v>
      </c>
      <c r="FF80" s="40">
        <v>1035.2941176470588</v>
      </c>
      <c r="FG80" s="40">
        <v>510.11764705882354</v>
      </c>
      <c r="FH80" s="40">
        <v>1545.4117647058824</v>
      </c>
      <c r="FI80" s="40">
        <v>174.11764705882354</v>
      </c>
      <c r="FJ80" s="40" t="e">
        <v>#REF!</v>
      </c>
      <c r="FK80" s="40" t="e">
        <v>#REF!</v>
      </c>
      <c r="FL80" s="40">
        <v>0</v>
      </c>
      <c r="FM80" s="40">
        <v>47.058823529411768</v>
      </c>
      <c r="FN80" s="40" t="e">
        <v>#REF!</v>
      </c>
      <c r="FO80" s="40">
        <v>65.882352941176464</v>
      </c>
      <c r="FP80" s="40" t="e">
        <v>#REF!</v>
      </c>
      <c r="FR80" s="40" t="e">
        <v>#REF!</v>
      </c>
    </row>
    <row r="81" spans="1:174" x14ac:dyDescent="0.25">
      <c r="A81" s="142">
        <v>0</v>
      </c>
      <c r="B81" s="68">
        <v>40252</v>
      </c>
      <c r="C81" s="198">
        <v>40252</v>
      </c>
      <c r="D81" s="69">
        <v>39524</v>
      </c>
      <c r="E81" s="70">
        <v>40252</v>
      </c>
      <c r="F81" s="71">
        <v>11</v>
      </c>
      <c r="G81" s="72"/>
      <c r="H81" s="82"/>
      <c r="I81" s="210"/>
      <c r="J81" s="210"/>
      <c r="K81" s="235">
        <v>133.64705882352942</v>
      </c>
      <c r="L81" s="235">
        <v>9.4117647058823533</v>
      </c>
      <c r="M81" s="235">
        <v>143.05882352941177</v>
      </c>
      <c r="N81" s="235">
        <v>85.647058823529406</v>
      </c>
      <c r="O81" s="235">
        <v>8.4705882352941178</v>
      </c>
      <c r="P81" s="235">
        <v>94.117647058823536</v>
      </c>
      <c r="Q81" s="235">
        <v>0</v>
      </c>
      <c r="R81" s="235">
        <v>0</v>
      </c>
      <c r="S81" s="235">
        <v>0</v>
      </c>
      <c r="T81" s="235">
        <v>28.235294117647058</v>
      </c>
      <c r="U81" s="235">
        <v>329.41176470588238</v>
      </c>
      <c r="V81" s="235">
        <v>357.64705882352939</v>
      </c>
      <c r="W81" s="235">
        <v>113.88235294117646</v>
      </c>
      <c r="X81" s="235">
        <v>337.88235294117646</v>
      </c>
      <c r="Y81" s="235">
        <v>451.76470588235293</v>
      </c>
      <c r="Z81" s="200">
        <v>594.82352941176475</v>
      </c>
      <c r="AA81" s="235">
        <v>4.5176470588235293</v>
      </c>
      <c r="AB81" s="235">
        <v>1.411764705882353</v>
      </c>
      <c r="AC81" s="235">
        <v>5.9294117647058826</v>
      </c>
      <c r="AD81" s="235">
        <v>0</v>
      </c>
      <c r="AE81" s="235">
        <v>0</v>
      </c>
      <c r="AF81" s="235">
        <v>0</v>
      </c>
      <c r="AG81" s="235">
        <v>10.541176470588235</v>
      </c>
      <c r="AH81" s="235">
        <v>3.2941176470588234</v>
      </c>
      <c r="AI81" s="235">
        <v>13.835294117647058</v>
      </c>
      <c r="AJ81" s="235">
        <v>2.8235294117647061</v>
      </c>
      <c r="AK81" s="235">
        <v>1.8823529411764706</v>
      </c>
      <c r="AL81" s="235">
        <v>4.7058823529411766</v>
      </c>
      <c r="AM81" s="235">
        <v>13.36470588235294</v>
      </c>
      <c r="AN81" s="235">
        <v>5.1764705882352944</v>
      </c>
      <c r="AO81" s="235">
        <v>18.541176470588233</v>
      </c>
      <c r="AP81" s="200">
        <v>24.470588235294116</v>
      </c>
      <c r="AQ81" s="141">
        <v>0</v>
      </c>
      <c r="AR81" s="200">
        <v>148.98823529411766</v>
      </c>
      <c r="AS81" s="200">
        <v>470.30588235294118</v>
      </c>
      <c r="AT81" s="66">
        <v>619.29411764705878</v>
      </c>
      <c r="AU81" s="235">
        <v>0</v>
      </c>
      <c r="AV81" s="235">
        <v>14.117647058823529</v>
      </c>
      <c r="AW81" s="75">
        <v>258.8235294117647</v>
      </c>
      <c r="AX81" s="235">
        <v>9.4117647058823533</v>
      </c>
      <c r="AY81" s="66">
        <v>282.35294117647061</v>
      </c>
      <c r="AZ81" s="202">
        <v>0</v>
      </c>
      <c r="BA81" s="87">
        <v>0</v>
      </c>
      <c r="BB81" s="87">
        <v>0</v>
      </c>
      <c r="BC81" s="87">
        <v>0</v>
      </c>
      <c r="BD81" s="87">
        <v>84.705882352941174</v>
      </c>
      <c r="BE81" s="87">
        <v>84.705882352941174</v>
      </c>
      <c r="BF81" s="87">
        <v>169.41176470588235</v>
      </c>
      <c r="BG81" s="66">
        <v>254.11764705882354</v>
      </c>
      <c r="BH81" s="67">
        <v>1155.7647058823529</v>
      </c>
      <c r="BI81" s="67">
        <v>158749.4705882353</v>
      </c>
      <c r="FE81" s="39">
        <v>40252</v>
      </c>
      <c r="FF81" s="39">
        <v>133.64705882352942</v>
      </c>
      <c r="FG81" s="39">
        <v>85.647058823529406</v>
      </c>
      <c r="FH81" s="39">
        <v>219.29411764705884</v>
      </c>
      <c r="FI81" s="39">
        <v>0</v>
      </c>
      <c r="FJ81" s="39" t="e">
        <v>#REF!</v>
      </c>
      <c r="FK81" s="39" t="e">
        <v>#REF!</v>
      </c>
      <c r="FL81" s="39">
        <v>0</v>
      </c>
      <c r="FM81" s="39">
        <v>14.117647058823529</v>
      </c>
      <c r="FN81" s="39" t="e">
        <v>#REF!</v>
      </c>
      <c r="FO81" s="39">
        <v>9.4117647058823533</v>
      </c>
      <c r="FP81" s="39" t="e">
        <v>#REF!</v>
      </c>
      <c r="FR81" s="39" t="e">
        <v>#REF!</v>
      </c>
    </row>
    <row r="82" spans="1:174" x14ac:dyDescent="0.25">
      <c r="A82" s="142">
        <v>0</v>
      </c>
      <c r="B82" s="68">
        <v>40253</v>
      </c>
      <c r="C82" s="198">
        <v>40253</v>
      </c>
      <c r="D82" s="69">
        <v>39525</v>
      </c>
      <c r="E82" s="70">
        <v>40253</v>
      </c>
      <c r="F82" s="71">
        <v>11</v>
      </c>
      <c r="G82" s="72"/>
      <c r="H82" s="82"/>
      <c r="I82" s="210"/>
      <c r="J82" s="210"/>
      <c r="K82" s="235">
        <v>95.058823529411768</v>
      </c>
      <c r="L82" s="235">
        <v>14.117647058823529</v>
      </c>
      <c r="M82" s="235">
        <v>109.1764705882353</v>
      </c>
      <c r="N82" s="235">
        <v>132.70588235294119</v>
      </c>
      <c r="O82" s="235">
        <v>5.6470588235294121</v>
      </c>
      <c r="P82" s="235">
        <v>138.35294117647058</v>
      </c>
      <c r="Q82" s="235">
        <v>0</v>
      </c>
      <c r="R82" s="235">
        <v>0</v>
      </c>
      <c r="S82" s="235">
        <v>0</v>
      </c>
      <c r="T82" s="235">
        <v>28.235294117647058</v>
      </c>
      <c r="U82" s="235">
        <v>272.94117647058823</v>
      </c>
      <c r="V82" s="235">
        <v>301.1764705882353</v>
      </c>
      <c r="W82" s="235">
        <v>160.94117647058823</v>
      </c>
      <c r="X82" s="235">
        <v>278.58823529411762</v>
      </c>
      <c r="Y82" s="235">
        <v>439.52941176470586</v>
      </c>
      <c r="Z82" s="200">
        <v>548.70588235294122</v>
      </c>
      <c r="AA82" s="235">
        <v>3.6705882352941175</v>
      </c>
      <c r="AB82" s="235">
        <v>1.411764705882353</v>
      </c>
      <c r="AC82" s="235">
        <v>5.0823529411764712</v>
      </c>
      <c r="AD82" s="235">
        <v>0</v>
      </c>
      <c r="AE82" s="235">
        <v>0</v>
      </c>
      <c r="AF82" s="235">
        <v>0</v>
      </c>
      <c r="AG82" s="235">
        <v>8.5647058823529409</v>
      </c>
      <c r="AH82" s="235">
        <v>3.2941176470588234</v>
      </c>
      <c r="AI82" s="235">
        <v>11.858823529411765</v>
      </c>
      <c r="AJ82" s="235">
        <v>0</v>
      </c>
      <c r="AK82" s="235">
        <v>5.6470588235294121</v>
      </c>
      <c r="AL82" s="235">
        <v>5.6470588235294121</v>
      </c>
      <c r="AM82" s="235">
        <v>8.5647058823529409</v>
      </c>
      <c r="AN82" s="235">
        <v>8.9411764705882355</v>
      </c>
      <c r="AO82" s="235">
        <v>17.505882352941178</v>
      </c>
      <c r="AP82" s="200">
        <v>22.588235294117649</v>
      </c>
      <c r="AQ82" s="141">
        <v>0</v>
      </c>
      <c r="AR82" s="200">
        <v>114.25882352941177</v>
      </c>
      <c r="AS82" s="200">
        <v>457.03529411764703</v>
      </c>
      <c r="AT82" s="66">
        <v>571.29411764705878</v>
      </c>
      <c r="AU82" s="235">
        <v>0</v>
      </c>
      <c r="AV82" s="235">
        <v>14.117647058823529</v>
      </c>
      <c r="AW82" s="75">
        <v>0</v>
      </c>
      <c r="AX82" s="235">
        <v>47.058823529411768</v>
      </c>
      <c r="AY82" s="66">
        <v>61.176470588235297</v>
      </c>
      <c r="AZ82" s="202">
        <v>0</v>
      </c>
      <c r="BA82" s="87">
        <v>0</v>
      </c>
      <c r="BB82" s="87">
        <v>0</v>
      </c>
      <c r="BC82" s="87">
        <v>0</v>
      </c>
      <c r="BD82" s="87">
        <v>0</v>
      </c>
      <c r="BE82" s="87">
        <v>0</v>
      </c>
      <c r="BF82" s="87">
        <v>560.94117647058829</v>
      </c>
      <c r="BG82" s="66">
        <v>560.94117647058829</v>
      </c>
      <c r="BH82" s="67">
        <v>1193.4117647058824</v>
      </c>
      <c r="BI82" s="67">
        <v>159942.88235294117</v>
      </c>
      <c r="FE82" s="39">
        <v>40253</v>
      </c>
      <c r="FF82" s="39">
        <v>95.058823529411768</v>
      </c>
      <c r="FG82" s="39">
        <v>132.70588235294119</v>
      </c>
      <c r="FH82" s="39">
        <v>227.76470588235296</v>
      </c>
      <c r="FI82" s="39">
        <v>0</v>
      </c>
      <c r="FJ82" s="39" t="e">
        <v>#REF!</v>
      </c>
      <c r="FK82" s="39" t="e">
        <v>#REF!</v>
      </c>
      <c r="FL82" s="39">
        <v>0</v>
      </c>
      <c r="FM82" s="39">
        <v>14.117647058823529</v>
      </c>
      <c r="FN82" s="39" t="e">
        <v>#REF!</v>
      </c>
      <c r="FO82" s="39">
        <v>47.058823529411768</v>
      </c>
      <c r="FP82" s="39" t="e">
        <v>#REF!</v>
      </c>
      <c r="FR82" s="39" t="e">
        <v>#REF!</v>
      </c>
    </row>
    <row r="83" spans="1:174" x14ac:dyDescent="0.25">
      <c r="A83" s="142">
        <v>0</v>
      </c>
      <c r="B83" s="68">
        <v>40254</v>
      </c>
      <c r="C83" s="198">
        <v>40254</v>
      </c>
      <c r="D83" s="69">
        <v>39526</v>
      </c>
      <c r="E83" s="70">
        <v>40254</v>
      </c>
      <c r="F83" s="71">
        <v>11</v>
      </c>
      <c r="G83" s="72"/>
      <c r="H83" s="82"/>
      <c r="I83" s="210"/>
      <c r="J83" s="210"/>
      <c r="K83" s="235">
        <v>124.23529411764706</v>
      </c>
      <c r="L83" s="235">
        <v>13.176470588235293</v>
      </c>
      <c r="M83" s="235">
        <v>137.41176470588235</v>
      </c>
      <c r="N83" s="235">
        <v>133.64705882352942</v>
      </c>
      <c r="O83" s="235">
        <v>7.5294117647058822</v>
      </c>
      <c r="P83" s="235">
        <v>141.1764705882353</v>
      </c>
      <c r="Q83" s="235">
        <v>6.5882352941176467</v>
      </c>
      <c r="R83" s="235">
        <v>0</v>
      </c>
      <c r="S83" s="235">
        <v>6.5882352941176467</v>
      </c>
      <c r="T83" s="235">
        <v>32.941176470588232</v>
      </c>
      <c r="U83" s="235">
        <v>225.88235294117646</v>
      </c>
      <c r="V83" s="235">
        <v>258.8235294117647</v>
      </c>
      <c r="W83" s="235">
        <v>173.1764705882353</v>
      </c>
      <c r="X83" s="235">
        <v>233.41176470588235</v>
      </c>
      <c r="Y83" s="235">
        <v>406.58823529411762</v>
      </c>
      <c r="Z83" s="200">
        <v>544</v>
      </c>
      <c r="AA83" s="235">
        <v>0.56470588235294117</v>
      </c>
      <c r="AB83" s="235">
        <v>0</v>
      </c>
      <c r="AC83" s="235">
        <v>0.56470588235294117</v>
      </c>
      <c r="AD83" s="235">
        <v>0</v>
      </c>
      <c r="AE83" s="235">
        <v>0</v>
      </c>
      <c r="AF83" s="235">
        <v>0</v>
      </c>
      <c r="AG83" s="235">
        <v>1.3176470588235294</v>
      </c>
      <c r="AH83" s="235">
        <v>0</v>
      </c>
      <c r="AI83" s="235">
        <v>1.3176470588235294</v>
      </c>
      <c r="AJ83" s="235">
        <v>3.7647058823529411</v>
      </c>
      <c r="AK83" s="235">
        <v>5.6470588235294121</v>
      </c>
      <c r="AL83" s="235">
        <v>9.4117647058823533</v>
      </c>
      <c r="AM83" s="235">
        <v>5.0823529411764712</v>
      </c>
      <c r="AN83" s="235">
        <v>5.6470588235294121</v>
      </c>
      <c r="AO83" s="235">
        <v>10.729411764705883</v>
      </c>
      <c r="AP83" s="200">
        <v>11.294117647058824</v>
      </c>
      <c r="AQ83" s="141">
        <v>0</v>
      </c>
      <c r="AR83" s="200">
        <v>137.97647058823529</v>
      </c>
      <c r="AS83" s="200">
        <v>417.31764705882352</v>
      </c>
      <c r="AT83" s="66">
        <v>555.29411764705878</v>
      </c>
      <c r="AU83" s="235">
        <v>0</v>
      </c>
      <c r="AV83" s="235">
        <v>14.117647058823529</v>
      </c>
      <c r="AW83" s="75">
        <v>0</v>
      </c>
      <c r="AX83" s="235">
        <v>141.1764705882353</v>
      </c>
      <c r="AY83" s="66">
        <v>155.29411764705884</v>
      </c>
      <c r="AZ83" s="202">
        <v>0</v>
      </c>
      <c r="BA83" s="87">
        <v>0</v>
      </c>
      <c r="BB83" s="87">
        <v>0</v>
      </c>
      <c r="BC83" s="87">
        <v>150.58823529411765</v>
      </c>
      <c r="BD83" s="87">
        <v>0</v>
      </c>
      <c r="BE83" s="87">
        <v>150.58823529411765</v>
      </c>
      <c r="BF83" s="87">
        <v>678.58823529411768</v>
      </c>
      <c r="BG83" s="66">
        <v>829.17647058823536</v>
      </c>
      <c r="BH83" s="67">
        <v>1539.7647058823529</v>
      </c>
      <c r="BI83" s="67">
        <v>161482.64705882352</v>
      </c>
      <c r="FE83" s="39">
        <v>40254</v>
      </c>
      <c r="FF83" s="39">
        <v>124.23529411764706</v>
      </c>
      <c r="FG83" s="39">
        <v>133.64705882352942</v>
      </c>
      <c r="FH83" s="39">
        <v>257.88235294117646</v>
      </c>
      <c r="FI83" s="39">
        <v>0</v>
      </c>
      <c r="FJ83" s="39" t="e">
        <v>#REF!</v>
      </c>
      <c r="FK83" s="39" t="e">
        <v>#REF!</v>
      </c>
      <c r="FL83" s="39">
        <v>0</v>
      </c>
      <c r="FM83" s="39">
        <v>14.117647058823529</v>
      </c>
      <c r="FN83" s="39" t="e">
        <v>#REF!</v>
      </c>
      <c r="FO83" s="39">
        <v>141.1764705882353</v>
      </c>
      <c r="FP83" s="39" t="e">
        <v>#REF!</v>
      </c>
      <c r="FR83" s="39" t="e">
        <v>#REF!</v>
      </c>
    </row>
    <row r="84" spans="1:174" x14ac:dyDescent="0.25">
      <c r="A84" s="142">
        <v>0</v>
      </c>
      <c r="B84" s="68">
        <v>40255</v>
      </c>
      <c r="C84" s="198">
        <v>40255</v>
      </c>
      <c r="D84" s="69">
        <v>39527</v>
      </c>
      <c r="E84" s="70">
        <v>40255</v>
      </c>
      <c r="F84" s="71">
        <v>11</v>
      </c>
      <c r="G84" s="72"/>
      <c r="H84" s="82"/>
      <c r="I84" s="210"/>
      <c r="J84" s="210"/>
      <c r="K84" s="235">
        <v>172.23529411764707</v>
      </c>
      <c r="L84" s="235">
        <v>15.058823529411764</v>
      </c>
      <c r="M84" s="235">
        <v>187.29411764705884</v>
      </c>
      <c r="N84" s="235">
        <v>144</v>
      </c>
      <c r="O84" s="235">
        <v>10.352941176470589</v>
      </c>
      <c r="P84" s="235">
        <v>154.35294117647058</v>
      </c>
      <c r="Q84" s="235">
        <v>18.823529411764707</v>
      </c>
      <c r="R84" s="235">
        <v>0</v>
      </c>
      <c r="S84" s="235">
        <v>18.823529411764707</v>
      </c>
      <c r="T84" s="235">
        <v>23.529411764705884</v>
      </c>
      <c r="U84" s="235">
        <v>235.29411764705881</v>
      </c>
      <c r="V84" s="235">
        <v>258.8235294117647</v>
      </c>
      <c r="W84" s="235">
        <v>186.35294117647058</v>
      </c>
      <c r="X84" s="235">
        <v>245.64705882352942</v>
      </c>
      <c r="Y84" s="235">
        <v>432</v>
      </c>
      <c r="Z84" s="200">
        <v>619.29411764705878</v>
      </c>
      <c r="AA84" s="235">
        <v>4.2352941176470589</v>
      </c>
      <c r="AB84" s="235">
        <v>3.1058823529411761</v>
      </c>
      <c r="AC84" s="235">
        <v>7.341176470588235</v>
      </c>
      <c r="AD84" s="235">
        <v>0</v>
      </c>
      <c r="AE84" s="235">
        <v>0</v>
      </c>
      <c r="AF84" s="235">
        <v>0</v>
      </c>
      <c r="AG84" s="235">
        <v>9.882352941176471</v>
      </c>
      <c r="AH84" s="235">
        <v>7.2470588235294118</v>
      </c>
      <c r="AI84" s="235">
        <v>17.129411764705882</v>
      </c>
      <c r="AJ84" s="235">
        <v>4.7058823529411766</v>
      </c>
      <c r="AK84" s="235">
        <v>28.235294117647058</v>
      </c>
      <c r="AL84" s="235">
        <v>32.941176470588232</v>
      </c>
      <c r="AM84" s="235">
        <v>14.588235294117647</v>
      </c>
      <c r="AN84" s="235">
        <v>35.482352941176472</v>
      </c>
      <c r="AO84" s="235">
        <v>50.070588235294117</v>
      </c>
      <c r="AP84" s="200">
        <v>57.411764705882355</v>
      </c>
      <c r="AQ84" s="141">
        <v>0</v>
      </c>
      <c r="AR84" s="200">
        <v>194.63529411764708</v>
      </c>
      <c r="AS84" s="200">
        <v>482.07058823529411</v>
      </c>
      <c r="AT84" s="66">
        <v>676.70588235294122</v>
      </c>
      <c r="AU84" s="235">
        <v>0</v>
      </c>
      <c r="AV84" s="235">
        <v>14.117647058823529</v>
      </c>
      <c r="AW84" s="75">
        <v>0</v>
      </c>
      <c r="AX84" s="235">
        <v>37.647058823529413</v>
      </c>
      <c r="AY84" s="66">
        <v>51.764705882352942</v>
      </c>
      <c r="AZ84" s="202">
        <v>0</v>
      </c>
      <c r="BA84" s="87">
        <v>0</v>
      </c>
      <c r="BB84" s="87">
        <v>0</v>
      </c>
      <c r="BC84" s="87">
        <v>0</v>
      </c>
      <c r="BD84" s="87">
        <v>0</v>
      </c>
      <c r="BE84" s="87">
        <v>0</v>
      </c>
      <c r="BF84" s="87">
        <v>457.41176470588238</v>
      </c>
      <c r="BG84" s="66">
        <v>457.41176470588238</v>
      </c>
      <c r="BH84" s="67">
        <v>1185.8823529411766</v>
      </c>
      <c r="BI84" s="67">
        <v>162668.5294117647</v>
      </c>
      <c r="FE84" s="39">
        <v>40255</v>
      </c>
      <c r="FF84" s="39">
        <v>172.23529411764707</v>
      </c>
      <c r="FG84" s="39">
        <v>144</v>
      </c>
      <c r="FH84" s="39">
        <v>316.23529411764707</v>
      </c>
      <c r="FI84" s="39">
        <v>0</v>
      </c>
      <c r="FJ84" s="39" t="e">
        <v>#REF!</v>
      </c>
      <c r="FK84" s="39" t="e">
        <v>#REF!</v>
      </c>
      <c r="FL84" s="39">
        <v>0</v>
      </c>
      <c r="FM84" s="39">
        <v>14.117647058823529</v>
      </c>
      <c r="FN84" s="39" t="e">
        <v>#REF!</v>
      </c>
      <c r="FO84" s="39">
        <v>37.647058823529413</v>
      </c>
      <c r="FP84" s="39" t="e">
        <v>#REF!</v>
      </c>
      <c r="FR84" s="39" t="e">
        <v>#REF!</v>
      </c>
    </row>
    <row r="85" spans="1:174" x14ac:dyDescent="0.25">
      <c r="A85" s="142">
        <v>0</v>
      </c>
      <c r="B85" s="68">
        <v>40256</v>
      </c>
      <c r="C85" s="198">
        <v>40256</v>
      </c>
      <c r="D85" s="69">
        <v>39528</v>
      </c>
      <c r="E85" s="70">
        <v>40256</v>
      </c>
      <c r="F85" s="71">
        <v>11</v>
      </c>
      <c r="G85" s="72"/>
      <c r="H85" s="82"/>
      <c r="I85" s="210"/>
      <c r="J85" s="210"/>
      <c r="K85" s="235">
        <v>122.35294117647059</v>
      </c>
      <c r="L85" s="235">
        <v>18.823529411764707</v>
      </c>
      <c r="M85" s="235">
        <v>141.1764705882353</v>
      </c>
      <c r="N85" s="235">
        <v>153.41176470588235</v>
      </c>
      <c r="O85" s="235">
        <v>13.176470588235293</v>
      </c>
      <c r="P85" s="235">
        <v>166.58823529411765</v>
      </c>
      <c r="Q85" s="235">
        <v>12.235294117647058</v>
      </c>
      <c r="R85" s="235">
        <v>0</v>
      </c>
      <c r="S85" s="235">
        <v>12.235294117647058</v>
      </c>
      <c r="T85" s="235">
        <v>28.235294117647058</v>
      </c>
      <c r="U85" s="235">
        <v>254.11764705882354</v>
      </c>
      <c r="V85" s="235">
        <v>282.35294117647061</v>
      </c>
      <c r="W85" s="235">
        <v>193.88235294117646</v>
      </c>
      <c r="X85" s="235">
        <v>267.29411764705884</v>
      </c>
      <c r="Y85" s="235">
        <v>461.1764705882353</v>
      </c>
      <c r="Z85" s="200">
        <v>602.35294117647061</v>
      </c>
      <c r="AA85" s="235">
        <v>9.882352941176471</v>
      </c>
      <c r="AB85" s="235">
        <v>6.2117647058823522</v>
      </c>
      <c r="AC85" s="235">
        <v>16.094117647058823</v>
      </c>
      <c r="AD85" s="235">
        <v>8.4705882352941178</v>
      </c>
      <c r="AE85" s="235">
        <v>0</v>
      </c>
      <c r="AF85" s="235">
        <v>8.4705882352941178</v>
      </c>
      <c r="AG85" s="235">
        <v>23.058823529411764</v>
      </c>
      <c r="AH85" s="235">
        <v>14.494117647058824</v>
      </c>
      <c r="AI85" s="235">
        <v>37.55294117647059</v>
      </c>
      <c r="AJ85" s="235">
        <v>6.5882352941176467</v>
      </c>
      <c r="AK85" s="235">
        <v>61.176470588235297</v>
      </c>
      <c r="AL85" s="235">
        <v>67.764705882352942</v>
      </c>
      <c r="AM85" s="235">
        <v>38.117647058823529</v>
      </c>
      <c r="AN85" s="235">
        <v>75.670588235294119</v>
      </c>
      <c r="AO85" s="235">
        <v>113.78823529411765</v>
      </c>
      <c r="AP85" s="200">
        <v>129.88235294117646</v>
      </c>
      <c r="AQ85" s="141">
        <v>0</v>
      </c>
      <c r="AR85" s="200">
        <v>157.27058823529413</v>
      </c>
      <c r="AS85" s="200">
        <v>574.96470588235297</v>
      </c>
      <c r="AT85" s="66">
        <v>732.23529411764707</v>
      </c>
      <c r="AU85" s="235">
        <v>0</v>
      </c>
      <c r="AV85" s="235">
        <v>14.117647058823529</v>
      </c>
      <c r="AW85" s="75">
        <v>0</v>
      </c>
      <c r="AX85" s="235">
        <v>18.823529411764707</v>
      </c>
      <c r="AY85" s="66">
        <v>32.941176470588232</v>
      </c>
      <c r="AZ85" s="202">
        <v>0</v>
      </c>
      <c r="BA85" s="87">
        <v>0</v>
      </c>
      <c r="BB85" s="87">
        <v>0</v>
      </c>
      <c r="BC85" s="87">
        <v>0</v>
      </c>
      <c r="BD85" s="87">
        <v>0</v>
      </c>
      <c r="BE85" s="87">
        <v>0</v>
      </c>
      <c r="BF85" s="87">
        <v>1237.6470588235295</v>
      </c>
      <c r="BG85" s="66">
        <v>1237.6470588235295</v>
      </c>
      <c r="BH85" s="67">
        <v>2002.8235294117649</v>
      </c>
      <c r="BI85" s="67">
        <v>164671.35294117648</v>
      </c>
      <c r="FE85" s="39">
        <v>40256</v>
      </c>
      <c r="FF85" s="39">
        <v>122.35294117647059</v>
      </c>
      <c r="FG85" s="39">
        <v>153.41176470588235</v>
      </c>
      <c r="FH85" s="39">
        <v>275.76470588235293</v>
      </c>
      <c r="FI85" s="39">
        <v>0</v>
      </c>
      <c r="FJ85" s="39" t="e">
        <v>#REF!</v>
      </c>
      <c r="FK85" s="39" t="e">
        <v>#REF!</v>
      </c>
      <c r="FL85" s="39">
        <v>0</v>
      </c>
      <c r="FM85" s="39">
        <v>14.117647058823529</v>
      </c>
      <c r="FN85" s="39" t="e">
        <v>#REF!</v>
      </c>
      <c r="FO85" s="39">
        <v>18.823529411764707</v>
      </c>
      <c r="FP85" s="39" t="e">
        <v>#REF!</v>
      </c>
      <c r="FR85" s="39" t="e">
        <v>#REF!</v>
      </c>
    </row>
    <row r="86" spans="1:174" s="40" customFormat="1" x14ac:dyDescent="0.25">
      <c r="A86" s="142">
        <v>0</v>
      </c>
      <c r="B86" s="85">
        <v>40257</v>
      </c>
      <c r="C86" s="203">
        <v>40257</v>
      </c>
      <c r="D86" s="76">
        <v>39529</v>
      </c>
      <c r="E86" s="77">
        <v>40257</v>
      </c>
      <c r="F86" s="78">
        <v>11</v>
      </c>
      <c r="G86" s="79"/>
      <c r="H86" s="80"/>
      <c r="I86" s="212"/>
      <c r="J86" s="212"/>
      <c r="K86" s="231">
        <v>1549.1764705882354</v>
      </c>
      <c r="L86" s="231">
        <v>470.58823529411762</v>
      </c>
      <c r="M86" s="231">
        <v>2019.7647058823529</v>
      </c>
      <c r="N86" s="231">
        <v>1238.5882352941176</v>
      </c>
      <c r="O86" s="231">
        <v>56.470588235294116</v>
      </c>
      <c r="P86" s="231">
        <v>1295.0588235294117</v>
      </c>
      <c r="Q86" s="231">
        <v>18.823529411764707</v>
      </c>
      <c r="R86" s="231">
        <v>0</v>
      </c>
      <c r="S86" s="231">
        <v>18.823529411764707</v>
      </c>
      <c r="T86" s="231">
        <v>188.23529411764707</v>
      </c>
      <c r="U86" s="231">
        <v>1505.8823529411766</v>
      </c>
      <c r="V86" s="231">
        <v>1694.1176470588234</v>
      </c>
      <c r="W86" s="231">
        <v>1445.6470588235295</v>
      </c>
      <c r="X86" s="231">
        <v>1562.3529411764705</v>
      </c>
      <c r="Y86" s="231">
        <v>3008</v>
      </c>
      <c r="Z86" s="200">
        <v>5027.7647058823532</v>
      </c>
      <c r="AA86" s="231">
        <v>10.164705882352942</v>
      </c>
      <c r="AB86" s="231">
        <v>5.0823529411764712</v>
      </c>
      <c r="AC86" s="231">
        <v>15.247058823529414</v>
      </c>
      <c r="AD86" s="231">
        <v>8.4705882352941178</v>
      </c>
      <c r="AE86" s="231">
        <v>0</v>
      </c>
      <c r="AF86" s="231">
        <v>8.4705882352941178</v>
      </c>
      <c r="AG86" s="231">
        <v>23.71764705882353</v>
      </c>
      <c r="AH86" s="231">
        <v>11.858823529411765</v>
      </c>
      <c r="AI86" s="231">
        <v>35.576470588235289</v>
      </c>
      <c r="AJ86" s="231">
        <v>1.8823529411764706</v>
      </c>
      <c r="AK86" s="231">
        <v>75.294117647058826</v>
      </c>
      <c r="AL86" s="231">
        <v>77.17647058823529</v>
      </c>
      <c r="AM86" s="231">
        <v>34.070588235294117</v>
      </c>
      <c r="AN86" s="231">
        <v>87.152941176470577</v>
      </c>
      <c r="AO86" s="231">
        <v>121.22352941176472</v>
      </c>
      <c r="AP86" s="200">
        <v>136.47058823529412</v>
      </c>
      <c r="AQ86" s="232">
        <v>0</v>
      </c>
      <c r="AR86" s="200">
        <v>2035.0117647058823</v>
      </c>
      <c r="AS86" s="200">
        <v>3129.2235294117645</v>
      </c>
      <c r="AT86" s="66">
        <v>5164.2352941176468</v>
      </c>
      <c r="AU86" s="231">
        <v>37.647058823529413</v>
      </c>
      <c r="AV86" s="231">
        <v>37.647058823529413</v>
      </c>
      <c r="AW86" s="75">
        <v>169.41176470588238</v>
      </c>
      <c r="AX86" s="452">
        <v>841</v>
      </c>
      <c r="AY86" s="66">
        <v>1085.7058823529412</v>
      </c>
      <c r="AZ86" s="208">
        <v>0</v>
      </c>
      <c r="BA86" s="86">
        <v>270.11764705882354</v>
      </c>
      <c r="BB86" s="86">
        <v>988.23529411764707</v>
      </c>
      <c r="BC86" s="86">
        <v>270.11764705882354</v>
      </c>
      <c r="BD86" s="86">
        <v>988.23529411764707</v>
      </c>
      <c r="BE86" s="86">
        <v>1258.3529411764705</v>
      </c>
      <c r="BF86" s="86">
        <v>969.41176470588232</v>
      </c>
      <c r="BG86" s="66">
        <v>2227.7647058823527</v>
      </c>
      <c r="BH86" s="67">
        <v>8477.7058823529405</v>
      </c>
      <c r="BI86" s="67">
        <v>173149.05882352943</v>
      </c>
      <c r="FE86" s="40">
        <v>40257</v>
      </c>
      <c r="FF86" s="40">
        <v>1549.1764705882354</v>
      </c>
      <c r="FG86" s="40">
        <v>1238.5882352941176</v>
      </c>
      <c r="FH86" s="40">
        <v>2787.7647058823532</v>
      </c>
      <c r="FI86" s="40">
        <v>270.11764705882354</v>
      </c>
      <c r="FJ86" s="40" t="e">
        <v>#REF!</v>
      </c>
      <c r="FK86" s="40" t="e">
        <v>#REF!</v>
      </c>
      <c r="FL86" s="40">
        <v>37.647058823529413</v>
      </c>
      <c r="FM86" s="40">
        <v>37.647058823529413</v>
      </c>
      <c r="FN86" s="40" t="e">
        <v>#REF!</v>
      </c>
      <c r="FO86" s="40">
        <v>841</v>
      </c>
      <c r="FP86" s="40" t="e">
        <v>#REF!</v>
      </c>
      <c r="FR86" s="40" t="e">
        <v>#REF!</v>
      </c>
    </row>
    <row r="87" spans="1:174" s="40" customFormat="1" x14ac:dyDescent="0.25">
      <c r="A87" s="142">
        <v>0</v>
      </c>
      <c r="B87" s="85">
        <v>40258</v>
      </c>
      <c r="C87" s="203">
        <v>40258</v>
      </c>
      <c r="D87" s="76">
        <v>39530</v>
      </c>
      <c r="E87" s="77">
        <v>40258</v>
      </c>
      <c r="F87" s="78">
        <v>11</v>
      </c>
      <c r="G87" s="79"/>
      <c r="H87" s="80"/>
      <c r="I87" s="212"/>
      <c r="J87" s="212"/>
      <c r="K87" s="231">
        <v>1077.6470588235295</v>
      </c>
      <c r="L87" s="231">
        <v>75.294117647058826</v>
      </c>
      <c r="M87" s="231">
        <v>1152.9411764705883</v>
      </c>
      <c r="N87" s="231">
        <v>634.35294117647061</v>
      </c>
      <c r="O87" s="231">
        <v>43.294117647058826</v>
      </c>
      <c r="P87" s="231">
        <v>677.64705882352939</v>
      </c>
      <c r="Q87" s="231">
        <v>3.7647058823529411</v>
      </c>
      <c r="R87" s="231">
        <v>0</v>
      </c>
      <c r="S87" s="231">
        <v>3.7647058823529411</v>
      </c>
      <c r="T87" s="231">
        <v>39.529411764705884</v>
      </c>
      <c r="U87" s="231">
        <v>1336.4705882352941</v>
      </c>
      <c r="V87" s="231">
        <v>1376</v>
      </c>
      <c r="W87" s="231">
        <v>677.64705882352939</v>
      </c>
      <c r="X87" s="231">
        <v>1379.7647058823529</v>
      </c>
      <c r="Y87" s="231">
        <v>2057.4117647058824</v>
      </c>
      <c r="Z87" s="200">
        <v>3210.3529411764707</v>
      </c>
      <c r="AA87" s="231">
        <v>2.8235294117647061</v>
      </c>
      <c r="AB87" s="231">
        <v>2.2588235294117647</v>
      </c>
      <c r="AC87" s="231">
        <v>5.0823529411764712</v>
      </c>
      <c r="AD87" s="231">
        <v>0</v>
      </c>
      <c r="AE87" s="231">
        <v>0</v>
      </c>
      <c r="AF87" s="231">
        <v>0</v>
      </c>
      <c r="AG87" s="231">
        <v>6.5882352941176467</v>
      </c>
      <c r="AH87" s="231">
        <v>5.2705882352941176</v>
      </c>
      <c r="AI87" s="231">
        <v>11.858823529411765</v>
      </c>
      <c r="AJ87" s="231">
        <v>0</v>
      </c>
      <c r="AK87" s="231">
        <v>28.235294117647058</v>
      </c>
      <c r="AL87" s="231">
        <v>28.235294117647058</v>
      </c>
      <c r="AM87" s="231">
        <v>6.5882352941176467</v>
      </c>
      <c r="AN87" s="231">
        <v>33.505882352941178</v>
      </c>
      <c r="AO87" s="231">
        <v>40.094117647058823</v>
      </c>
      <c r="AP87" s="200">
        <v>45.176470588235297</v>
      </c>
      <c r="AQ87" s="232">
        <v>0</v>
      </c>
      <c r="AR87" s="200">
        <v>1158.0235294117647</v>
      </c>
      <c r="AS87" s="200">
        <v>2097.5058823529412</v>
      </c>
      <c r="AT87" s="66">
        <v>3255.5294117647059</v>
      </c>
      <c r="AU87" s="231">
        <v>23.529411764705884</v>
      </c>
      <c r="AV87" s="231">
        <v>56.470588235294116</v>
      </c>
      <c r="AW87" s="75">
        <v>0</v>
      </c>
      <c r="AX87" s="231">
        <v>160</v>
      </c>
      <c r="AY87" s="66">
        <v>240</v>
      </c>
      <c r="AZ87" s="208">
        <v>0</v>
      </c>
      <c r="BA87" s="86">
        <v>112.94117647058823</v>
      </c>
      <c r="BB87" s="86">
        <v>969.41176470588232</v>
      </c>
      <c r="BC87" s="86">
        <v>112.94117647058823</v>
      </c>
      <c r="BD87" s="86">
        <v>969.41176470588232</v>
      </c>
      <c r="BE87" s="86">
        <v>1082.3529411764705</v>
      </c>
      <c r="BF87" s="86">
        <v>191.05882352941177</v>
      </c>
      <c r="BG87" s="66">
        <v>1273.4117647058822</v>
      </c>
      <c r="BH87" s="67">
        <v>4768.9411764705883</v>
      </c>
      <c r="BI87" s="67">
        <v>177918</v>
      </c>
      <c r="FE87" s="40">
        <v>40258</v>
      </c>
      <c r="FF87" s="40">
        <v>1077.6470588235295</v>
      </c>
      <c r="FG87" s="40">
        <v>634.35294117647061</v>
      </c>
      <c r="FH87" s="40">
        <v>1712</v>
      </c>
      <c r="FI87" s="40">
        <v>112.94117647058823</v>
      </c>
      <c r="FJ87" s="40" t="e">
        <v>#REF!</v>
      </c>
      <c r="FK87" s="40" t="e">
        <v>#REF!</v>
      </c>
      <c r="FL87" s="40">
        <v>23.529411764705884</v>
      </c>
      <c r="FM87" s="40">
        <v>56.470588235294116</v>
      </c>
      <c r="FN87" s="40" t="e">
        <v>#REF!</v>
      </c>
      <c r="FO87" s="40">
        <v>160</v>
      </c>
      <c r="FP87" s="40" t="e">
        <v>#REF!</v>
      </c>
      <c r="FR87" s="40" t="e">
        <v>#REF!</v>
      </c>
    </row>
    <row r="88" spans="1:174" x14ac:dyDescent="0.25">
      <c r="A88" s="142">
        <v>0</v>
      </c>
      <c r="B88" s="68">
        <v>40259</v>
      </c>
      <c r="C88" s="198">
        <v>40259</v>
      </c>
      <c r="D88" s="69">
        <v>39531</v>
      </c>
      <c r="E88" s="70">
        <v>40259</v>
      </c>
      <c r="F88" s="71">
        <v>12</v>
      </c>
      <c r="G88" s="72"/>
      <c r="H88" s="82"/>
      <c r="I88" s="210"/>
      <c r="J88" s="210"/>
      <c r="K88" s="235">
        <v>197.64705882352942</v>
      </c>
      <c r="L88" s="235">
        <v>32.941176470588232</v>
      </c>
      <c r="M88" s="235">
        <v>230.58823529411765</v>
      </c>
      <c r="N88" s="235">
        <v>174.11764705882354</v>
      </c>
      <c r="O88" s="235">
        <v>6.5882352941176467</v>
      </c>
      <c r="P88" s="235">
        <v>180.70588235294119</v>
      </c>
      <c r="Q88" s="235">
        <v>3.7647058823529411</v>
      </c>
      <c r="R88" s="235">
        <v>0</v>
      </c>
      <c r="S88" s="235">
        <v>3.7647058823529411</v>
      </c>
      <c r="T88" s="235">
        <v>17.882352941176471</v>
      </c>
      <c r="U88" s="235">
        <v>254.11764705882354</v>
      </c>
      <c r="V88" s="235">
        <v>272</v>
      </c>
      <c r="W88" s="235">
        <v>195.76470588235293</v>
      </c>
      <c r="X88" s="235">
        <v>260.70588235294116</v>
      </c>
      <c r="Y88" s="235">
        <v>456.47058823529414</v>
      </c>
      <c r="Z88" s="200">
        <v>687.05882352941171</v>
      </c>
      <c r="AA88" s="235">
        <v>4.5176470588235293</v>
      </c>
      <c r="AB88" s="235">
        <v>2.2588235294117647</v>
      </c>
      <c r="AC88" s="235">
        <v>6.7764705882352931</v>
      </c>
      <c r="AD88" s="235">
        <v>0</v>
      </c>
      <c r="AE88" s="235">
        <v>0</v>
      </c>
      <c r="AF88" s="235">
        <v>0</v>
      </c>
      <c r="AG88" s="235">
        <v>10.541176470588235</v>
      </c>
      <c r="AH88" s="235">
        <v>5.2705882352941176</v>
      </c>
      <c r="AI88" s="235">
        <v>15.81176470588235</v>
      </c>
      <c r="AJ88" s="235">
        <v>0</v>
      </c>
      <c r="AK88" s="235">
        <v>7.5294117647058822</v>
      </c>
      <c r="AL88" s="235">
        <v>7.5294117647058822</v>
      </c>
      <c r="AM88" s="235">
        <v>10.541176470588235</v>
      </c>
      <c r="AN88" s="235">
        <v>12.8</v>
      </c>
      <c r="AO88" s="235">
        <v>23.341176470588234</v>
      </c>
      <c r="AP88" s="200">
        <v>30.117647058823525</v>
      </c>
      <c r="AQ88" s="141">
        <v>0</v>
      </c>
      <c r="AR88" s="200">
        <v>237.36470588235295</v>
      </c>
      <c r="AS88" s="200">
        <v>479.81176470588235</v>
      </c>
      <c r="AT88" s="66">
        <v>717.17647058823536</v>
      </c>
      <c r="AU88" s="235">
        <v>18.823529411764707</v>
      </c>
      <c r="AV88" s="235">
        <v>9.4117647058823533</v>
      </c>
      <c r="AW88" s="75">
        <v>0</v>
      </c>
      <c r="AX88" s="235">
        <v>47.058823529411768</v>
      </c>
      <c r="AY88" s="66">
        <v>75.294117647058826</v>
      </c>
      <c r="AZ88" s="202">
        <v>0</v>
      </c>
      <c r="BA88" s="87">
        <v>0</v>
      </c>
      <c r="BB88" s="87">
        <v>0</v>
      </c>
      <c r="BC88" s="87">
        <v>0</v>
      </c>
      <c r="BD88" s="87">
        <v>0</v>
      </c>
      <c r="BE88" s="87">
        <v>0</v>
      </c>
      <c r="BF88" s="87">
        <v>288.94117647058823</v>
      </c>
      <c r="BG88" s="66">
        <v>288.94117647058823</v>
      </c>
      <c r="BH88" s="67">
        <v>1081.4117647058824</v>
      </c>
      <c r="BI88" s="67">
        <v>178999.4117647059</v>
      </c>
      <c r="FE88" s="39">
        <v>40259</v>
      </c>
      <c r="FF88" s="39">
        <v>197.64705882352942</v>
      </c>
      <c r="FG88" s="39">
        <v>174.11764705882354</v>
      </c>
      <c r="FH88" s="39">
        <v>371.76470588235293</v>
      </c>
      <c r="FI88" s="39">
        <v>0</v>
      </c>
      <c r="FJ88" s="39" t="e">
        <v>#REF!</v>
      </c>
      <c r="FK88" s="39" t="e">
        <v>#REF!</v>
      </c>
      <c r="FL88" s="39">
        <v>18.823529411764707</v>
      </c>
      <c r="FM88" s="39">
        <v>9.4117647058823533</v>
      </c>
      <c r="FN88" s="39" t="e">
        <v>#REF!</v>
      </c>
      <c r="FO88" s="39">
        <v>47.058823529411768</v>
      </c>
      <c r="FP88" s="39" t="e">
        <v>#REF!</v>
      </c>
      <c r="FR88" s="39" t="e">
        <v>#REF!</v>
      </c>
    </row>
    <row r="89" spans="1:174" x14ac:dyDescent="0.25">
      <c r="A89" s="142">
        <v>0</v>
      </c>
      <c r="B89" s="68">
        <v>40260</v>
      </c>
      <c r="C89" s="198">
        <v>40260</v>
      </c>
      <c r="D89" s="69">
        <v>39532</v>
      </c>
      <c r="E89" s="70">
        <v>40260</v>
      </c>
      <c r="F89" s="71">
        <v>12</v>
      </c>
      <c r="G89" s="72"/>
      <c r="H89" s="82"/>
      <c r="I89" s="210"/>
      <c r="J89" s="210"/>
      <c r="K89" s="235">
        <v>164.70588235294119</v>
      </c>
      <c r="L89" s="235">
        <v>37.647058823529413</v>
      </c>
      <c r="M89" s="235">
        <v>202.35294117647061</v>
      </c>
      <c r="N89" s="235">
        <v>160.94117647058823</v>
      </c>
      <c r="O89" s="235">
        <v>4.7058823529411766</v>
      </c>
      <c r="P89" s="235">
        <v>165.64705882352942</v>
      </c>
      <c r="Q89" s="235">
        <v>0</v>
      </c>
      <c r="R89" s="235">
        <v>0</v>
      </c>
      <c r="S89" s="235">
        <v>0</v>
      </c>
      <c r="T89" s="235">
        <v>7.5294117647058822</v>
      </c>
      <c r="U89" s="235">
        <v>287.05882352941177</v>
      </c>
      <c r="V89" s="235">
        <v>294.58823529411762</v>
      </c>
      <c r="W89" s="235">
        <v>168.47058823529412</v>
      </c>
      <c r="X89" s="235">
        <v>291.76470588235293</v>
      </c>
      <c r="Y89" s="235">
        <v>460.23529411764707</v>
      </c>
      <c r="Z89" s="200">
        <v>662.58823529411768</v>
      </c>
      <c r="AA89" s="235">
        <v>3.6705882352941175</v>
      </c>
      <c r="AB89" s="235">
        <v>2.2588235294117647</v>
      </c>
      <c r="AC89" s="235">
        <v>5.9294117647058826</v>
      </c>
      <c r="AD89" s="235">
        <v>0</v>
      </c>
      <c r="AE89" s="235">
        <v>0</v>
      </c>
      <c r="AF89" s="235">
        <v>0</v>
      </c>
      <c r="AG89" s="235">
        <v>8.5647058823529409</v>
      </c>
      <c r="AH89" s="235">
        <v>5.2705882352941176</v>
      </c>
      <c r="AI89" s="235">
        <v>13.835294117647058</v>
      </c>
      <c r="AJ89" s="235">
        <v>0</v>
      </c>
      <c r="AK89" s="235">
        <v>8.4705882352941178</v>
      </c>
      <c r="AL89" s="235">
        <v>8.4705882352941178</v>
      </c>
      <c r="AM89" s="235">
        <v>8.5647058823529409</v>
      </c>
      <c r="AN89" s="235">
        <v>13.741176470588234</v>
      </c>
      <c r="AO89" s="235">
        <v>22.305882352941175</v>
      </c>
      <c r="AP89" s="200">
        <v>28.235294117647058</v>
      </c>
      <c r="AQ89" s="141">
        <v>0</v>
      </c>
      <c r="AR89" s="200">
        <v>208.2823529411765</v>
      </c>
      <c r="AS89" s="200">
        <v>482.54117647058825</v>
      </c>
      <c r="AT89" s="66">
        <v>690.82352941176475</v>
      </c>
      <c r="AU89" s="235">
        <v>18.823529411764707</v>
      </c>
      <c r="AV89" s="235">
        <v>9.4117647058823533</v>
      </c>
      <c r="AW89" s="75">
        <v>0</v>
      </c>
      <c r="AX89" s="235">
        <v>28.235294117647058</v>
      </c>
      <c r="AY89" s="66">
        <v>56.470588235294116</v>
      </c>
      <c r="AZ89" s="202">
        <v>0</v>
      </c>
      <c r="BA89" s="87">
        <v>0</v>
      </c>
      <c r="BB89" s="87">
        <v>51.764705882352942</v>
      </c>
      <c r="BC89" s="87">
        <v>0</v>
      </c>
      <c r="BD89" s="87">
        <v>51.764705882352942</v>
      </c>
      <c r="BE89" s="87">
        <v>51.764705882352942</v>
      </c>
      <c r="BF89" s="87">
        <v>856.47058823529414</v>
      </c>
      <c r="BG89" s="66">
        <v>908.23529411764707</v>
      </c>
      <c r="BH89" s="67">
        <v>1655.5294117647059</v>
      </c>
      <c r="BI89" s="67">
        <v>180654.9411764706</v>
      </c>
      <c r="FE89" s="39">
        <v>40260</v>
      </c>
      <c r="FF89" s="39">
        <v>164.70588235294119</v>
      </c>
      <c r="FG89" s="39">
        <v>160.94117647058823</v>
      </c>
      <c r="FH89" s="39">
        <v>325.64705882352939</v>
      </c>
      <c r="FI89" s="39">
        <v>0</v>
      </c>
      <c r="FJ89" s="39" t="e">
        <v>#REF!</v>
      </c>
      <c r="FK89" s="39" t="e">
        <v>#REF!</v>
      </c>
      <c r="FL89" s="39">
        <v>18.823529411764707</v>
      </c>
      <c r="FM89" s="39">
        <v>9.4117647058823533</v>
      </c>
      <c r="FN89" s="39" t="e">
        <v>#REF!</v>
      </c>
      <c r="FO89" s="39">
        <v>28.235294117647058</v>
      </c>
      <c r="FP89" s="39" t="e">
        <v>#REF!</v>
      </c>
      <c r="FR89" s="39" t="e">
        <v>#REF!</v>
      </c>
    </row>
    <row r="90" spans="1:174" x14ac:dyDescent="0.25">
      <c r="A90" s="142">
        <v>0</v>
      </c>
      <c r="B90" s="68">
        <v>40261</v>
      </c>
      <c r="C90" s="198">
        <v>40261</v>
      </c>
      <c r="D90" s="69">
        <v>39533</v>
      </c>
      <c r="E90" s="70">
        <v>40261</v>
      </c>
      <c r="F90" s="71">
        <v>12</v>
      </c>
      <c r="G90" s="72"/>
      <c r="H90" s="82"/>
      <c r="I90" s="210"/>
      <c r="J90" s="210"/>
      <c r="K90" s="235">
        <v>155.29411764705881</v>
      </c>
      <c r="L90" s="235">
        <v>32.941176470588232</v>
      </c>
      <c r="M90" s="235">
        <v>188.23529411764704</v>
      </c>
      <c r="N90" s="235">
        <v>142.11764705882354</v>
      </c>
      <c r="O90" s="235">
        <v>6.5882352941176467</v>
      </c>
      <c r="P90" s="235">
        <v>148.70588235294119</v>
      </c>
      <c r="Q90" s="235">
        <v>0</v>
      </c>
      <c r="R90" s="235">
        <v>0</v>
      </c>
      <c r="S90" s="235">
        <v>0</v>
      </c>
      <c r="T90" s="235">
        <v>7.5294117647058822</v>
      </c>
      <c r="U90" s="235">
        <v>288.94117647058823</v>
      </c>
      <c r="V90" s="235">
        <v>296.47058823529414</v>
      </c>
      <c r="W90" s="235">
        <v>149.64705882352942</v>
      </c>
      <c r="X90" s="235">
        <v>295.52941176470586</v>
      </c>
      <c r="Y90" s="235">
        <v>445.1764705882353</v>
      </c>
      <c r="Z90" s="200">
        <v>633.41176470588232</v>
      </c>
      <c r="AA90" s="235">
        <v>1.6941176470588235</v>
      </c>
      <c r="AB90" s="235">
        <v>0</v>
      </c>
      <c r="AC90" s="235">
        <v>1.6941176470588235</v>
      </c>
      <c r="AD90" s="235">
        <v>0</v>
      </c>
      <c r="AE90" s="235">
        <v>0</v>
      </c>
      <c r="AF90" s="235">
        <v>0</v>
      </c>
      <c r="AG90" s="235">
        <v>3.9529411764705884</v>
      </c>
      <c r="AH90" s="235">
        <v>0</v>
      </c>
      <c r="AI90" s="235">
        <v>3.9529411764705884</v>
      </c>
      <c r="AJ90" s="235">
        <v>1.8823529411764706</v>
      </c>
      <c r="AK90" s="235">
        <v>2.8235294117647061</v>
      </c>
      <c r="AL90" s="235">
        <v>4.7058823529411766</v>
      </c>
      <c r="AM90" s="235">
        <v>5.8352941176470594</v>
      </c>
      <c r="AN90" s="235">
        <v>2.8235294117647061</v>
      </c>
      <c r="AO90" s="235">
        <v>8.6588235294117641</v>
      </c>
      <c r="AP90" s="200">
        <v>10.352941176470589</v>
      </c>
      <c r="AQ90" s="141">
        <v>0</v>
      </c>
      <c r="AR90" s="200">
        <v>189.92941176470586</v>
      </c>
      <c r="AS90" s="200">
        <v>453.83529411764709</v>
      </c>
      <c r="AT90" s="66">
        <v>643.76470588235293</v>
      </c>
      <c r="AU90" s="235">
        <v>18.823529411764707</v>
      </c>
      <c r="AV90" s="235">
        <v>9.4117647058823533</v>
      </c>
      <c r="AW90" s="75">
        <v>0</v>
      </c>
      <c r="AX90" s="235">
        <v>65.882352941176464</v>
      </c>
      <c r="AY90" s="66">
        <v>94.117647058823522</v>
      </c>
      <c r="AZ90" s="202">
        <v>0</v>
      </c>
      <c r="BA90" s="87">
        <v>0</v>
      </c>
      <c r="BB90" s="87">
        <v>47.058823529411768</v>
      </c>
      <c r="BC90" s="87">
        <v>0</v>
      </c>
      <c r="BD90" s="87">
        <v>47.058823529411768</v>
      </c>
      <c r="BE90" s="87">
        <v>47.058823529411768</v>
      </c>
      <c r="BF90" s="87">
        <v>2169.4117647058824</v>
      </c>
      <c r="BG90" s="66">
        <v>2216.4705882352941</v>
      </c>
      <c r="BH90" s="67">
        <v>2954.3529411764703</v>
      </c>
      <c r="BI90" s="67">
        <v>183609.29411764708</v>
      </c>
      <c r="FE90" s="39">
        <v>40261</v>
      </c>
      <c r="FF90" s="39">
        <v>155.29411764705881</v>
      </c>
      <c r="FG90" s="39">
        <v>142.11764705882354</v>
      </c>
      <c r="FH90" s="39">
        <v>297.41176470588232</v>
      </c>
      <c r="FI90" s="39">
        <v>0</v>
      </c>
      <c r="FJ90" s="39" t="e">
        <v>#REF!</v>
      </c>
      <c r="FK90" s="39" t="e">
        <v>#REF!</v>
      </c>
      <c r="FL90" s="39">
        <v>18.823529411764707</v>
      </c>
      <c r="FM90" s="39">
        <v>9.4117647058823533</v>
      </c>
      <c r="FN90" s="39" t="e">
        <v>#REF!</v>
      </c>
      <c r="FO90" s="39">
        <v>65.882352941176464</v>
      </c>
      <c r="FP90" s="39" t="e">
        <v>#REF!</v>
      </c>
      <c r="FR90" s="39" t="e">
        <v>#REF!</v>
      </c>
    </row>
    <row r="91" spans="1:174" x14ac:dyDescent="0.25">
      <c r="A91" s="142">
        <v>0</v>
      </c>
      <c r="B91" s="68">
        <v>40262</v>
      </c>
      <c r="C91" s="198">
        <v>40262</v>
      </c>
      <c r="D91" s="69">
        <v>39534</v>
      </c>
      <c r="E91" s="70">
        <v>40262</v>
      </c>
      <c r="F91" s="71">
        <v>12</v>
      </c>
      <c r="G91" s="72"/>
      <c r="H91" s="82"/>
      <c r="I91" s="210"/>
      <c r="J91" s="210"/>
      <c r="K91" s="235">
        <v>178.8235294117647</v>
      </c>
      <c r="L91" s="235">
        <v>23.529411764705884</v>
      </c>
      <c r="M91" s="235">
        <v>202.35294117647058</v>
      </c>
      <c r="N91" s="235">
        <v>118.58823529411765</v>
      </c>
      <c r="O91" s="235">
        <v>6.5882352941176467</v>
      </c>
      <c r="P91" s="235">
        <v>125.17647058823529</v>
      </c>
      <c r="Q91" s="235">
        <v>12.235294117647058</v>
      </c>
      <c r="R91" s="235">
        <v>0</v>
      </c>
      <c r="S91" s="235">
        <v>12.235294117647058</v>
      </c>
      <c r="T91" s="235">
        <v>7.5294117647058822</v>
      </c>
      <c r="U91" s="235">
        <v>293.64705882352939</v>
      </c>
      <c r="V91" s="235">
        <v>301.1764705882353</v>
      </c>
      <c r="W91" s="235">
        <v>138.35294117647058</v>
      </c>
      <c r="X91" s="235">
        <v>300.23529411764707</v>
      </c>
      <c r="Y91" s="235">
        <v>438.58823529411762</v>
      </c>
      <c r="Z91" s="200">
        <v>640.94117647058829</v>
      </c>
      <c r="AA91" s="235">
        <v>1.411764705882353</v>
      </c>
      <c r="AB91" s="235">
        <v>0</v>
      </c>
      <c r="AC91" s="235">
        <v>1.411764705882353</v>
      </c>
      <c r="AD91" s="235">
        <v>0</v>
      </c>
      <c r="AE91" s="235">
        <v>0</v>
      </c>
      <c r="AF91" s="235">
        <v>0</v>
      </c>
      <c r="AG91" s="235">
        <v>3.2941176470588234</v>
      </c>
      <c r="AH91" s="235">
        <v>0</v>
      </c>
      <c r="AI91" s="235">
        <v>3.2941176470588234</v>
      </c>
      <c r="AJ91" s="235">
        <v>2.8235294117647061</v>
      </c>
      <c r="AK91" s="235">
        <v>4.7058823529411766</v>
      </c>
      <c r="AL91" s="235">
        <v>7.5294117647058822</v>
      </c>
      <c r="AM91" s="235">
        <v>6.117647058823529</v>
      </c>
      <c r="AN91" s="235">
        <v>4.7058823529411766</v>
      </c>
      <c r="AO91" s="235">
        <v>10.823529411764707</v>
      </c>
      <c r="AP91" s="200">
        <v>12.235294117647058</v>
      </c>
      <c r="AQ91" s="141">
        <v>0</v>
      </c>
      <c r="AR91" s="200">
        <v>203.76470588235293</v>
      </c>
      <c r="AS91" s="200">
        <v>449.41176470588232</v>
      </c>
      <c r="AT91" s="66">
        <v>653.17647058823525</v>
      </c>
      <c r="AU91" s="235">
        <v>18.823529411764707</v>
      </c>
      <c r="AV91" s="235">
        <v>9.4117647058823533</v>
      </c>
      <c r="AW91" s="75">
        <v>56.470588235294116</v>
      </c>
      <c r="AX91" s="235">
        <v>47.058823529411768</v>
      </c>
      <c r="AY91" s="66">
        <v>131.76470588235293</v>
      </c>
      <c r="AZ91" s="202">
        <v>0</v>
      </c>
      <c r="BA91" s="87">
        <v>0</v>
      </c>
      <c r="BB91" s="87">
        <v>0</v>
      </c>
      <c r="BC91" s="87">
        <v>19.764705882352942</v>
      </c>
      <c r="BD91" s="87">
        <v>0</v>
      </c>
      <c r="BE91" s="87">
        <v>19.764705882352942</v>
      </c>
      <c r="BF91" s="87">
        <v>1004.2352941176471</v>
      </c>
      <c r="BG91" s="66">
        <v>1024</v>
      </c>
      <c r="BH91" s="67">
        <v>1808.9411764705883</v>
      </c>
      <c r="BI91" s="67">
        <v>185418.23529411768</v>
      </c>
      <c r="FE91" s="39">
        <v>40262</v>
      </c>
      <c r="FF91" s="39">
        <v>178.8235294117647</v>
      </c>
      <c r="FG91" s="39">
        <v>118.58823529411765</v>
      </c>
      <c r="FH91" s="39">
        <v>297.41176470588232</v>
      </c>
      <c r="FI91" s="39">
        <v>0</v>
      </c>
      <c r="FJ91" s="39" t="e">
        <v>#REF!</v>
      </c>
      <c r="FK91" s="39" t="e">
        <v>#REF!</v>
      </c>
      <c r="FL91" s="39">
        <v>18.823529411764707</v>
      </c>
      <c r="FM91" s="39">
        <v>9.4117647058823533</v>
      </c>
      <c r="FN91" s="39" t="e">
        <v>#REF!</v>
      </c>
      <c r="FO91" s="39">
        <v>47.058823529411768</v>
      </c>
      <c r="FP91" s="39" t="e">
        <v>#REF!</v>
      </c>
      <c r="FR91" s="39" t="e">
        <v>#REF!</v>
      </c>
    </row>
    <row r="92" spans="1:174" x14ac:dyDescent="0.25">
      <c r="A92" s="142">
        <v>0</v>
      </c>
      <c r="B92" s="68">
        <v>40263</v>
      </c>
      <c r="C92" s="198">
        <v>40263</v>
      </c>
      <c r="D92" s="69">
        <v>39535</v>
      </c>
      <c r="E92" s="70">
        <v>40263</v>
      </c>
      <c r="F92" s="71">
        <v>12</v>
      </c>
      <c r="G92" s="72"/>
      <c r="H92" s="82"/>
      <c r="I92" s="210"/>
      <c r="J92" s="210"/>
      <c r="K92" s="235">
        <v>169.41176470588235</v>
      </c>
      <c r="L92" s="235">
        <v>28.235294117647058</v>
      </c>
      <c r="M92" s="235">
        <v>197.64705882352939</v>
      </c>
      <c r="N92" s="235">
        <v>176.94117647058823</v>
      </c>
      <c r="O92" s="235">
        <v>1.8823529411764706</v>
      </c>
      <c r="P92" s="235">
        <v>178.8235294117647</v>
      </c>
      <c r="Q92" s="235">
        <v>0</v>
      </c>
      <c r="R92" s="235">
        <v>0</v>
      </c>
      <c r="S92" s="235">
        <v>0</v>
      </c>
      <c r="T92" s="235">
        <v>14.117647058823529</v>
      </c>
      <c r="U92" s="235">
        <v>320</v>
      </c>
      <c r="V92" s="235">
        <v>334.11764705882354</v>
      </c>
      <c r="W92" s="235">
        <v>191.05882352941177</v>
      </c>
      <c r="X92" s="235">
        <v>321.88235294117646</v>
      </c>
      <c r="Y92" s="235">
        <v>512.94117647058829</v>
      </c>
      <c r="Z92" s="200">
        <v>710.58823529411768</v>
      </c>
      <c r="AA92" s="235">
        <v>5.6470588235294121</v>
      </c>
      <c r="AB92" s="235">
        <v>1.6941176470588235</v>
      </c>
      <c r="AC92" s="235">
        <v>7.341176470588235</v>
      </c>
      <c r="AD92" s="235">
        <v>0</v>
      </c>
      <c r="AE92" s="235">
        <v>0</v>
      </c>
      <c r="AF92" s="235">
        <v>0</v>
      </c>
      <c r="AG92" s="235">
        <v>13.176470588235293</v>
      </c>
      <c r="AH92" s="235">
        <v>3.9529411764705884</v>
      </c>
      <c r="AI92" s="235">
        <v>17.129411764705882</v>
      </c>
      <c r="AJ92" s="235">
        <v>0</v>
      </c>
      <c r="AK92" s="235">
        <v>4.7058823529411766</v>
      </c>
      <c r="AL92" s="235">
        <v>4.7058823529411766</v>
      </c>
      <c r="AM92" s="235">
        <v>13.176470588235293</v>
      </c>
      <c r="AN92" s="235">
        <v>8.6588235294117641</v>
      </c>
      <c r="AO92" s="235">
        <v>21.835294117647059</v>
      </c>
      <c r="AP92" s="200">
        <v>29.176470588235293</v>
      </c>
      <c r="AQ92" s="141">
        <v>0</v>
      </c>
      <c r="AR92" s="200">
        <v>204.98823529411763</v>
      </c>
      <c r="AS92" s="200">
        <v>534.77647058823538</v>
      </c>
      <c r="AT92" s="66">
        <v>739.76470588235304</v>
      </c>
      <c r="AU92" s="235">
        <v>23.529411764705884</v>
      </c>
      <c r="AV92" s="235">
        <v>9.4117647058823533</v>
      </c>
      <c r="AW92" s="75">
        <v>56.470588235294116</v>
      </c>
      <c r="AX92" s="235">
        <v>84.705882352941174</v>
      </c>
      <c r="AY92" s="66">
        <v>174.11764705882354</v>
      </c>
      <c r="AZ92" s="202">
        <v>0</v>
      </c>
      <c r="BA92" s="87">
        <v>0</v>
      </c>
      <c r="BB92" s="87">
        <v>0</v>
      </c>
      <c r="BC92" s="87">
        <v>0</v>
      </c>
      <c r="BD92" s="87">
        <v>0</v>
      </c>
      <c r="BE92" s="87">
        <v>0</v>
      </c>
      <c r="BF92" s="87">
        <v>1969.8823529411766</v>
      </c>
      <c r="BG92" s="66">
        <v>1969.8823529411766</v>
      </c>
      <c r="BH92" s="67">
        <v>2883.7647058823532</v>
      </c>
      <c r="BI92" s="67">
        <v>188302</v>
      </c>
      <c r="FE92" s="39">
        <v>40263</v>
      </c>
      <c r="FF92" s="39">
        <v>169.41176470588235</v>
      </c>
      <c r="FG92" s="39">
        <v>176.94117647058823</v>
      </c>
      <c r="FH92" s="39">
        <v>346.35294117647061</v>
      </c>
      <c r="FI92" s="39">
        <v>0</v>
      </c>
      <c r="FJ92" s="39" t="e">
        <v>#REF!</v>
      </c>
      <c r="FK92" s="39" t="e">
        <v>#REF!</v>
      </c>
      <c r="FL92" s="39">
        <v>23.529411764705884</v>
      </c>
      <c r="FM92" s="39">
        <v>9.4117647058823533</v>
      </c>
      <c r="FN92" s="39" t="e">
        <v>#REF!</v>
      </c>
      <c r="FO92" s="39">
        <v>84.705882352941174</v>
      </c>
      <c r="FP92" s="39" t="e">
        <v>#REF!</v>
      </c>
      <c r="FR92" s="39" t="e">
        <v>#REF!</v>
      </c>
    </row>
    <row r="93" spans="1:174" s="40" customFormat="1" x14ac:dyDescent="0.25">
      <c r="A93" s="142">
        <v>0</v>
      </c>
      <c r="B93" s="85">
        <v>40264</v>
      </c>
      <c r="C93" s="203">
        <v>40264</v>
      </c>
      <c r="D93" s="76">
        <v>39536</v>
      </c>
      <c r="E93" s="77">
        <v>40264</v>
      </c>
      <c r="F93" s="78">
        <v>12</v>
      </c>
      <c r="G93" s="79"/>
      <c r="H93" s="80"/>
      <c r="I93" s="212"/>
      <c r="J93" s="212"/>
      <c r="K93" s="231">
        <v>1665.8823529411766</v>
      </c>
      <c r="L93" s="231">
        <v>423.52941176470586</v>
      </c>
      <c r="M93" s="231">
        <v>2089.4117647058824</v>
      </c>
      <c r="N93" s="231">
        <v>1462.5882352941176</v>
      </c>
      <c r="O93" s="231">
        <v>80</v>
      </c>
      <c r="P93" s="231">
        <v>1542.5882352941176</v>
      </c>
      <c r="Q93" s="231">
        <v>32</v>
      </c>
      <c r="R93" s="231">
        <v>0</v>
      </c>
      <c r="S93" s="231">
        <v>32</v>
      </c>
      <c r="T93" s="231">
        <v>127.05882352941177</v>
      </c>
      <c r="U93" s="231">
        <v>1016.4705882352941</v>
      </c>
      <c r="V93" s="231">
        <v>1143.5294117647059</v>
      </c>
      <c r="W93" s="231">
        <v>1621.6470588235295</v>
      </c>
      <c r="X93" s="231">
        <v>1096.4705882352941</v>
      </c>
      <c r="Y93" s="231">
        <v>2718.1176470588234</v>
      </c>
      <c r="Z93" s="200">
        <v>4807.5294117647063</v>
      </c>
      <c r="AA93" s="231">
        <v>12.423529411764704</v>
      </c>
      <c r="AB93" s="231">
        <v>1.6941176470588235</v>
      </c>
      <c r="AC93" s="231">
        <v>14.117647058823529</v>
      </c>
      <c r="AD93" s="231">
        <v>0</v>
      </c>
      <c r="AE93" s="231">
        <v>0</v>
      </c>
      <c r="AF93" s="231">
        <v>0</v>
      </c>
      <c r="AG93" s="231">
        <v>28.988235294117647</v>
      </c>
      <c r="AH93" s="231">
        <v>3.9529411764705884</v>
      </c>
      <c r="AI93" s="231">
        <v>32.941176470588232</v>
      </c>
      <c r="AJ93" s="231">
        <v>0</v>
      </c>
      <c r="AK93" s="231">
        <v>6.5882352941176467</v>
      </c>
      <c r="AL93" s="231">
        <v>6.5882352941176467</v>
      </c>
      <c r="AM93" s="231">
        <v>28.988235294117647</v>
      </c>
      <c r="AN93" s="231">
        <v>10.541176470588235</v>
      </c>
      <c r="AO93" s="231">
        <v>39.529411764705884</v>
      </c>
      <c r="AP93" s="200">
        <v>53.647058823529413</v>
      </c>
      <c r="AQ93" s="232">
        <v>0</v>
      </c>
      <c r="AR93" s="200">
        <v>2103.5294117647059</v>
      </c>
      <c r="AS93" s="200">
        <v>2757.6470588235293</v>
      </c>
      <c r="AT93" s="66">
        <v>4861.1764705882351</v>
      </c>
      <c r="AU93" s="231">
        <v>61.176470588235297</v>
      </c>
      <c r="AV93" s="231">
        <v>56.470588235294116</v>
      </c>
      <c r="AW93" s="75">
        <v>0</v>
      </c>
      <c r="AX93" s="231">
        <v>263.52941176470586</v>
      </c>
      <c r="AY93" s="66">
        <v>381.17647058823525</v>
      </c>
      <c r="AZ93" s="208">
        <v>0</v>
      </c>
      <c r="BA93" s="86">
        <v>978.82352941176475</v>
      </c>
      <c r="BB93" s="86">
        <v>1778.8235294117646</v>
      </c>
      <c r="BC93" s="86">
        <v>978.82352941176475</v>
      </c>
      <c r="BD93" s="86">
        <v>1778.8235294117646</v>
      </c>
      <c r="BE93" s="86">
        <v>2757.6470588235293</v>
      </c>
      <c r="BF93" s="86">
        <v>1548.2352941176471</v>
      </c>
      <c r="BG93" s="66">
        <v>4305.8823529411766</v>
      </c>
      <c r="BH93" s="67">
        <v>9548.2352941176468</v>
      </c>
      <c r="BI93" s="67">
        <v>197850.23529411768</v>
      </c>
      <c r="FE93" s="40">
        <v>40264</v>
      </c>
      <c r="FF93" s="40">
        <v>1665.8823529411766</v>
      </c>
      <c r="FG93" s="40">
        <v>1462.5882352941176</v>
      </c>
      <c r="FH93" s="40">
        <v>3128.4705882352941</v>
      </c>
      <c r="FI93" s="40">
        <v>978.82352941176475</v>
      </c>
      <c r="FJ93" s="40" t="e">
        <v>#REF!</v>
      </c>
      <c r="FK93" s="40" t="e">
        <v>#REF!</v>
      </c>
      <c r="FL93" s="40">
        <v>61.176470588235297</v>
      </c>
      <c r="FM93" s="40">
        <v>56.470588235294116</v>
      </c>
      <c r="FN93" s="40" t="e">
        <v>#REF!</v>
      </c>
      <c r="FO93" s="40">
        <v>263.52941176470586</v>
      </c>
      <c r="FP93" s="40" t="e">
        <v>#REF!</v>
      </c>
      <c r="FR93" s="40" t="e">
        <v>#REF!</v>
      </c>
    </row>
    <row r="94" spans="1:174" s="40" customFormat="1" x14ac:dyDescent="0.25">
      <c r="A94" s="142">
        <v>0</v>
      </c>
      <c r="B94" s="85">
        <v>40265</v>
      </c>
      <c r="C94" s="203">
        <v>40265</v>
      </c>
      <c r="D94" s="76">
        <v>39537</v>
      </c>
      <c r="E94" s="77">
        <v>40265</v>
      </c>
      <c r="F94" s="78">
        <v>12</v>
      </c>
      <c r="G94" s="79"/>
      <c r="H94" s="80"/>
      <c r="I94" s="212"/>
      <c r="J94" s="212"/>
      <c r="K94" s="231">
        <v>1091.7647058823529</v>
      </c>
      <c r="L94" s="231">
        <v>85.647058823529406</v>
      </c>
      <c r="M94" s="231">
        <v>1177.4117647058824</v>
      </c>
      <c r="N94" s="231">
        <v>861.17647058823525</v>
      </c>
      <c r="O94" s="231">
        <v>76.235294117647058</v>
      </c>
      <c r="P94" s="231">
        <v>937.41176470588232</v>
      </c>
      <c r="Q94" s="231">
        <v>13.176470588235293</v>
      </c>
      <c r="R94" s="231">
        <v>0</v>
      </c>
      <c r="S94" s="231">
        <v>13.176470588235293</v>
      </c>
      <c r="T94" s="231">
        <v>51.764705882352942</v>
      </c>
      <c r="U94" s="231">
        <v>988.23529411764707</v>
      </c>
      <c r="V94" s="231">
        <v>1040</v>
      </c>
      <c r="W94" s="231">
        <v>926.11764705882354</v>
      </c>
      <c r="X94" s="231">
        <v>1064.4705882352941</v>
      </c>
      <c r="Y94" s="231">
        <v>1990.5882352941176</v>
      </c>
      <c r="Z94" s="200">
        <v>3168</v>
      </c>
      <c r="AA94" s="231">
        <v>14.117647058823529</v>
      </c>
      <c r="AB94" s="231">
        <v>1.6941176470588235</v>
      </c>
      <c r="AC94" s="231">
        <v>15.811764705882354</v>
      </c>
      <c r="AD94" s="231">
        <v>0</v>
      </c>
      <c r="AE94" s="231">
        <v>0</v>
      </c>
      <c r="AF94" s="231">
        <v>0</v>
      </c>
      <c r="AG94" s="231">
        <v>32.941176470588232</v>
      </c>
      <c r="AH94" s="231">
        <v>3.9529411764705884</v>
      </c>
      <c r="AI94" s="231">
        <v>36.894117647058827</v>
      </c>
      <c r="AJ94" s="231">
        <v>0</v>
      </c>
      <c r="AK94" s="231">
        <v>4.7058823529411766</v>
      </c>
      <c r="AL94" s="231">
        <v>4.7058823529411766</v>
      </c>
      <c r="AM94" s="231">
        <v>32.941176470588232</v>
      </c>
      <c r="AN94" s="231">
        <v>8.6588235294117641</v>
      </c>
      <c r="AO94" s="231">
        <v>41.6</v>
      </c>
      <c r="AP94" s="200">
        <v>57.411764705882355</v>
      </c>
      <c r="AQ94" s="232">
        <v>0</v>
      </c>
      <c r="AR94" s="200">
        <v>1193.2235294117647</v>
      </c>
      <c r="AS94" s="200">
        <v>2032.1882352941175</v>
      </c>
      <c r="AT94" s="66">
        <v>3225.411764705882</v>
      </c>
      <c r="AU94" s="231">
        <v>94.117647058823536</v>
      </c>
      <c r="AV94" s="231">
        <v>65.882352941176464</v>
      </c>
      <c r="AW94" s="75">
        <v>0</v>
      </c>
      <c r="AX94" s="231">
        <v>188.23529411764707</v>
      </c>
      <c r="AY94" s="66">
        <v>348.23529411764707</v>
      </c>
      <c r="AZ94" s="208">
        <v>0</v>
      </c>
      <c r="BA94" s="86">
        <v>232.47058823529412</v>
      </c>
      <c r="BB94" s="86">
        <v>1748.7058823529412</v>
      </c>
      <c r="BC94" s="86">
        <v>232.47058823529412</v>
      </c>
      <c r="BD94" s="86">
        <v>1748.7058823529412</v>
      </c>
      <c r="BE94" s="86">
        <v>1981.1764705882354</v>
      </c>
      <c r="BF94" s="86">
        <v>607.05882352941171</v>
      </c>
      <c r="BG94" s="66">
        <v>2588.2352941176468</v>
      </c>
      <c r="BH94" s="67">
        <v>6161.8823529411757</v>
      </c>
      <c r="BI94" s="67">
        <v>204012.11764705885</v>
      </c>
      <c r="FE94" s="40">
        <v>40265</v>
      </c>
      <c r="FF94" s="40">
        <v>1091.7647058823529</v>
      </c>
      <c r="FG94" s="40">
        <v>861.17647058823525</v>
      </c>
      <c r="FH94" s="40">
        <v>1952.9411764705883</v>
      </c>
      <c r="FI94" s="40">
        <v>232.47058823529412</v>
      </c>
      <c r="FJ94" s="40" t="e">
        <v>#REF!</v>
      </c>
      <c r="FK94" s="40" t="e">
        <v>#REF!</v>
      </c>
      <c r="FL94" s="40">
        <v>94.117647058823536</v>
      </c>
      <c r="FM94" s="40">
        <v>65.882352941176464</v>
      </c>
      <c r="FN94" s="40" t="e">
        <v>#REF!</v>
      </c>
      <c r="FO94" s="40">
        <v>188.23529411764707</v>
      </c>
      <c r="FP94" s="40" t="e">
        <v>#REF!</v>
      </c>
      <c r="FR94" s="40" t="e">
        <v>#REF!</v>
      </c>
    </row>
    <row r="95" spans="1:174" x14ac:dyDescent="0.25">
      <c r="A95" s="142">
        <v>0</v>
      </c>
      <c r="B95" s="68">
        <v>40266</v>
      </c>
      <c r="C95" s="198">
        <v>40266</v>
      </c>
      <c r="D95" s="69">
        <v>39538</v>
      </c>
      <c r="E95" s="70">
        <v>40266</v>
      </c>
      <c r="F95" s="71">
        <v>13</v>
      </c>
      <c r="G95" s="72"/>
      <c r="H95" s="82"/>
      <c r="I95" s="210"/>
      <c r="J95" s="210"/>
      <c r="K95" s="235">
        <v>178.8235294117647</v>
      </c>
      <c r="L95" s="235">
        <v>14.117647058823529</v>
      </c>
      <c r="M95" s="235">
        <v>192.94117647058823</v>
      </c>
      <c r="N95" s="235">
        <v>125.17647058823529</v>
      </c>
      <c r="O95" s="235">
        <v>5.6470588235294121</v>
      </c>
      <c r="P95" s="235">
        <v>130.8235294117647</v>
      </c>
      <c r="Q95" s="235">
        <v>0</v>
      </c>
      <c r="R95" s="235">
        <v>0</v>
      </c>
      <c r="S95" s="235">
        <v>0</v>
      </c>
      <c r="T95" s="235">
        <v>28.235294117647058</v>
      </c>
      <c r="U95" s="235">
        <v>282.35294117647061</v>
      </c>
      <c r="V95" s="235">
        <v>310.58823529411762</v>
      </c>
      <c r="W95" s="235">
        <v>153.41176470588235</v>
      </c>
      <c r="X95" s="235">
        <v>288</v>
      </c>
      <c r="Y95" s="235">
        <v>441.41176470588238</v>
      </c>
      <c r="Z95" s="200">
        <v>634.35294117647061</v>
      </c>
      <c r="AA95" s="235">
        <v>16.941176470588236</v>
      </c>
      <c r="AB95" s="235">
        <v>1.6941176470588235</v>
      </c>
      <c r="AC95" s="235">
        <v>18.63529411764706</v>
      </c>
      <c r="AD95" s="235">
        <v>0</v>
      </c>
      <c r="AE95" s="235">
        <v>0</v>
      </c>
      <c r="AF95" s="235">
        <v>0</v>
      </c>
      <c r="AG95" s="235">
        <v>39.529411764705884</v>
      </c>
      <c r="AH95" s="235">
        <v>3.9529411764705884</v>
      </c>
      <c r="AI95" s="235">
        <v>43.482352941176472</v>
      </c>
      <c r="AJ95" s="235">
        <v>0</v>
      </c>
      <c r="AK95" s="235">
        <v>0</v>
      </c>
      <c r="AL95" s="235">
        <v>0</v>
      </c>
      <c r="AM95" s="235">
        <v>39.529411764705884</v>
      </c>
      <c r="AN95" s="235">
        <v>3.9529411764705884</v>
      </c>
      <c r="AO95" s="235">
        <v>43.482352941176472</v>
      </c>
      <c r="AP95" s="200">
        <v>62.117647058823529</v>
      </c>
      <c r="AQ95" s="141">
        <v>0</v>
      </c>
      <c r="AR95" s="200">
        <v>211.57647058823528</v>
      </c>
      <c r="AS95" s="200">
        <v>484.89411764705886</v>
      </c>
      <c r="AT95" s="66">
        <v>696.47058823529414</v>
      </c>
      <c r="AU95" s="235">
        <v>51.764705882352942</v>
      </c>
      <c r="AV95" s="235">
        <v>37.647058823529413</v>
      </c>
      <c r="AW95" s="75">
        <v>282.35294117647061</v>
      </c>
      <c r="AX95" s="235">
        <v>47.058823529411768</v>
      </c>
      <c r="AY95" s="66">
        <v>418.8235294117647</v>
      </c>
      <c r="AZ95" s="202">
        <v>0</v>
      </c>
      <c r="BA95" s="87">
        <v>18.823529411764707</v>
      </c>
      <c r="BB95" s="87">
        <v>0</v>
      </c>
      <c r="BC95" s="87">
        <v>18.823529411764707</v>
      </c>
      <c r="BD95" s="87">
        <v>0</v>
      </c>
      <c r="BE95" s="87">
        <v>18.823529411764707</v>
      </c>
      <c r="BF95" s="87">
        <v>797.17647058823525</v>
      </c>
      <c r="BG95" s="66">
        <v>816</v>
      </c>
      <c r="BH95" s="67">
        <v>1931.2941176470588</v>
      </c>
      <c r="BI95" s="67">
        <v>205943.4117647059</v>
      </c>
      <c r="FE95" s="39">
        <v>40266</v>
      </c>
      <c r="FF95" s="39">
        <v>178.8235294117647</v>
      </c>
      <c r="FG95" s="39">
        <v>125.17647058823529</v>
      </c>
      <c r="FH95" s="39">
        <v>304</v>
      </c>
      <c r="FI95" s="39">
        <v>18.823529411764707</v>
      </c>
      <c r="FJ95" s="39" t="e">
        <v>#REF!</v>
      </c>
      <c r="FK95" s="39" t="e">
        <v>#REF!</v>
      </c>
      <c r="FL95" s="39">
        <v>51.764705882352942</v>
      </c>
      <c r="FM95" s="39">
        <v>37.647058823529413</v>
      </c>
      <c r="FN95" s="39" t="e">
        <v>#REF!</v>
      </c>
      <c r="FO95" s="39">
        <v>47.058823529411768</v>
      </c>
      <c r="FP95" s="39" t="e">
        <v>#REF!</v>
      </c>
      <c r="FR95" s="39" t="e">
        <v>#REF!</v>
      </c>
    </row>
    <row r="96" spans="1:174" x14ac:dyDescent="0.25">
      <c r="A96" s="142">
        <v>0</v>
      </c>
      <c r="B96" s="68">
        <v>40267</v>
      </c>
      <c r="C96" s="198">
        <v>40267</v>
      </c>
      <c r="D96" s="69">
        <v>39539</v>
      </c>
      <c r="E96" s="70">
        <v>40267</v>
      </c>
      <c r="F96" s="71">
        <v>13</v>
      </c>
      <c r="G96" s="72"/>
      <c r="H96" s="82"/>
      <c r="I96" s="210"/>
      <c r="J96" s="210"/>
      <c r="K96" s="235">
        <v>287.05882352941177</v>
      </c>
      <c r="L96" s="235">
        <v>13.176470588235293</v>
      </c>
      <c r="M96" s="235">
        <v>300.23529411764707</v>
      </c>
      <c r="N96" s="235">
        <v>141.1764705882353</v>
      </c>
      <c r="O96" s="235">
        <v>5.6470588235294121</v>
      </c>
      <c r="P96" s="235">
        <v>146.8235294117647</v>
      </c>
      <c r="Q96" s="235">
        <v>1.8823529411764706</v>
      </c>
      <c r="R96" s="235">
        <v>0</v>
      </c>
      <c r="S96" s="235">
        <v>1.8823529411764706</v>
      </c>
      <c r="T96" s="235">
        <v>32.941176470588232</v>
      </c>
      <c r="U96" s="235">
        <v>301.1764705882353</v>
      </c>
      <c r="V96" s="235">
        <v>334.11764705882354</v>
      </c>
      <c r="W96" s="235">
        <v>176</v>
      </c>
      <c r="X96" s="235">
        <v>306.8235294117647</v>
      </c>
      <c r="Y96" s="235">
        <v>482.8235294117647</v>
      </c>
      <c r="Z96" s="200">
        <v>783.05882352941171</v>
      </c>
      <c r="AA96" s="235">
        <v>0.56470588235294117</v>
      </c>
      <c r="AB96" s="235">
        <v>0</v>
      </c>
      <c r="AC96" s="235">
        <v>0.56470588235294117</v>
      </c>
      <c r="AD96" s="235">
        <v>0</v>
      </c>
      <c r="AE96" s="235">
        <v>0</v>
      </c>
      <c r="AF96" s="235">
        <v>0</v>
      </c>
      <c r="AG96" s="235">
        <v>1.3176470588235294</v>
      </c>
      <c r="AH96" s="235">
        <v>0</v>
      </c>
      <c r="AI96" s="235">
        <v>1.3176470588235294</v>
      </c>
      <c r="AJ96" s="235">
        <v>2.8235294117647061</v>
      </c>
      <c r="AK96" s="235">
        <v>0</v>
      </c>
      <c r="AL96" s="235">
        <v>2.8235294117647061</v>
      </c>
      <c r="AM96" s="235">
        <v>4.1411764705882357</v>
      </c>
      <c r="AN96" s="235">
        <v>0</v>
      </c>
      <c r="AO96" s="235">
        <v>4.1411764705882357</v>
      </c>
      <c r="AP96" s="200">
        <v>4.7058823529411766</v>
      </c>
      <c r="AQ96" s="141">
        <v>0</v>
      </c>
      <c r="AR96" s="200">
        <v>300.8</v>
      </c>
      <c r="AS96" s="200">
        <v>486.96470588235292</v>
      </c>
      <c r="AT96" s="66">
        <v>787.76470588235293</v>
      </c>
      <c r="AU96" s="235">
        <v>51.764705882352942</v>
      </c>
      <c r="AV96" s="235">
        <v>37.647058823529413</v>
      </c>
      <c r="AW96" s="75">
        <v>1694.1176470588234</v>
      </c>
      <c r="AX96" s="235">
        <v>320</v>
      </c>
      <c r="AY96" s="66">
        <v>2103.5294117647059</v>
      </c>
      <c r="AZ96" s="202">
        <v>0</v>
      </c>
      <c r="BA96" s="87">
        <v>28.235294117647058</v>
      </c>
      <c r="BB96" s="87">
        <v>0</v>
      </c>
      <c r="BC96" s="87">
        <v>28.235294117647058</v>
      </c>
      <c r="BD96" s="87">
        <v>0</v>
      </c>
      <c r="BE96" s="87">
        <v>28.235294117647058</v>
      </c>
      <c r="BF96" s="87">
        <v>1530.3529411764705</v>
      </c>
      <c r="BG96" s="66">
        <v>1558.5882352941176</v>
      </c>
      <c r="BH96" s="67">
        <v>4449.8823529411766</v>
      </c>
      <c r="BI96" s="67">
        <v>210393.29411764708</v>
      </c>
      <c r="FE96" s="39">
        <v>40267</v>
      </c>
      <c r="FF96" s="39">
        <v>287.05882352941177</v>
      </c>
      <c r="FG96" s="39">
        <v>141.1764705882353</v>
      </c>
      <c r="FH96" s="39">
        <v>428.23529411764707</v>
      </c>
      <c r="FI96" s="39">
        <v>28.235294117647058</v>
      </c>
      <c r="FJ96" s="39" t="e">
        <v>#REF!</v>
      </c>
      <c r="FK96" s="39" t="e">
        <v>#REF!</v>
      </c>
      <c r="FL96" s="39">
        <v>51.764705882352942</v>
      </c>
      <c r="FM96" s="39">
        <v>37.647058823529413</v>
      </c>
      <c r="FN96" s="39" t="e">
        <v>#REF!</v>
      </c>
      <c r="FO96" s="39">
        <v>320</v>
      </c>
      <c r="FP96" s="39" t="e">
        <v>#REF!</v>
      </c>
      <c r="FR96" s="39" t="e">
        <v>#REF!</v>
      </c>
    </row>
    <row r="97" spans="1:174" x14ac:dyDescent="0.25">
      <c r="A97" s="142">
        <v>0</v>
      </c>
      <c r="B97" s="68">
        <v>40268</v>
      </c>
      <c r="C97" s="198">
        <v>40268</v>
      </c>
      <c r="D97" s="69">
        <v>39540</v>
      </c>
      <c r="E97" s="70">
        <v>40268</v>
      </c>
      <c r="F97" s="71">
        <v>13</v>
      </c>
      <c r="G97" s="72"/>
      <c r="H97" s="82"/>
      <c r="I97" s="210"/>
      <c r="J97" s="210"/>
      <c r="K97" s="235">
        <v>160</v>
      </c>
      <c r="L97" s="235">
        <v>18.823529411764707</v>
      </c>
      <c r="M97" s="235">
        <v>178.8235294117647</v>
      </c>
      <c r="N97" s="235">
        <v>98.82352941176471</v>
      </c>
      <c r="O97" s="235">
        <v>6.5882352941176467</v>
      </c>
      <c r="P97" s="235">
        <v>105.41176470588235</v>
      </c>
      <c r="Q97" s="235">
        <v>1.8823529411764706</v>
      </c>
      <c r="R97" s="235">
        <v>0</v>
      </c>
      <c r="S97" s="235">
        <v>1.8823529411764706</v>
      </c>
      <c r="T97" s="235">
        <v>32.941176470588232</v>
      </c>
      <c r="U97" s="235">
        <v>186.35294117647058</v>
      </c>
      <c r="V97" s="235">
        <v>219.29411764705881</v>
      </c>
      <c r="W97" s="235">
        <v>133.64705882352942</v>
      </c>
      <c r="X97" s="235">
        <v>192.94117647058823</v>
      </c>
      <c r="Y97" s="235">
        <v>326.58823529411762</v>
      </c>
      <c r="Z97" s="200">
        <v>505.41176470588238</v>
      </c>
      <c r="AA97" s="235">
        <v>4.2352941176470589</v>
      </c>
      <c r="AB97" s="235">
        <v>1.1294117647058823</v>
      </c>
      <c r="AC97" s="235">
        <v>5.3647058823529417</v>
      </c>
      <c r="AD97" s="235">
        <v>0</v>
      </c>
      <c r="AE97" s="235">
        <v>0</v>
      </c>
      <c r="AF97" s="235">
        <v>0</v>
      </c>
      <c r="AG97" s="235">
        <v>9.882352941176471</v>
      </c>
      <c r="AH97" s="235">
        <v>2.6352941176470588</v>
      </c>
      <c r="AI97" s="235">
        <v>12.517647058823529</v>
      </c>
      <c r="AJ97" s="235">
        <v>7.5294117647058822</v>
      </c>
      <c r="AK97" s="235">
        <v>0</v>
      </c>
      <c r="AL97" s="235">
        <v>7.5294117647058822</v>
      </c>
      <c r="AM97" s="235">
        <v>17.411764705882351</v>
      </c>
      <c r="AN97" s="235">
        <v>2.6352941176470588</v>
      </c>
      <c r="AO97" s="235">
        <v>20.047058823529412</v>
      </c>
      <c r="AP97" s="200">
        <v>25.411764705882351</v>
      </c>
      <c r="AQ97" s="141">
        <v>0</v>
      </c>
      <c r="AR97" s="200">
        <v>184.18823529411765</v>
      </c>
      <c r="AS97" s="200">
        <v>346.63529411764705</v>
      </c>
      <c r="AT97" s="66">
        <v>530.82352941176464</v>
      </c>
      <c r="AU97" s="235">
        <v>51.764705882352942</v>
      </c>
      <c r="AV97" s="235">
        <v>41.411764705882355</v>
      </c>
      <c r="AW97" s="75">
        <v>282.35294117647061</v>
      </c>
      <c r="AX97" s="235">
        <v>65.882352941176464</v>
      </c>
      <c r="AY97" s="66">
        <v>441.41176470588238</v>
      </c>
      <c r="AZ97" s="202">
        <v>0</v>
      </c>
      <c r="BA97" s="87">
        <v>21.647058823529413</v>
      </c>
      <c r="BB97" s="87">
        <v>0</v>
      </c>
      <c r="BC97" s="87">
        <v>21.647058823529413</v>
      </c>
      <c r="BD97" s="87">
        <v>0</v>
      </c>
      <c r="BE97" s="87">
        <v>21.647058823529413</v>
      </c>
      <c r="BF97" s="87">
        <v>2602.3529411764707</v>
      </c>
      <c r="BG97" s="66">
        <v>2624</v>
      </c>
      <c r="BH97" s="67">
        <v>3596.2352941176468</v>
      </c>
      <c r="BI97" s="67">
        <v>213989.52941176473</v>
      </c>
      <c r="FE97" s="39">
        <v>40268</v>
      </c>
      <c r="FF97" s="39">
        <v>160</v>
      </c>
      <c r="FG97" s="39">
        <v>98.82352941176471</v>
      </c>
      <c r="FH97" s="39">
        <v>258.8235294117647</v>
      </c>
      <c r="FI97" s="39">
        <v>21.647058823529413</v>
      </c>
      <c r="FJ97" s="39" t="e">
        <v>#REF!</v>
      </c>
      <c r="FK97" s="39" t="e">
        <v>#REF!</v>
      </c>
      <c r="FL97" s="39">
        <v>51.764705882352942</v>
      </c>
      <c r="FM97" s="39">
        <v>41.411764705882355</v>
      </c>
      <c r="FN97" s="39" t="e">
        <v>#REF!</v>
      </c>
      <c r="FO97" s="39">
        <v>65.882352941176464</v>
      </c>
      <c r="FP97" s="39" t="e">
        <v>#REF!</v>
      </c>
      <c r="FR97" s="39" t="e">
        <v>#REF!</v>
      </c>
    </row>
    <row r="98" spans="1:174" s="230" customFormat="1" x14ac:dyDescent="0.25">
      <c r="A98" s="215"/>
      <c r="B98" s="216"/>
      <c r="C98" s="217"/>
      <c r="D98" s="218"/>
      <c r="E98" s="219"/>
      <c r="F98" s="220"/>
      <c r="G98" s="221"/>
      <c r="H98" s="222"/>
      <c r="I98" s="223"/>
      <c r="J98" s="223"/>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5"/>
      <c r="AR98" s="226"/>
      <c r="AS98" s="226"/>
      <c r="AT98" s="66">
        <v>0</v>
      </c>
      <c r="AU98" s="224"/>
      <c r="AV98" s="224"/>
      <c r="AW98" s="227"/>
      <c r="AX98" s="224"/>
      <c r="AY98" s="66">
        <v>0</v>
      </c>
      <c r="AZ98" s="224"/>
      <c r="BA98" s="224"/>
      <c r="BB98" s="224"/>
      <c r="BC98" s="224"/>
      <c r="BD98" s="224"/>
      <c r="BE98" s="224"/>
      <c r="BF98" s="224"/>
      <c r="BG98" s="228"/>
      <c r="BH98" s="229"/>
      <c r="BI98" s="229"/>
    </row>
    <row r="99" spans="1:174" x14ac:dyDescent="0.25">
      <c r="A99" s="142">
        <v>0</v>
      </c>
      <c r="B99" s="68">
        <v>40269</v>
      </c>
      <c r="C99" s="198">
        <v>40269</v>
      </c>
      <c r="D99" s="69">
        <v>39541</v>
      </c>
      <c r="E99" s="70">
        <v>40269</v>
      </c>
      <c r="F99" s="71">
        <v>13</v>
      </c>
      <c r="G99" s="72"/>
      <c r="H99" s="82"/>
      <c r="I99" s="210"/>
      <c r="J99" s="210"/>
      <c r="K99" s="235">
        <v>260.70588235294116</v>
      </c>
      <c r="L99" s="235">
        <v>51.764705882352942</v>
      </c>
      <c r="M99" s="235">
        <v>312.47058823529409</v>
      </c>
      <c r="N99" s="235">
        <v>179.76470588235293</v>
      </c>
      <c r="O99" s="235">
        <v>14.117647058823529</v>
      </c>
      <c r="P99" s="235">
        <v>193.88235294117646</v>
      </c>
      <c r="Q99" s="235">
        <v>0</v>
      </c>
      <c r="R99" s="235">
        <v>0</v>
      </c>
      <c r="S99" s="235">
        <v>0</v>
      </c>
      <c r="T99" s="235">
        <v>18.823529411764707</v>
      </c>
      <c r="U99" s="235">
        <v>238.11764705882354</v>
      </c>
      <c r="V99" s="235">
        <v>256.94117647058823</v>
      </c>
      <c r="W99" s="235">
        <v>198.58823529411765</v>
      </c>
      <c r="X99" s="235">
        <v>252.23529411764707</v>
      </c>
      <c r="Y99" s="235">
        <v>450.8235294117647</v>
      </c>
      <c r="Z99" s="200">
        <v>763.29411764705878</v>
      </c>
      <c r="AA99" s="235">
        <v>15.529411764705882</v>
      </c>
      <c r="AB99" s="235">
        <v>5.1764705882352944</v>
      </c>
      <c r="AC99" s="235">
        <v>20.705882352941178</v>
      </c>
      <c r="AD99" s="235">
        <v>0</v>
      </c>
      <c r="AE99" s="235">
        <v>0</v>
      </c>
      <c r="AF99" s="235">
        <v>0</v>
      </c>
      <c r="AG99" s="235">
        <v>12.705882352941176</v>
      </c>
      <c r="AH99" s="235">
        <v>4.2352941176470589</v>
      </c>
      <c r="AI99" s="235">
        <v>16.941176470588236</v>
      </c>
      <c r="AJ99" s="235">
        <v>0</v>
      </c>
      <c r="AK99" s="235">
        <v>15.058823529411764</v>
      </c>
      <c r="AL99" s="235">
        <v>15.058823529411764</v>
      </c>
      <c r="AM99" s="235">
        <v>12.705882352941176</v>
      </c>
      <c r="AN99" s="235">
        <v>19.294117647058822</v>
      </c>
      <c r="AO99" s="235">
        <v>32</v>
      </c>
      <c r="AP99" s="200">
        <v>52.705882352941174</v>
      </c>
      <c r="AQ99" s="141">
        <v>0</v>
      </c>
      <c r="AR99" s="200">
        <v>333.17647058823525</v>
      </c>
      <c r="AS99" s="200">
        <v>482.8235294117647</v>
      </c>
      <c r="AT99" s="66">
        <v>816</v>
      </c>
      <c r="AU99" s="235">
        <v>51.764705882352942</v>
      </c>
      <c r="AV99" s="235">
        <v>37.647058823529413</v>
      </c>
      <c r="AW99" s="75">
        <v>0</v>
      </c>
      <c r="AX99" s="235">
        <v>84.705882352941174</v>
      </c>
      <c r="AY99" s="66">
        <v>174.11764705882354</v>
      </c>
      <c r="AZ99" s="202">
        <v>0</v>
      </c>
      <c r="BA99" s="87">
        <v>29.176470588235293</v>
      </c>
      <c r="BB99" s="87">
        <v>0</v>
      </c>
      <c r="BC99" s="87">
        <v>45.176470588235297</v>
      </c>
      <c r="BD99" s="87">
        <v>0</v>
      </c>
      <c r="BE99" s="87">
        <v>45.176470588235297</v>
      </c>
      <c r="BF99" s="87">
        <v>1750.5882352941176</v>
      </c>
      <c r="BG99" s="66">
        <v>1795.7647058823529</v>
      </c>
      <c r="BH99" s="67">
        <v>2785.8823529411766</v>
      </c>
      <c r="BI99" s="67">
        <v>216775.4117647059</v>
      </c>
      <c r="FE99" s="39">
        <v>40269</v>
      </c>
      <c r="FF99" s="39">
        <v>260.70588235294116</v>
      </c>
      <c r="FG99" s="39">
        <v>179.76470588235293</v>
      </c>
      <c r="FH99" s="39">
        <v>440.47058823529409</v>
      </c>
      <c r="FI99" s="39">
        <v>29.176470588235293</v>
      </c>
      <c r="FJ99" s="39" t="e">
        <v>#REF!</v>
      </c>
      <c r="FK99" s="39" t="e">
        <v>#REF!</v>
      </c>
      <c r="FL99" s="39">
        <v>51.764705882352942</v>
      </c>
      <c r="FM99" s="39">
        <v>37.647058823529413</v>
      </c>
      <c r="FN99" s="39" t="e">
        <v>#REF!</v>
      </c>
      <c r="FO99" s="39">
        <v>84.705882352941174</v>
      </c>
      <c r="FP99" s="39" t="e">
        <v>#REF!</v>
      </c>
      <c r="FR99" s="39" t="e">
        <v>#REF!</v>
      </c>
    </row>
    <row r="100" spans="1:174" ht="13.8" thickBot="1" x14ac:dyDescent="0.3">
      <c r="A100" s="142">
        <v>0</v>
      </c>
      <c r="B100" s="88">
        <v>40270</v>
      </c>
      <c r="C100" s="236">
        <v>40270</v>
      </c>
      <c r="D100" s="89">
        <v>39542</v>
      </c>
      <c r="E100" s="90">
        <v>40270</v>
      </c>
      <c r="F100" s="91">
        <v>13</v>
      </c>
      <c r="G100" s="92"/>
      <c r="H100" s="93"/>
      <c r="I100" s="237"/>
      <c r="J100" s="237"/>
      <c r="K100" s="238">
        <v>240</v>
      </c>
      <c r="L100" s="238">
        <v>42.352941176470587</v>
      </c>
      <c r="M100" s="238">
        <v>282.35294117647061</v>
      </c>
      <c r="N100" s="238">
        <v>194.8235294117647</v>
      </c>
      <c r="O100" s="238">
        <v>21.647058823529413</v>
      </c>
      <c r="P100" s="238">
        <v>216.47058823529412</v>
      </c>
      <c r="Q100" s="238">
        <v>11.294117647058824</v>
      </c>
      <c r="R100" s="238">
        <v>0</v>
      </c>
      <c r="S100" s="238">
        <v>11.294117647058824</v>
      </c>
      <c r="T100" s="238">
        <v>12.235294117647058</v>
      </c>
      <c r="U100" s="238">
        <v>299.29411764705884</v>
      </c>
      <c r="V100" s="238">
        <v>311.52941176470586</v>
      </c>
      <c r="W100" s="238">
        <v>218.35294117647058</v>
      </c>
      <c r="X100" s="238">
        <v>320.94117647058823</v>
      </c>
      <c r="Y100" s="238">
        <v>539.29411764705878</v>
      </c>
      <c r="Z100" s="239">
        <v>821.64705882352939</v>
      </c>
      <c r="AA100" s="238">
        <v>31.058823529411764</v>
      </c>
      <c r="AB100" s="238">
        <v>5.6941176470588237</v>
      </c>
      <c r="AC100" s="238">
        <v>36.752941176470586</v>
      </c>
      <c r="AD100" s="238">
        <v>0</v>
      </c>
      <c r="AE100" s="238">
        <v>0</v>
      </c>
      <c r="AF100" s="238">
        <v>0</v>
      </c>
      <c r="AG100" s="238">
        <v>25.411764705882351</v>
      </c>
      <c r="AH100" s="238">
        <v>4.658823529411765</v>
      </c>
      <c r="AI100" s="238">
        <v>30.070588235294117</v>
      </c>
      <c r="AJ100" s="238">
        <v>0</v>
      </c>
      <c r="AK100" s="238">
        <v>26.352941176470587</v>
      </c>
      <c r="AL100" s="238">
        <v>26.352941176470587</v>
      </c>
      <c r="AM100" s="238">
        <v>25.411764705882351</v>
      </c>
      <c r="AN100" s="238">
        <v>31.011764705882356</v>
      </c>
      <c r="AO100" s="238">
        <v>56.423529411764711</v>
      </c>
      <c r="AP100" s="239">
        <v>93.17647058823529</v>
      </c>
      <c r="AQ100" s="240">
        <v>0</v>
      </c>
      <c r="AR100" s="200">
        <v>319.10588235294119</v>
      </c>
      <c r="AS100" s="200">
        <v>595.71764705882345</v>
      </c>
      <c r="AT100" s="66">
        <v>914.82352941176464</v>
      </c>
      <c r="AU100" s="238">
        <v>51.764705882352942</v>
      </c>
      <c r="AV100" s="238">
        <v>37.647058823529413</v>
      </c>
      <c r="AW100" s="75">
        <v>0</v>
      </c>
      <c r="AX100" s="453">
        <v>888</v>
      </c>
      <c r="AY100" s="66">
        <v>977.41176470588232</v>
      </c>
      <c r="AZ100" s="241">
        <v>0</v>
      </c>
      <c r="BA100" s="94">
        <v>0</v>
      </c>
      <c r="BB100" s="94">
        <v>0</v>
      </c>
      <c r="BC100" s="94">
        <v>16.941176470588236</v>
      </c>
      <c r="BD100" s="94">
        <v>0</v>
      </c>
      <c r="BE100" s="94">
        <v>16.941176470588236</v>
      </c>
      <c r="BF100" s="94">
        <v>3512.4705882352941</v>
      </c>
      <c r="BG100" s="242">
        <v>3529.4117647058824</v>
      </c>
      <c r="BH100" s="243">
        <v>5421.6470588235297</v>
      </c>
      <c r="BI100" s="243">
        <v>222197.05882352943</v>
      </c>
      <c r="FE100" s="39">
        <v>40270</v>
      </c>
      <c r="FF100" s="39">
        <v>240</v>
      </c>
      <c r="FG100" s="39">
        <v>194.8235294117647</v>
      </c>
      <c r="FH100" s="39">
        <v>434.8235294117647</v>
      </c>
      <c r="FI100" s="39">
        <v>0</v>
      </c>
      <c r="FJ100" s="39" t="e">
        <v>#REF!</v>
      </c>
      <c r="FK100" s="39" t="e">
        <v>#REF!</v>
      </c>
      <c r="FL100" s="39">
        <v>51.764705882352942</v>
      </c>
      <c r="FM100" s="39">
        <v>37.647058823529413</v>
      </c>
      <c r="FN100" s="39" t="e">
        <v>#REF!</v>
      </c>
      <c r="FO100" s="39">
        <v>888</v>
      </c>
      <c r="FP100" s="39" t="e">
        <v>#REF!</v>
      </c>
      <c r="FR100" s="39" t="e">
        <v>#REF!</v>
      </c>
    </row>
    <row r="101" spans="1:174" x14ac:dyDescent="0.25">
      <c r="A101" s="142">
        <v>0</v>
      </c>
      <c r="B101" s="244">
        <v>40271</v>
      </c>
      <c r="C101" s="245">
        <v>40271</v>
      </c>
      <c r="D101" s="246">
        <v>39543</v>
      </c>
      <c r="E101" s="247">
        <v>40271</v>
      </c>
      <c r="F101" s="248">
        <v>13</v>
      </c>
      <c r="G101" s="249"/>
      <c r="H101" s="250" t="s">
        <v>34</v>
      </c>
      <c r="I101" s="251"/>
      <c r="J101" s="251"/>
      <c r="K101" s="252">
        <v>1505.8823529411766</v>
      </c>
      <c r="L101" s="252">
        <v>470.58823529411762</v>
      </c>
      <c r="M101" s="252">
        <v>1976.4705882352941</v>
      </c>
      <c r="N101" s="252">
        <v>800</v>
      </c>
      <c r="O101" s="252">
        <v>508.23529411764707</v>
      </c>
      <c r="P101" s="252">
        <v>1308.2352941176471</v>
      </c>
      <c r="Q101" s="252">
        <v>75.294117647058826</v>
      </c>
      <c r="R101" s="252">
        <v>4.7058823529411766</v>
      </c>
      <c r="S101" s="252">
        <v>80</v>
      </c>
      <c r="T101" s="252">
        <v>150.58823529411765</v>
      </c>
      <c r="U101" s="252">
        <v>1035.2941176470588</v>
      </c>
      <c r="V101" s="252">
        <v>1185.8823529411766</v>
      </c>
      <c r="W101" s="252">
        <v>1025.8823529411766</v>
      </c>
      <c r="X101" s="252">
        <v>1548.2352941176471</v>
      </c>
      <c r="Y101" s="252">
        <v>2574.1176470588234</v>
      </c>
      <c r="Z101" s="253">
        <v>4550.588235294118</v>
      </c>
      <c r="AA101" s="252">
        <v>144.94117647058823</v>
      </c>
      <c r="AB101" s="252">
        <v>112.84705882352942</v>
      </c>
      <c r="AC101" s="252">
        <v>257.78823529411761</v>
      </c>
      <c r="AD101" s="252">
        <v>4.7058823529411766</v>
      </c>
      <c r="AE101" s="252">
        <v>0</v>
      </c>
      <c r="AF101" s="252">
        <v>4.7058823529411766</v>
      </c>
      <c r="AG101" s="252">
        <v>118.58823529411765</v>
      </c>
      <c r="AH101" s="252">
        <v>92.329411764705881</v>
      </c>
      <c r="AI101" s="252">
        <v>210.91764705882352</v>
      </c>
      <c r="AJ101" s="252">
        <v>23.529411764705884</v>
      </c>
      <c r="AK101" s="252">
        <v>225.88235294117646</v>
      </c>
      <c r="AL101" s="252">
        <v>249.41176470588235</v>
      </c>
      <c r="AM101" s="252">
        <v>146.8235294117647</v>
      </c>
      <c r="AN101" s="252">
        <v>318.21176470588239</v>
      </c>
      <c r="AO101" s="252">
        <v>465.03529411764708</v>
      </c>
      <c r="AP101" s="253">
        <v>722.82352941176475</v>
      </c>
      <c r="AQ101" s="254">
        <v>0</v>
      </c>
      <c r="AR101" s="200">
        <v>2234.2588235294115</v>
      </c>
      <c r="AS101" s="200">
        <v>3039.1529411764704</v>
      </c>
      <c r="AT101" s="66">
        <v>5273.411764705882</v>
      </c>
      <c r="AU101" s="252">
        <v>141.1764705882353</v>
      </c>
      <c r="AV101" s="252">
        <v>51.764705882352942</v>
      </c>
      <c r="AW101" s="255">
        <v>141.1764705882353</v>
      </c>
      <c r="AX101" s="252">
        <v>94.117647058823536</v>
      </c>
      <c r="AY101" s="66">
        <v>428.23529411764707</v>
      </c>
      <c r="AZ101" s="256">
        <v>0</v>
      </c>
      <c r="BA101" s="257">
        <v>188.23529411764707</v>
      </c>
      <c r="BB101" s="257">
        <v>705.88235294117646</v>
      </c>
      <c r="BC101" s="257">
        <v>235.29411764705881</v>
      </c>
      <c r="BD101" s="257">
        <v>894.11764705882354</v>
      </c>
      <c r="BE101" s="257">
        <v>1129.4117647058824</v>
      </c>
      <c r="BF101" s="257">
        <v>1910.5882352941176</v>
      </c>
      <c r="BG101" s="258">
        <v>3040</v>
      </c>
      <c r="BH101" s="259">
        <v>8741.6470588235279</v>
      </c>
      <c r="BI101" s="259">
        <v>230938.70588235295</v>
      </c>
      <c r="FE101" s="39">
        <v>40271</v>
      </c>
      <c r="FF101" s="39">
        <v>1505.8823529411766</v>
      </c>
      <c r="FG101" s="39">
        <v>800</v>
      </c>
      <c r="FH101" s="39">
        <v>2305.8823529411766</v>
      </c>
      <c r="FI101" s="39">
        <v>188.23529411764707</v>
      </c>
      <c r="FJ101" s="39" t="e">
        <v>#REF!</v>
      </c>
      <c r="FK101" s="39" t="e">
        <v>#REF!</v>
      </c>
      <c r="FL101" s="39">
        <v>141.1764705882353</v>
      </c>
      <c r="FM101" s="39">
        <v>51.764705882352942</v>
      </c>
      <c r="FN101" s="39" t="e">
        <v>#REF!</v>
      </c>
      <c r="FO101" s="39">
        <v>94.117647058823536</v>
      </c>
      <c r="FP101" s="39" t="e">
        <v>#REF!</v>
      </c>
      <c r="FR101" s="39" t="e">
        <v>#REF!</v>
      </c>
    </row>
    <row r="102" spans="1:174" x14ac:dyDescent="0.25">
      <c r="A102" s="142">
        <v>0</v>
      </c>
      <c r="B102" s="85">
        <v>40272</v>
      </c>
      <c r="C102" s="203">
        <v>40272</v>
      </c>
      <c r="D102" s="76">
        <v>39544</v>
      </c>
      <c r="E102" s="77">
        <v>40272</v>
      </c>
      <c r="F102" s="78">
        <v>13</v>
      </c>
      <c r="G102" s="79"/>
      <c r="H102" s="80" t="s">
        <v>34</v>
      </c>
      <c r="I102" s="212"/>
      <c r="J102" s="212"/>
      <c r="K102" s="231">
        <v>2541.1764705882351</v>
      </c>
      <c r="L102" s="231">
        <v>470.58823529411762</v>
      </c>
      <c r="M102" s="231">
        <v>3011.7647058823527</v>
      </c>
      <c r="N102" s="231">
        <v>2352.9411764705883</v>
      </c>
      <c r="O102" s="231">
        <v>527.05882352941171</v>
      </c>
      <c r="P102" s="231">
        <v>2880</v>
      </c>
      <c r="Q102" s="231">
        <v>131.76470588235293</v>
      </c>
      <c r="R102" s="231">
        <v>0</v>
      </c>
      <c r="S102" s="231">
        <v>131.76470588235293</v>
      </c>
      <c r="T102" s="231">
        <v>235.29411764705881</v>
      </c>
      <c r="U102" s="231">
        <v>1129.4117647058824</v>
      </c>
      <c r="V102" s="231">
        <v>1364.7058823529412</v>
      </c>
      <c r="W102" s="231">
        <v>2720</v>
      </c>
      <c r="X102" s="231">
        <v>1656.4705882352941</v>
      </c>
      <c r="Y102" s="231">
        <v>4376.4705882352937</v>
      </c>
      <c r="Z102" s="205">
        <v>7388.2352941176468</v>
      </c>
      <c r="AA102" s="231">
        <v>49.694117647058818</v>
      </c>
      <c r="AB102" s="231">
        <v>28.470588235294116</v>
      </c>
      <c r="AC102" s="231">
        <v>78.164705882352933</v>
      </c>
      <c r="AD102" s="231">
        <v>0</v>
      </c>
      <c r="AE102" s="231">
        <v>0</v>
      </c>
      <c r="AF102" s="231">
        <v>0</v>
      </c>
      <c r="AG102" s="231">
        <v>40.658823529411769</v>
      </c>
      <c r="AH102" s="231">
        <v>23.294117647058822</v>
      </c>
      <c r="AI102" s="231">
        <v>63.952941176470588</v>
      </c>
      <c r="AJ102" s="231">
        <v>7.5294117647058822</v>
      </c>
      <c r="AK102" s="231">
        <v>15.058823529411764</v>
      </c>
      <c r="AL102" s="231">
        <v>22.588235294117649</v>
      </c>
      <c r="AM102" s="231">
        <v>48.188235294117646</v>
      </c>
      <c r="AN102" s="231">
        <v>38.352941176470587</v>
      </c>
      <c r="AO102" s="231">
        <v>86.54117647058824</v>
      </c>
      <c r="AP102" s="205">
        <v>164.70588235294119</v>
      </c>
      <c r="AQ102" s="232">
        <v>0</v>
      </c>
      <c r="AR102" s="200">
        <v>3089.9294117647055</v>
      </c>
      <c r="AS102" s="200">
        <v>4463.0117647058823</v>
      </c>
      <c r="AT102" s="66">
        <v>7552.9411764705874</v>
      </c>
      <c r="AU102" s="231">
        <v>272.94117647058823</v>
      </c>
      <c r="AV102" s="231">
        <v>70.588235294117652</v>
      </c>
      <c r="AW102" s="75">
        <v>0</v>
      </c>
      <c r="AX102" s="231">
        <v>235.29411764705881</v>
      </c>
      <c r="AY102" s="66">
        <v>578.82352941176464</v>
      </c>
      <c r="AZ102" s="208">
        <v>0</v>
      </c>
      <c r="BA102" s="86">
        <v>461.1764705882353</v>
      </c>
      <c r="BB102" s="86">
        <v>1053.1764705882354</v>
      </c>
      <c r="BC102" s="86">
        <v>508.23529411764707</v>
      </c>
      <c r="BD102" s="86">
        <v>1192.4705882352941</v>
      </c>
      <c r="BE102" s="86">
        <v>1700.7058823529412</v>
      </c>
      <c r="BF102" s="86">
        <v>1658.3529411764705</v>
      </c>
      <c r="BG102" s="209">
        <v>3359.0588235294117</v>
      </c>
      <c r="BH102" s="67">
        <v>11490.823529411764</v>
      </c>
      <c r="BI102" s="67">
        <v>242429.52941176473</v>
      </c>
      <c r="FE102" s="39">
        <v>40272</v>
      </c>
      <c r="FF102" s="39">
        <v>2541.1764705882351</v>
      </c>
      <c r="FG102" s="39">
        <v>2352.9411764705883</v>
      </c>
      <c r="FH102" s="39">
        <v>4894.1176470588234</v>
      </c>
      <c r="FI102" s="39">
        <v>461.1764705882353</v>
      </c>
      <c r="FJ102" s="39" t="e">
        <v>#REF!</v>
      </c>
      <c r="FK102" s="39" t="e">
        <v>#REF!</v>
      </c>
      <c r="FL102" s="39">
        <v>272.94117647058823</v>
      </c>
      <c r="FM102" s="39">
        <v>70.588235294117652</v>
      </c>
      <c r="FN102" s="39" t="e">
        <v>#REF!</v>
      </c>
      <c r="FO102" s="39">
        <v>235.29411764705881</v>
      </c>
      <c r="FP102" s="39" t="e">
        <v>#REF!</v>
      </c>
      <c r="FR102" s="39" t="e">
        <v>#REF!</v>
      </c>
    </row>
    <row r="103" spans="1:174" ht="13.8" thickBot="1" x14ac:dyDescent="0.3">
      <c r="A103" s="142">
        <v>0</v>
      </c>
      <c r="B103" s="123">
        <v>40273</v>
      </c>
      <c r="C103" s="260">
        <v>40273</v>
      </c>
      <c r="D103" s="138">
        <v>39545</v>
      </c>
      <c r="E103" s="261">
        <v>40273</v>
      </c>
      <c r="F103" s="139">
        <v>14</v>
      </c>
      <c r="G103" s="262" t="s">
        <v>31</v>
      </c>
      <c r="H103" s="140" t="s">
        <v>34</v>
      </c>
      <c r="I103" s="263"/>
      <c r="J103" s="263"/>
      <c r="K103" s="264">
        <v>1317.6470588235295</v>
      </c>
      <c r="L103" s="264">
        <v>254.11764705882354</v>
      </c>
      <c r="M103" s="264">
        <v>1571.7647058823532</v>
      </c>
      <c r="N103" s="264">
        <v>470.58823529411762</v>
      </c>
      <c r="O103" s="264">
        <v>376.47058823529414</v>
      </c>
      <c r="P103" s="264">
        <v>847.05882352941171</v>
      </c>
      <c r="Q103" s="264">
        <v>41.411764705882355</v>
      </c>
      <c r="R103" s="264">
        <v>2.8235294117647061</v>
      </c>
      <c r="S103" s="264">
        <v>44.235294117647058</v>
      </c>
      <c r="T103" s="264">
        <v>108.23529411764706</v>
      </c>
      <c r="U103" s="264">
        <v>1788.2352941176471</v>
      </c>
      <c r="V103" s="264">
        <v>1896.4705882352941</v>
      </c>
      <c r="W103" s="264">
        <v>620.23529411764707</v>
      </c>
      <c r="X103" s="264">
        <v>2167.5294117647059</v>
      </c>
      <c r="Y103" s="264">
        <v>2787.7647058823532</v>
      </c>
      <c r="Z103" s="265">
        <v>4359.5294117647063</v>
      </c>
      <c r="AA103" s="264">
        <v>109.2235294117647</v>
      </c>
      <c r="AB103" s="264">
        <v>55.905882352941177</v>
      </c>
      <c r="AC103" s="264">
        <v>165.12941176470588</v>
      </c>
      <c r="AD103" s="264">
        <v>3.7647058823529411</v>
      </c>
      <c r="AE103" s="264">
        <v>0</v>
      </c>
      <c r="AF103" s="264">
        <v>3.7647058823529411</v>
      </c>
      <c r="AG103" s="264">
        <v>89.364705882352951</v>
      </c>
      <c r="AH103" s="264">
        <v>45.741176470588236</v>
      </c>
      <c r="AI103" s="264">
        <v>135.10588235294119</v>
      </c>
      <c r="AJ103" s="264">
        <v>6.5882352941176467</v>
      </c>
      <c r="AK103" s="264">
        <v>133.64705882352942</v>
      </c>
      <c r="AL103" s="264">
        <v>140.23529411764707</v>
      </c>
      <c r="AM103" s="264">
        <v>99.71764705882353</v>
      </c>
      <c r="AN103" s="264">
        <v>179.38823529411764</v>
      </c>
      <c r="AO103" s="264">
        <v>279.10588235294119</v>
      </c>
      <c r="AP103" s="265">
        <v>444.23529411764707</v>
      </c>
      <c r="AQ103" s="266">
        <v>0</v>
      </c>
      <c r="AR103" s="200">
        <v>1736.8941176470589</v>
      </c>
      <c r="AS103" s="200">
        <v>3066.8705882352942</v>
      </c>
      <c r="AT103" s="66">
        <v>4803.7647058823532</v>
      </c>
      <c r="AU103" s="267">
        <v>141.1764705882353</v>
      </c>
      <c r="AV103" s="267">
        <v>47.058823529411768</v>
      </c>
      <c r="AW103" s="75">
        <v>0</v>
      </c>
      <c r="AX103" s="264">
        <v>65.882352941176464</v>
      </c>
      <c r="AY103" s="66">
        <v>254.11764705882354</v>
      </c>
      <c r="AZ103" s="268">
        <v>0</v>
      </c>
      <c r="BA103" s="129">
        <v>469.64705882352939</v>
      </c>
      <c r="BB103" s="129">
        <v>0</v>
      </c>
      <c r="BC103" s="129">
        <v>469.64705882352939</v>
      </c>
      <c r="BD103" s="129">
        <v>0</v>
      </c>
      <c r="BE103" s="129">
        <v>469.64705882352939</v>
      </c>
      <c r="BF103" s="129">
        <v>1294.1176470588234</v>
      </c>
      <c r="BG103" s="269">
        <v>1763.7647058823527</v>
      </c>
      <c r="BH103" s="270">
        <v>6821.6470588235297</v>
      </c>
      <c r="BI103" s="270">
        <v>249251.17647058825</v>
      </c>
      <c r="FE103" s="39">
        <v>40273</v>
      </c>
      <c r="FF103" s="39">
        <v>1317.6470588235295</v>
      </c>
      <c r="FG103" s="39">
        <v>470.58823529411762</v>
      </c>
      <c r="FH103" s="39">
        <v>1788.2352941176471</v>
      </c>
      <c r="FI103" s="39">
        <v>469.64705882352939</v>
      </c>
      <c r="FJ103" s="39" t="e">
        <v>#REF!</v>
      </c>
      <c r="FK103" s="39" t="e">
        <v>#REF!</v>
      </c>
      <c r="FL103" s="39">
        <v>141.1764705882353</v>
      </c>
      <c r="FM103" s="39">
        <v>47.058823529411768</v>
      </c>
      <c r="FN103" s="39" t="e">
        <v>#REF!</v>
      </c>
      <c r="FO103" s="39">
        <v>65.882352941176464</v>
      </c>
      <c r="FP103" s="39" t="e">
        <v>#REF!</v>
      </c>
      <c r="FR103" s="39" t="e">
        <v>#REF!</v>
      </c>
    </row>
    <row r="104" spans="1:174" x14ac:dyDescent="0.25">
      <c r="A104" s="142">
        <v>0</v>
      </c>
      <c r="B104" s="109">
        <v>40274</v>
      </c>
      <c r="C104" s="271">
        <v>40274</v>
      </c>
      <c r="D104" s="110">
        <v>39546</v>
      </c>
      <c r="E104" s="111">
        <v>40274</v>
      </c>
      <c r="F104" s="112">
        <v>14</v>
      </c>
      <c r="G104" s="113"/>
      <c r="H104" s="114" t="s">
        <v>34</v>
      </c>
      <c r="I104" s="272"/>
      <c r="J104" s="272"/>
      <c r="K104" s="273">
        <v>1383.5294117647059</v>
      </c>
      <c r="L104" s="273">
        <v>329.41176470588238</v>
      </c>
      <c r="M104" s="273">
        <v>1712.9411764705883</v>
      </c>
      <c r="N104" s="273">
        <v>701.17647058823525</v>
      </c>
      <c r="O104" s="273">
        <v>481.88235294117646</v>
      </c>
      <c r="P104" s="273">
        <v>1183.0588235294117</v>
      </c>
      <c r="Q104" s="273">
        <v>84.705882352941174</v>
      </c>
      <c r="R104" s="273">
        <v>2.8235294117647061</v>
      </c>
      <c r="S104" s="273">
        <v>87.529411764705884</v>
      </c>
      <c r="T104" s="273">
        <v>76.235294117647058</v>
      </c>
      <c r="U104" s="273">
        <v>1665.8823529411766</v>
      </c>
      <c r="V104" s="273">
        <v>1742.1176470588234</v>
      </c>
      <c r="W104" s="273">
        <v>862.11764705882354</v>
      </c>
      <c r="X104" s="273">
        <v>2150.5882352941176</v>
      </c>
      <c r="Y104" s="273">
        <v>3012.705882352941</v>
      </c>
      <c r="Z104" s="200">
        <v>4725.6470588235297</v>
      </c>
      <c r="AA104" s="273">
        <v>93.17647058823529</v>
      </c>
      <c r="AB104" s="273">
        <v>82.82352941176471</v>
      </c>
      <c r="AC104" s="273">
        <v>176</v>
      </c>
      <c r="AD104" s="273">
        <v>16</v>
      </c>
      <c r="AE104" s="273">
        <v>0</v>
      </c>
      <c r="AF104" s="273">
        <v>16</v>
      </c>
      <c r="AG104" s="273">
        <v>76.235294117647058</v>
      </c>
      <c r="AH104" s="273">
        <v>67.764705882352942</v>
      </c>
      <c r="AI104" s="273">
        <v>144</v>
      </c>
      <c r="AJ104" s="273">
        <v>19.764705882352942</v>
      </c>
      <c r="AK104" s="273">
        <v>169.41176470588235</v>
      </c>
      <c r="AL104" s="273">
        <v>189.1764705882353</v>
      </c>
      <c r="AM104" s="273">
        <v>112</v>
      </c>
      <c r="AN104" s="273">
        <v>237.1764705882353</v>
      </c>
      <c r="AO104" s="273">
        <v>349.1764705882353</v>
      </c>
      <c r="AP104" s="200">
        <v>525.17647058823525</v>
      </c>
      <c r="AQ104" s="274">
        <v>0</v>
      </c>
      <c r="AR104" s="200">
        <v>1888.9411764705883</v>
      </c>
      <c r="AS104" s="200">
        <v>3361.8823529411761</v>
      </c>
      <c r="AT104" s="66">
        <v>5250.823529411764</v>
      </c>
      <c r="AU104" s="273">
        <v>141.1764705882353</v>
      </c>
      <c r="AV104" s="273">
        <v>56.470588235294116</v>
      </c>
      <c r="AW104" s="75">
        <v>0</v>
      </c>
      <c r="AX104" s="273">
        <v>94.117647058823536</v>
      </c>
      <c r="AY104" s="66">
        <v>291.76470588235293</v>
      </c>
      <c r="AZ104" s="275">
        <v>0</v>
      </c>
      <c r="BA104" s="115">
        <v>45.176470588235297</v>
      </c>
      <c r="BB104" s="115">
        <v>0</v>
      </c>
      <c r="BC104" s="115">
        <v>45.176470588235297</v>
      </c>
      <c r="BD104" s="115">
        <v>0</v>
      </c>
      <c r="BE104" s="115">
        <v>45.176470588235297</v>
      </c>
      <c r="BF104" s="115">
        <v>1111.5294117647059</v>
      </c>
      <c r="BG104" s="276">
        <v>1156.7058823529412</v>
      </c>
      <c r="BH104" s="277">
        <v>6699.2941176470576</v>
      </c>
      <c r="BI104" s="277">
        <v>255950.4705882353</v>
      </c>
      <c r="FE104" s="39">
        <v>40274</v>
      </c>
      <c r="FF104" s="39">
        <v>1383.5294117647059</v>
      </c>
      <c r="FG104" s="39">
        <v>701.17647058823525</v>
      </c>
      <c r="FH104" s="39">
        <v>2084.705882352941</v>
      </c>
      <c r="FI104" s="39">
        <v>45.176470588235297</v>
      </c>
      <c r="FJ104" s="39" t="e">
        <v>#REF!</v>
      </c>
      <c r="FK104" s="39" t="e">
        <v>#REF!</v>
      </c>
      <c r="FL104" s="39">
        <v>141.1764705882353</v>
      </c>
      <c r="FM104" s="39">
        <v>56.470588235294116</v>
      </c>
      <c r="FN104" s="39" t="e">
        <v>#REF!</v>
      </c>
      <c r="FO104" s="39">
        <v>94.117647058823536</v>
      </c>
      <c r="FP104" s="39" t="e">
        <v>#REF!</v>
      </c>
      <c r="FR104" s="39" t="e">
        <v>#REF!</v>
      </c>
    </row>
    <row r="105" spans="1:174" x14ac:dyDescent="0.25">
      <c r="A105" s="142">
        <v>0</v>
      </c>
      <c r="B105" s="68">
        <v>40275</v>
      </c>
      <c r="C105" s="198">
        <v>40275</v>
      </c>
      <c r="D105" s="69">
        <v>39547</v>
      </c>
      <c r="E105" s="70">
        <v>40275</v>
      </c>
      <c r="F105" s="71">
        <v>14</v>
      </c>
      <c r="G105" s="72"/>
      <c r="H105" s="82" t="s">
        <v>34</v>
      </c>
      <c r="I105" s="210"/>
      <c r="J105" s="210"/>
      <c r="K105" s="235">
        <v>1355.2941176470588</v>
      </c>
      <c r="L105" s="235">
        <v>254.11764705882354</v>
      </c>
      <c r="M105" s="235">
        <v>1609.4117647058824</v>
      </c>
      <c r="N105" s="235">
        <v>507.29411764705884</v>
      </c>
      <c r="O105" s="235">
        <v>410.35294117647061</v>
      </c>
      <c r="P105" s="235">
        <v>917.64705882352939</v>
      </c>
      <c r="Q105" s="235">
        <v>41.411764705882355</v>
      </c>
      <c r="R105" s="235">
        <v>2.8235294117647061</v>
      </c>
      <c r="S105" s="235">
        <v>44.235294117647058</v>
      </c>
      <c r="T105" s="235">
        <v>108.23529411764706</v>
      </c>
      <c r="U105" s="235">
        <v>1926.5882352941176</v>
      </c>
      <c r="V105" s="235">
        <v>2034.8235294117646</v>
      </c>
      <c r="W105" s="235">
        <v>656.94117647058829</v>
      </c>
      <c r="X105" s="235">
        <v>2339.7647058823532</v>
      </c>
      <c r="Y105" s="235">
        <v>2996.705882352941</v>
      </c>
      <c r="Z105" s="200">
        <v>4606.1176470588234</v>
      </c>
      <c r="AA105" s="235">
        <v>109.2235294117647</v>
      </c>
      <c r="AB105" s="235">
        <v>55.905882352941177</v>
      </c>
      <c r="AC105" s="235">
        <v>165.12941176470588</v>
      </c>
      <c r="AD105" s="235">
        <v>3.7647058823529411</v>
      </c>
      <c r="AE105" s="235">
        <v>0</v>
      </c>
      <c r="AF105" s="235">
        <v>3.7647058823529411</v>
      </c>
      <c r="AG105" s="235">
        <v>89.364705882352951</v>
      </c>
      <c r="AH105" s="235">
        <v>45.741176470588236</v>
      </c>
      <c r="AI105" s="235">
        <v>135.10588235294119</v>
      </c>
      <c r="AJ105" s="235">
        <v>6.5882352941176467</v>
      </c>
      <c r="AK105" s="235">
        <v>133.64705882352942</v>
      </c>
      <c r="AL105" s="235">
        <v>140.23529411764707</v>
      </c>
      <c r="AM105" s="235">
        <v>99.71764705882353</v>
      </c>
      <c r="AN105" s="235">
        <v>179.38823529411764</v>
      </c>
      <c r="AO105" s="235">
        <v>279.10588235294119</v>
      </c>
      <c r="AP105" s="200">
        <v>444.23529411764707</v>
      </c>
      <c r="AQ105" s="141">
        <v>0</v>
      </c>
      <c r="AR105" s="200">
        <v>1774.5411764705882</v>
      </c>
      <c r="AS105" s="200">
        <v>3275.8117647058821</v>
      </c>
      <c r="AT105" s="66">
        <v>5050.3529411764703</v>
      </c>
      <c r="AU105" s="235">
        <v>103.52941176470588</v>
      </c>
      <c r="AV105" s="235">
        <v>47.058823529411768</v>
      </c>
      <c r="AW105" s="75">
        <v>0</v>
      </c>
      <c r="AX105" s="235">
        <v>65.882352941176464</v>
      </c>
      <c r="AY105" s="66">
        <v>216.47058823529412</v>
      </c>
      <c r="AZ105" s="202">
        <v>0</v>
      </c>
      <c r="BA105" s="87">
        <v>36.705882352941174</v>
      </c>
      <c r="BB105" s="87">
        <v>0</v>
      </c>
      <c r="BC105" s="87">
        <v>36.705882352941174</v>
      </c>
      <c r="BD105" s="87">
        <v>0</v>
      </c>
      <c r="BE105" s="87">
        <v>36.705882352941174</v>
      </c>
      <c r="BF105" s="87">
        <v>1294.1176470588234</v>
      </c>
      <c r="BG105" s="66">
        <v>1330.8235294117646</v>
      </c>
      <c r="BH105" s="67">
        <v>6597.6470588235288</v>
      </c>
      <c r="BI105" s="67">
        <v>262548.11764705885</v>
      </c>
      <c r="FE105" s="39">
        <v>40275</v>
      </c>
      <c r="FF105" s="39">
        <v>1355.2941176470588</v>
      </c>
      <c r="FG105" s="39">
        <v>507.29411764705884</v>
      </c>
      <c r="FH105" s="39">
        <v>1862.5882352941176</v>
      </c>
      <c r="FI105" s="39">
        <v>36.705882352941174</v>
      </c>
      <c r="FJ105" s="39" t="e">
        <v>#REF!</v>
      </c>
      <c r="FK105" s="39" t="e">
        <v>#REF!</v>
      </c>
      <c r="FL105" s="39">
        <v>103.52941176470588</v>
      </c>
      <c r="FM105" s="39">
        <v>47.058823529411768</v>
      </c>
      <c r="FN105" s="39" t="e">
        <v>#REF!</v>
      </c>
      <c r="FO105" s="39">
        <v>65.882352941176464</v>
      </c>
      <c r="FP105" s="39" t="e">
        <v>#REF!</v>
      </c>
      <c r="FR105" s="39" t="e">
        <v>#REF!</v>
      </c>
    </row>
    <row r="106" spans="1:174" x14ac:dyDescent="0.25">
      <c r="A106" s="142">
        <v>0</v>
      </c>
      <c r="B106" s="68">
        <v>40276</v>
      </c>
      <c r="C106" s="198">
        <v>40276</v>
      </c>
      <c r="D106" s="69">
        <v>39548</v>
      </c>
      <c r="E106" s="70">
        <v>40276</v>
      </c>
      <c r="F106" s="71">
        <v>14</v>
      </c>
      <c r="G106" s="72"/>
      <c r="H106" s="82" t="s">
        <v>34</v>
      </c>
      <c r="I106" s="210"/>
      <c r="J106" s="210"/>
      <c r="K106" s="235">
        <v>1317.6470588235295</v>
      </c>
      <c r="L106" s="235">
        <v>282.35294117647061</v>
      </c>
      <c r="M106" s="235">
        <v>1600</v>
      </c>
      <c r="N106" s="235">
        <v>770.82352941176475</v>
      </c>
      <c r="O106" s="235">
        <v>231.52941176470588</v>
      </c>
      <c r="P106" s="235">
        <v>1002.3529411764706</v>
      </c>
      <c r="Q106" s="235">
        <v>45.176470588235297</v>
      </c>
      <c r="R106" s="235">
        <v>0</v>
      </c>
      <c r="S106" s="235">
        <v>45.176470588235297</v>
      </c>
      <c r="T106" s="235">
        <v>158.11764705882354</v>
      </c>
      <c r="U106" s="235">
        <v>1838.1176470588234</v>
      </c>
      <c r="V106" s="235">
        <v>1996.2352941176471</v>
      </c>
      <c r="W106" s="235">
        <v>974.11764705882354</v>
      </c>
      <c r="X106" s="235">
        <v>2069.6470588235293</v>
      </c>
      <c r="Y106" s="235">
        <v>3043.7647058823532</v>
      </c>
      <c r="Z106" s="200">
        <v>4643.7647058823532</v>
      </c>
      <c r="AA106" s="235">
        <v>171.34117647058824</v>
      </c>
      <c r="AB106" s="235">
        <v>55.905882352941177</v>
      </c>
      <c r="AC106" s="235">
        <v>227.24705882352941</v>
      </c>
      <c r="AD106" s="235">
        <v>0</v>
      </c>
      <c r="AE106" s="235">
        <v>0</v>
      </c>
      <c r="AF106" s="235">
        <v>0</v>
      </c>
      <c r="AG106" s="235">
        <v>140.18823529411765</v>
      </c>
      <c r="AH106" s="235">
        <v>45.741176470588236</v>
      </c>
      <c r="AI106" s="235">
        <v>185.92941176470586</v>
      </c>
      <c r="AJ106" s="235">
        <v>8.4705882352941178</v>
      </c>
      <c r="AK106" s="235">
        <v>158.11764705882354</v>
      </c>
      <c r="AL106" s="235">
        <v>166.58823529411765</v>
      </c>
      <c r="AM106" s="235">
        <v>148.65882352941176</v>
      </c>
      <c r="AN106" s="235">
        <v>203.85882352941175</v>
      </c>
      <c r="AO106" s="235">
        <v>352.51764705882351</v>
      </c>
      <c r="AP106" s="200">
        <v>579.76470588235293</v>
      </c>
      <c r="AQ106" s="141">
        <v>0</v>
      </c>
      <c r="AR106" s="200">
        <v>1827.2470588235294</v>
      </c>
      <c r="AS106" s="200">
        <v>3396.2823529411767</v>
      </c>
      <c r="AT106" s="66">
        <v>5223.5294117647063</v>
      </c>
      <c r="AU106" s="235">
        <v>112.94117647058823</v>
      </c>
      <c r="AV106" s="235">
        <v>47.058823529411768</v>
      </c>
      <c r="AW106" s="75">
        <v>244.70588235294119</v>
      </c>
      <c r="AX106" s="235">
        <v>94.117647058823536</v>
      </c>
      <c r="AY106" s="66">
        <v>498.82352941176475</v>
      </c>
      <c r="AZ106" s="202">
        <v>0</v>
      </c>
      <c r="BA106" s="87">
        <v>70.588235294117652</v>
      </c>
      <c r="BB106" s="87">
        <v>20.705882352941178</v>
      </c>
      <c r="BC106" s="87">
        <v>247.52941176470588</v>
      </c>
      <c r="BD106" s="87">
        <v>20.705882352941178</v>
      </c>
      <c r="BE106" s="87">
        <v>268.23529411764707</v>
      </c>
      <c r="BF106" s="87">
        <v>970.35294117647061</v>
      </c>
      <c r="BG106" s="66">
        <v>1238.5882352941176</v>
      </c>
      <c r="BH106" s="67">
        <v>6960.9411764705892</v>
      </c>
      <c r="BI106" s="67">
        <v>269509.05882352946</v>
      </c>
      <c r="FE106" s="39">
        <v>40276</v>
      </c>
      <c r="FF106" s="39">
        <v>1317.6470588235295</v>
      </c>
      <c r="FG106" s="39">
        <v>770.82352941176475</v>
      </c>
      <c r="FH106" s="39">
        <v>2088.4705882352941</v>
      </c>
      <c r="FI106" s="39">
        <v>70.588235294117652</v>
      </c>
      <c r="FJ106" s="39" t="e">
        <v>#REF!</v>
      </c>
      <c r="FK106" s="39" t="e">
        <v>#REF!</v>
      </c>
      <c r="FL106" s="39">
        <v>112.94117647058823</v>
      </c>
      <c r="FM106" s="39">
        <v>47.058823529411768</v>
      </c>
      <c r="FN106" s="39" t="e">
        <v>#REF!</v>
      </c>
      <c r="FO106" s="39">
        <v>94.117647058823536</v>
      </c>
      <c r="FP106" s="39" t="e">
        <v>#REF!</v>
      </c>
      <c r="FR106" s="39" t="e">
        <v>#REF!</v>
      </c>
    </row>
    <row r="107" spans="1:174" x14ac:dyDescent="0.25">
      <c r="A107" s="142">
        <v>0</v>
      </c>
      <c r="B107" s="88">
        <v>40277</v>
      </c>
      <c r="C107" s="236">
        <v>40277</v>
      </c>
      <c r="D107" s="89">
        <v>39549</v>
      </c>
      <c r="E107" s="90">
        <v>40277</v>
      </c>
      <c r="F107" s="91">
        <v>14</v>
      </c>
      <c r="G107" s="92"/>
      <c r="H107" s="93" t="s">
        <v>34</v>
      </c>
      <c r="I107" s="237"/>
      <c r="J107" s="237"/>
      <c r="K107" s="238">
        <v>2164.705882352941</v>
      </c>
      <c r="L107" s="238">
        <v>545.88235294117646</v>
      </c>
      <c r="M107" s="238">
        <v>2710.5882352941176</v>
      </c>
      <c r="N107" s="238">
        <v>527.05882352941171</v>
      </c>
      <c r="O107" s="238">
        <v>192</v>
      </c>
      <c r="P107" s="238">
        <v>719.05882352941171</v>
      </c>
      <c r="Q107" s="238">
        <v>47.058823529411768</v>
      </c>
      <c r="R107" s="238">
        <v>0</v>
      </c>
      <c r="S107" s="238">
        <v>47.058823529411768</v>
      </c>
      <c r="T107" s="238">
        <v>98.82352941176471</v>
      </c>
      <c r="U107" s="238">
        <v>1396.7058823529412</v>
      </c>
      <c r="V107" s="238">
        <v>1495.5294117647059</v>
      </c>
      <c r="W107" s="238">
        <v>672.94117647058829</v>
      </c>
      <c r="X107" s="238">
        <v>1588.7058823529412</v>
      </c>
      <c r="Y107" s="238">
        <v>2261.6470588235293</v>
      </c>
      <c r="Z107" s="239">
        <v>4972.2352941176468</v>
      </c>
      <c r="AA107" s="238">
        <v>204.47058823529412</v>
      </c>
      <c r="AB107" s="238">
        <v>87.482352941176472</v>
      </c>
      <c r="AC107" s="238">
        <v>291.95294117647057</v>
      </c>
      <c r="AD107" s="238">
        <v>3.7647058823529411</v>
      </c>
      <c r="AE107" s="238">
        <v>0</v>
      </c>
      <c r="AF107" s="238">
        <v>3.7647058823529411</v>
      </c>
      <c r="AG107" s="238">
        <v>167.29411764705881</v>
      </c>
      <c r="AH107" s="238">
        <v>71.576470588235296</v>
      </c>
      <c r="AI107" s="238">
        <v>238.87058823529412</v>
      </c>
      <c r="AJ107" s="238">
        <v>30.117647058823529</v>
      </c>
      <c r="AK107" s="238">
        <v>304.94117647058823</v>
      </c>
      <c r="AL107" s="238">
        <v>335.05882352941177</v>
      </c>
      <c r="AM107" s="238">
        <v>201.1764705882353</v>
      </c>
      <c r="AN107" s="238">
        <v>376.51764705882351</v>
      </c>
      <c r="AO107" s="238">
        <v>577.69411764705876</v>
      </c>
      <c r="AP107" s="239">
        <v>869.64705882352939</v>
      </c>
      <c r="AQ107" s="240">
        <v>0</v>
      </c>
      <c r="AR107" s="200">
        <v>3002.5411764705882</v>
      </c>
      <c r="AS107" s="200">
        <v>2839.3411764705879</v>
      </c>
      <c r="AT107" s="66">
        <v>5841.8823529411766</v>
      </c>
      <c r="AU107" s="238">
        <v>103.52941176470588</v>
      </c>
      <c r="AV107" s="238">
        <v>47.058823529411768</v>
      </c>
      <c r="AW107" s="75">
        <v>47.058823529411768</v>
      </c>
      <c r="AX107" s="238">
        <v>122.35294117647059</v>
      </c>
      <c r="AY107" s="66">
        <v>320</v>
      </c>
      <c r="AZ107" s="241">
        <v>0</v>
      </c>
      <c r="BA107" s="94">
        <v>26.352941176470587</v>
      </c>
      <c r="BB107" s="94">
        <v>142.11764705882354</v>
      </c>
      <c r="BC107" s="94">
        <v>121.41176470588235</v>
      </c>
      <c r="BD107" s="94">
        <v>142.11764705882354</v>
      </c>
      <c r="BE107" s="94">
        <v>263.52941176470586</v>
      </c>
      <c r="BF107" s="94">
        <v>1031.5294117647059</v>
      </c>
      <c r="BG107" s="66">
        <v>1295.0588235294117</v>
      </c>
      <c r="BH107" s="67">
        <v>7456.9411764705883</v>
      </c>
      <c r="BI107" s="67">
        <v>276966</v>
      </c>
      <c r="FE107" s="39">
        <v>40277</v>
      </c>
      <c r="FF107" s="39">
        <v>2164.705882352941</v>
      </c>
      <c r="FG107" s="39">
        <v>527.05882352941171</v>
      </c>
      <c r="FH107" s="39">
        <v>2691.7647058823527</v>
      </c>
      <c r="FI107" s="39">
        <v>26.352941176470587</v>
      </c>
      <c r="FJ107" s="39" t="e">
        <v>#REF!</v>
      </c>
      <c r="FK107" s="39" t="e">
        <v>#REF!</v>
      </c>
      <c r="FL107" s="39">
        <v>103.52941176470588</v>
      </c>
      <c r="FM107" s="39">
        <v>47.058823529411768</v>
      </c>
      <c r="FN107" s="39" t="e">
        <v>#REF!</v>
      </c>
      <c r="FO107" s="39">
        <v>122.35294117647059</v>
      </c>
      <c r="FP107" s="39" t="e">
        <v>#REF!</v>
      </c>
      <c r="FR107" s="39" t="e">
        <v>#REF!</v>
      </c>
    </row>
    <row r="108" spans="1:174" x14ac:dyDescent="0.25">
      <c r="A108" s="142">
        <v>0</v>
      </c>
      <c r="B108" s="278">
        <v>40278</v>
      </c>
      <c r="C108" s="279">
        <v>40278</v>
      </c>
      <c r="D108" s="280">
        <v>39550</v>
      </c>
      <c r="E108" s="281">
        <v>40278</v>
      </c>
      <c r="F108" s="282">
        <v>14</v>
      </c>
      <c r="G108" s="283"/>
      <c r="H108" s="284" t="s">
        <v>56</v>
      </c>
      <c r="I108" s="285"/>
      <c r="J108" s="285"/>
      <c r="K108" s="286">
        <v>1552.9411764705883</v>
      </c>
      <c r="L108" s="286">
        <v>489.41176470588238</v>
      </c>
      <c r="M108" s="286">
        <v>2042.3529411764707</v>
      </c>
      <c r="N108" s="286">
        <v>847.05882352941171</v>
      </c>
      <c r="O108" s="286">
        <v>508.23529411764707</v>
      </c>
      <c r="P108" s="286">
        <v>1355.2941176470588</v>
      </c>
      <c r="Q108" s="286">
        <v>80.941176470588232</v>
      </c>
      <c r="R108" s="286">
        <v>4.7058823529411766</v>
      </c>
      <c r="S108" s="286">
        <v>85.647058823529406</v>
      </c>
      <c r="T108" s="286">
        <v>150.58823529411765</v>
      </c>
      <c r="U108" s="286">
        <v>1317.6470588235295</v>
      </c>
      <c r="V108" s="286">
        <v>1468.2352941176471</v>
      </c>
      <c r="W108" s="286">
        <v>1078.5882352941176</v>
      </c>
      <c r="X108" s="286">
        <v>1830.5882352941176</v>
      </c>
      <c r="Y108" s="286">
        <v>2909.1764705882351</v>
      </c>
      <c r="Z108" s="287">
        <v>4951.5294117647063</v>
      </c>
      <c r="AA108" s="286">
        <v>144.94117647058823</v>
      </c>
      <c r="AB108" s="286">
        <v>112.84705882352942</v>
      </c>
      <c r="AC108" s="286">
        <v>257.78823529411761</v>
      </c>
      <c r="AD108" s="286">
        <v>4.7058823529411766</v>
      </c>
      <c r="AE108" s="286">
        <v>0</v>
      </c>
      <c r="AF108" s="286">
        <v>4.7058823529411766</v>
      </c>
      <c r="AG108" s="286">
        <v>118.58823529411765</v>
      </c>
      <c r="AH108" s="286">
        <v>92.329411764705881</v>
      </c>
      <c r="AI108" s="286">
        <v>210.91764705882352</v>
      </c>
      <c r="AJ108" s="286">
        <v>23.529411764705884</v>
      </c>
      <c r="AK108" s="286">
        <v>225.88235294117646</v>
      </c>
      <c r="AL108" s="286">
        <v>249.41176470588235</v>
      </c>
      <c r="AM108" s="286">
        <v>146.8235294117647</v>
      </c>
      <c r="AN108" s="286">
        <v>318.21176470588239</v>
      </c>
      <c r="AO108" s="286">
        <v>465.03529411764708</v>
      </c>
      <c r="AP108" s="287">
        <v>722.82352941176475</v>
      </c>
      <c r="AQ108" s="288">
        <v>0</v>
      </c>
      <c r="AR108" s="200">
        <v>2300.1411764705881</v>
      </c>
      <c r="AS108" s="200">
        <v>3374.2117647058822</v>
      </c>
      <c r="AT108" s="66">
        <v>5674.3529411764703</v>
      </c>
      <c r="AU108" s="286">
        <v>94.117647058823536</v>
      </c>
      <c r="AV108" s="286">
        <v>51.764705882352942</v>
      </c>
      <c r="AW108" s="75">
        <v>235.29411764705881</v>
      </c>
      <c r="AX108" s="286">
        <v>169.41176470588235</v>
      </c>
      <c r="AY108" s="66">
        <v>550.58823529411757</v>
      </c>
      <c r="AZ108" s="289">
        <v>0</v>
      </c>
      <c r="BA108" s="290">
        <v>188.23529411764707</v>
      </c>
      <c r="BB108" s="290">
        <v>705.88235294117646</v>
      </c>
      <c r="BC108" s="290">
        <v>188.23529411764707</v>
      </c>
      <c r="BD108" s="290">
        <v>732.23529411764707</v>
      </c>
      <c r="BE108" s="290">
        <v>920.47058823529414</v>
      </c>
      <c r="BF108" s="291">
        <v>1063.5294117647059</v>
      </c>
      <c r="BG108" s="209">
        <v>1984</v>
      </c>
      <c r="BH108" s="67">
        <v>8208.9411764705874</v>
      </c>
      <c r="BI108" s="67">
        <v>285174.94117647066</v>
      </c>
      <c r="FE108" s="39">
        <v>40278</v>
      </c>
      <c r="FF108" s="39">
        <v>1552.9411764705883</v>
      </c>
      <c r="FG108" s="39">
        <v>847.05882352941171</v>
      </c>
      <c r="FH108" s="39">
        <v>2400</v>
      </c>
      <c r="FI108" s="39">
        <v>188.23529411764707</v>
      </c>
      <c r="FJ108" s="39" t="e">
        <v>#REF!</v>
      </c>
      <c r="FK108" s="39" t="e">
        <v>#REF!</v>
      </c>
      <c r="FL108" s="39">
        <v>94.117647058823536</v>
      </c>
      <c r="FM108" s="39">
        <v>51.764705882352942</v>
      </c>
      <c r="FN108" s="39" t="e">
        <v>#REF!</v>
      </c>
      <c r="FO108" s="39">
        <v>169.41176470588235</v>
      </c>
      <c r="FP108" s="39" t="e">
        <v>#REF!</v>
      </c>
      <c r="FR108" s="39" t="e">
        <v>#REF!</v>
      </c>
    </row>
    <row r="109" spans="1:174" x14ac:dyDescent="0.25">
      <c r="A109" s="142">
        <v>0</v>
      </c>
      <c r="B109" s="132">
        <v>40279</v>
      </c>
      <c r="C109" s="292">
        <v>40279</v>
      </c>
      <c r="D109" s="96">
        <v>39551</v>
      </c>
      <c r="E109" s="97">
        <v>40279</v>
      </c>
      <c r="F109" s="98">
        <v>14</v>
      </c>
      <c r="G109" s="99"/>
      <c r="H109" s="100" t="s">
        <v>56</v>
      </c>
      <c r="I109" s="293"/>
      <c r="J109" s="293"/>
      <c r="K109" s="294">
        <v>1035.2941176470588</v>
      </c>
      <c r="L109" s="294">
        <v>376.47058823529414</v>
      </c>
      <c r="M109" s="294">
        <v>1411.7647058823529</v>
      </c>
      <c r="N109" s="294">
        <v>1788.2352941176471</v>
      </c>
      <c r="O109" s="294">
        <v>630.58823529411768</v>
      </c>
      <c r="P109" s="294">
        <v>2418.8235294117649</v>
      </c>
      <c r="Q109" s="294">
        <v>154.35294117647058</v>
      </c>
      <c r="R109" s="294">
        <v>4.7058823529411766</v>
      </c>
      <c r="S109" s="294">
        <v>159.05882352941177</v>
      </c>
      <c r="T109" s="294">
        <v>188.23529411764707</v>
      </c>
      <c r="U109" s="294">
        <v>1976.4705882352941</v>
      </c>
      <c r="V109" s="294">
        <v>2164.705882352941</v>
      </c>
      <c r="W109" s="294">
        <v>2130.8235294117649</v>
      </c>
      <c r="X109" s="294">
        <v>2611.7647058823532</v>
      </c>
      <c r="Y109" s="294">
        <v>4742.588235294118</v>
      </c>
      <c r="Z109" s="205">
        <v>6154.3529411764703</v>
      </c>
      <c r="AA109" s="294">
        <v>88</v>
      </c>
      <c r="AB109" s="294">
        <v>62.117647058823529</v>
      </c>
      <c r="AC109" s="294">
        <v>150.11764705882354</v>
      </c>
      <c r="AD109" s="294">
        <v>1.8823529411764706</v>
      </c>
      <c r="AE109" s="294">
        <v>0</v>
      </c>
      <c r="AF109" s="294">
        <v>1.8823529411764706</v>
      </c>
      <c r="AG109" s="294">
        <v>72</v>
      </c>
      <c r="AH109" s="294">
        <v>50.823529411764703</v>
      </c>
      <c r="AI109" s="294">
        <v>122.82352941176471</v>
      </c>
      <c r="AJ109" s="294">
        <v>4.7058823529411766</v>
      </c>
      <c r="AK109" s="294">
        <v>61.176470588235297</v>
      </c>
      <c r="AL109" s="294">
        <v>65.882352941176464</v>
      </c>
      <c r="AM109" s="294">
        <v>78.588235294117652</v>
      </c>
      <c r="AN109" s="294">
        <v>112</v>
      </c>
      <c r="AO109" s="294">
        <v>190.58823529411765</v>
      </c>
      <c r="AP109" s="205">
        <v>340.70588235294116</v>
      </c>
      <c r="AQ109" s="295">
        <v>0</v>
      </c>
      <c r="AR109" s="200">
        <v>1561.8823529411766</v>
      </c>
      <c r="AS109" s="200">
        <v>4933.176470588236</v>
      </c>
      <c r="AT109" s="66">
        <v>6495.0588235294126</v>
      </c>
      <c r="AU109" s="294">
        <v>70.588235294117652</v>
      </c>
      <c r="AV109" s="294">
        <v>112.94117647058823</v>
      </c>
      <c r="AW109" s="75">
        <v>0</v>
      </c>
      <c r="AX109" s="294">
        <v>244.70588235294119</v>
      </c>
      <c r="AY109" s="66">
        <v>428.23529411764707</v>
      </c>
      <c r="AZ109" s="296">
        <v>0</v>
      </c>
      <c r="BA109" s="297">
        <v>122.35294117647059</v>
      </c>
      <c r="BB109" s="297">
        <v>894.11764705882354</v>
      </c>
      <c r="BC109" s="297">
        <v>204.23529411764707</v>
      </c>
      <c r="BD109" s="297">
        <v>923.29411764705878</v>
      </c>
      <c r="BE109" s="297">
        <v>1127.5294117647059</v>
      </c>
      <c r="BF109" s="298">
        <v>377.41176470588238</v>
      </c>
      <c r="BG109" s="209">
        <v>1504.9411764705883</v>
      </c>
      <c r="BH109" s="67">
        <v>8428.2352941176487</v>
      </c>
      <c r="BI109" s="67">
        <v>293603.17647058831</v>
      </c>
      <c r="FE109" s="39">
        <v>40279</v>
      </c>
      <c r="FF109" s="39">
        <v>1035.2941176470588</v>
      </c>
      <c r="FG109" s="39">
        <v>1788.2352941176471</v>
      </c>
      <c r="FH109" s="39">
        <v>2823.5294117647059</v>
      </c>
      <c r="FI109" s="39">
        <v>122.35294117647059</v>
      </c>
      <c r="FJ109" s="39" t="e">
        <v>#REF!</v>
      </c>
      <c r="FK109" s="39" t="e">
        <v>#REF!</v>
      </c>
      <c r="FL109" s="39">
        <v>70.588235294117652</v>
      </c>
      <c r="FM109" s="39">
        <v>112.94117647058823</v>
      </c>
      <c r="FN109" s="39" t="e">
        <v>#REF!</v>
      </c>
      <c r="FO109" s="39">
        <v>244.70588235294119</v>
      </c>
      <c r="FP109" s="39" t="e">
        <v>#REF!</v>
      </c>
      <c r="FR109" s="39" t="e">
        <v>#REF!</v>
      </c>
    </row>
    <row r="110" spans="1:174" x14ac:dyDescent="0.25">
      <c r="A110" s="142">
        <v>0</v>
      </c>
      <c r="B110" s="299">
        <v>40280</v>
      </c>
      <c r="C110" s="300">
        <v>40280</v>
      </c>
      <c r="D110" s="301">
        <v>39552</v>
      </c>
      <c r="E110" s="302">
        <v>40280</v>
      </c>
      <c r="F110" s="303">
        <v>15</v>
      </c>
      <c r="G110" s="304"/>
      <c r="H110" s="305" t="s">
        <v>56</v>
      </c>
      <c r="I110" s="306"/>
      <c r="J110" s="306"/>
      <c r="K110" s="307">
        <v>1223.5294117647059</v>
      </c>
      <c r="L110" s="307">
        <v>291.76470588235293</v>
      </c>
      <c r="M110" s="307">
        <v>1515.2941176470588</v>
      </c>
      <c r="N110" s="307">
        <v>955.29411764705878</v>
      </c>
      <c r="O110" s="307">
        <v>400</v>
      </c>
      <c r="P110" s="307">
        <v>1355.2941176470588</v>
      </c>
      <c r="Q110" s="307">
        <v>98.82352941176471</v>
      </c>
      <c r="R110" s="307">
        <v>0</v>
      </c>
      <c r="S110" s="307">
        <v>98.82352941176471</v>
      </c>
      <c r="T110" s="307">
        <v>216.47058823529412</v>
      </c>
      <c r="U110" s="307">
        <v>2831.0588235294117</v>
      </c>
      <c r="V110" s="307">
        <v>3047.5294117647059</v>
      </c>
      <c r="W110" s="307">
        <v>1270.5882352941176</v>
      </c>
      <c r="X110" s="307">
        <v>3231.0588235294117</v>
      </c>
      <c r="Y110" s="307">
        <v>4501.6470588235297</v>
      </c>
      <c r="Z110" s="308">
        <v>6016.9411764705883</v>
      </c>
      <c r="AA110" s="307">
        <v>74.023529411764713</v>
      </c>
      <c r="AB110" s="307">
        <v>26.91764705882353</v>
      </c>
      <c r="AC110" s="307">
        <v>100.94117647058823</v>
      </c>
      <c r="AD110" s="307">
        <v>6.5882352941176467</v>
      </c>
      <c r="AE110" s="307">
        <v>0</v>
      </c>
      <c r="AF110" s="307">
        <v>6.5882352941176467</v>
      </c>
      <c r="AG110" s="307">
        <v>60.564705882352939</v>
      </c>
      <c r="AH110" s="307">
        <v>22.023529411764706</v>
      </c>
      <c r="AI110" s="307">
        <v>82.588235294117652</v>
      </c>
      <c r="AJ110" s="307">
        <v>14.117647058823529</v>
      </c>
      <c r="AK110" s="307">
        <v>60.235294117647058</v>
      </c>
      <c r="AL110" s="307">
        <v>74.352941176470594</v>
      </c>
      <c r="AM110" s="307">
        <v>81.270588235294113</v>
      </c>
      <c r="AN110" s="307">
        <v>82.258823529411771</v>
      </c>
      <c r="AO110" s="307">
        <v>163.52941176470588</v>
      </c>
      <c r="AP110" s="308">
        <v>264.47058823529414</v>
      </c>
      <c r="AQ110" s="309">
        <v>0</v>
      </c>
      <c r="AR110" s="200">
        <v>1616.2352941176471</v>
      </c>
      <c r="AS110" s="200">
        <v>4665.176470588236</v>
      </c>
      <c r="AT110" s="66">
        <v>6281.4117647058829</v>
      </c>
      <c r="AU110" s="307">
        <v>75.294117647058826</v>
      </c>
      <c r="AV110" s="307">
        <v>70.588235294117652</v>
      </c>
      <c r="AW110" s="75">
        <v>0</v>
      </c>
      <c r="AX110" s="307">
        <v>169.41176470588235</v>
      </c>
      <c r="AY110" s="66">
        <v>315.29411764705878</v>
      </c>
      <c r="AZ110" s="310">
        <v>0</v>
      </c>
      <c r="BA110" s="311">
        <v>0</v>
      </c>
      <c r="BB110" s="311">
        <v>198.58823529411765</v>
      </c>
      <c r="BC110" s="311">
        <v>39.529411764705884</v>
      </c>
      <c r="BD110" s="311">
        <v>198.58823529411765</v>
      </c>
      <c r="BE110" s="311">
        <v>238.11764705882354</v>
      </c>
      <c r="BF110" s="312">
        <v>131.76470588235293</v>
      </c>
      <c r="BG110" s="66">
        <v>369.88235294117646</v>
      </c>
      <c r="BH110" s="67">
        <v>6966.588235294118</v>
      </c>
      <c r="BI110" s="67">
        <v>300569.76470588241</v>
      </c>
      <c r="FE110" s="39">
        <v>40280</v>
      </c>
      <c r="FF110" s="39">
        <v>1223.5294117647059</v>
      </c>
      <c r="FG110" s="39">
        <v>955.29411764705878</v>
      </c>
      <c r="FH110" s="39">
        <v>2178.8235294117649</v>
      </c>
      <c r="FI110" s="39">
        <v>0</v>
      </c>
      <c r="FJ110" s="39" t="e">
        <v>#REF!</v>
      </c>
      <c r="FK110" s="39" t="e">
        <v>#REF!</v>
      </c>
      <c r="FL110" s="39">
        <v>75.294117647058826</v>
      </c>
      <c r="FM110" s="39">
        <v>70.588235294117652</v>
      </c>
      <c r="FN110" s="39" t="e">
        <v>#REF!</v>
      </c>
      <c r="FO110" s="39">
        <v>169.41176470588235</v>
      </c>
      <c r="FP110" s="39" t="e">
        <v>#REF!</v>
      </c>
      <c r="FR110" s="39" t="e">
        <v>#REF!</v>
      </c>
    </row>
    <row r="111" spans="1:174" x14ac:dyDescent="0.25">
      <c r="A111" s="142">
        <v>0</v>
      </c>
      <c r="B111" s="109">
        <v>40281</v>
      </c>
      <c r="C111" s="271">
        <v>40281</v>
      </c>
      <c r="D111" s="110">
        <v>39553</v>
      </c>
      <c r="E111" s="111">
        <v>40281</v>
      </c>
      <c r="F111" s="112">
        <v>15</v>
      </c>
      <c r="G111" s="113" t="s">
        <v>47</v>
      </c>
      <c r="H111" s="114" t="s">
        <v>56</v>
      </c>
      <c r="I111" s="272"/>
      <c r="J111" s="272"/>
      <c r="K111" s="273">
        <v>2258.8235294117649</v>
      </c>
      <c r="L111" s="273">
        <v>687.05882352941171</v>
      </c>
      <c r="M111" s="273">
        <v>2945.8823529411766</v>
      </c>
      <c r="N111" s="273">
        <v>1495.5294117647059</v>
      </c>
      <c r="O111" s="273">
        <v>496</v>
      </c>
      <c r="P111" s="273">
        <v>1991.5294117647059</v>
      </c>
      <c r="Q111" s="273">
        <v>88.470588235294116</v>
      </c>
      <c r="R111" s="273">
        <v>0</v>
      </c>
      <c r="S111" s="273">
        <v>88.470588235294116</v>
      </c>
      <c r="T111" s="273">
        <v>221.1764705882353</v>
      </c>
      <c r="U111" s="273">
        <v>2680.4705882352941</v>
      </c>
      <c r="V111" s="273">
        <v>2901.6470588235293</v>
      </c>
      <c r="W111" s="273">
        <v>1805.1764705882354</v>
      </c>
      <c r="X111" s="273">
        <v>3176.4705882352941</v>
      </c>
      <c r="Y111" s="273">
        <v>4981.6470588235297</v>
      </c>
      <c r="Z111" s="200">
        <v>7927.5294117647063</v>
      </c>
      <c r="AA111" s="273">
        <v>163.57647058823531</v>
      </c>
      <c r="AB111" s="273">
        <v>56.941176470588232</v>
      </c>
      <c r="AC111" s="273">
        <v>220.51764705882354</v>
      </c>
      <c r="AD111" s="273">
        <v>4.7058823529411766</v>
      </c>
      <c r="AE111" s="273">
        <v>0</v>
      </c>
      <c r="AF111" s="273">
        <v>4.7058823529411766</v>
      </c>
      <c r="AG111" s="273">
        <v>133.83529411764704</v>
      </c>
      <c r="AH111" s="273">
        <v>46.588235294117645</v>
      </c>
      <c r="AI111" s="273">
        <v>180.42352941176469</v>
      </c>
      <c r="AJ111" s="273">
        <v>12.235294117647058</v>
      </c>
      <c r="AK111" s="273">
        <v>122.35294117647059</v>
      </c>
      <c r="AL111" s="273">
        <v>134.58823529411765</v>
      </c>
      <c r="AM111" s="273">
        <v>150.77647058823527</v>
      </c>
      <c r="AN111" s="273">
        <v>168.94117647058823</v>
      </c>
      <c r="AO111" s="273">
        <v>319.7176470588235</v>
      </c>
      <c r="AP111" s="200">
        <v>540.23529411764707</v>
      </c>
      <c r="AQ111" s="274">
        <v>0</v>
      </c>
      <c r="AR111" s="200">
        <v>3166.4</v>
      </c>
      <c r="AS111" s="200">
        <v>5301.3647058823535</v>
      </c>
      <c r="AT111" s="66">
        <v>8467.7647058823532</v>
      </c>
      <c r="AU111" s="273">
        <v>94.117647058823536</v>
      </c>
      <c r="AV111" s="273">
        <v>65.882352941176464</v>
      </c>
      <c r="AW111" s="75">
        <v>0</v>
      </c>
      <c r="AX111" s="273">
        <v>301.1764705882353</v>
      </c>
      <c r="AY111" s="66">
        <v>461.1764705882353</v>
      </c>
      <c r="AZ111" s="275">
        <v>0</v>
      </c>
      <c r="BA111" s="115">
        <v>23.529411764705884</v>
      </c>
      <c r="BB111" s="115">
        <v>51.764705882352942</v>
      </c>
      <c r="BC111" s="115">
        <v>23.529411764705884</v>
      </c>
      <c r="BD111" s="115">
        <v>51.764705882352942</v>
      </c>
      <c r="BE111" s="115">
        <v>75.294117647058826</v>
      </c>
      <c r="BF111" s="115">
        <v>178.8235294117647</v>
      </c>
      <c r="BG111" s="66">
        <v>254.11764705882354</v>
      </c>
      <c r="BH111" s="67">
        <v>9183.0588235294126</v>
      </c>
      <c r="BI111" s="67">
        <v>309752.82352941181</v>
      </c>
      <c r="FE111" s="39">
        <v>40281</v>
      </c>
      <c r="FF111" s="39">
        <v>2258.8235294117649</v>
      </c>
      <c r="FG111" s="39">
        <v>1495.5294117647059</v>
      </c>
      <c r="FH111" s="39">
        <v>3754.3529411764707</v>
      </c>
      <c r="FI111" s="39">
        <v>23.529411764705884</v>
      </c>
      <c r="FJ111" s="39" t="e">
        <v>#REF!</v>
      </c>
      <c r="FK111" s="39" t="e">
        <v>#REF!</v>
      </c>
      <c r="FL111" s="39">
        <v>94.117647058823536</v>
      </c>
      <c r="FM111" s="39">
        <v>65.882352941176464</v>
      </c>
      <c r="FN111" s="39" t="e">
        <v>#REF!</v>
      </c>
      <c r="FO111" s="39">
        <v>301.1764705882353</v>
      </c>
      <c r="FP111" s="39" t="e">
        <v>#REF!</v>
      </c>
      <c r="FR111" s="39" t="e">
        <v>#REF!</v>
      </c>
    </row>
    <row r="112" spans="1:174" x14ac:dyDescent="0.25">
      <c r="A112" s="142">
        <v>0</v>
      </c>
      <c r="B112" s="68">
        <v>40282</v>
      </c>
      <c r="C112" s="198">
        <v>40282</v>
      </c>
      <c r="D112" s="69">
        <v>39554</v>
      </c>
      <c r="E112" s="70">
        <v>40282</v>
      </c>
      <c r="F112" s="71">
        <v>15</v>
      </c>
      <c r="G112" s="72"/>
      <c r="H112" s="82" t="s">
        <v>56</v>
      </c>
      <c r="I112" s="210"/>
      <c r="J112" s="210"/>
      <c r="K112" s="235">
        <v>2164.705882352941</v>
      </c>
      <c r="L112" s="235">
        <v>1035.2941176470588</v>
      </c>
      <c r="M112" s="235">
        <v>3200</v>
      </c>
      <c r="N112" s="235">
        <v>1451.2941176470588</v>
      </c>
      <c r="O112" s="235">
        <v>691.76470588235293</v>
      </c>
      <c r="P112" s="235">
        <v>2143.0588235294117</v>
      </c>
      <c r="Q112" s="235">
        <v>145.88235294117646</v>
      </c>
      <c r="R112" s="235">
        <v>0.94117647058823528</v>
      </c>
      <c r="S112" s="235">
        <v>146.8235294117647</v>
      </c>
      <c r="T112" s="235">
        <v>98.82352941176471</v>
      </c>
      <c r="U112" s="235">
        <v>2650.3529411764707</v>
      </c>
      <c r="V112" s="235">
        <v>2749.1764705882351</v>
      </c>
      <c r="W112" s="235">
        <v>1696</v>
      </c>
      <c r="X112" s="235">
        <v>3343.0588235294117</v>
      </c>
      <c r="Y112" s="235">
        <v>5039.0588235294117</v>
      </c>
      <c r="Z112" s="200">
        <v>8239.0588235294126</v>
      </c>
      <c r="AA112" s="235">
        <v>106.11764705882354</v>
      </c>
      <c r="AB112" s="235">
        <v>85.411764705882348</v>
      </c>
      <c r="AC112" s="235">
        <v>191.52941176470588</v>
      </c>
      <c r="AD112" s="235">
        <v>0</v>
      </c>
      <c r="AE112" s="235">
        <v>0</v>
      </c>
      <c r="AF112" s="235">
        <v>0</v>
      </c>
      <c r="AG112" s="235">
        <v>86.82352941176471</v>
      </c>
      <c r="AH112" s="235">
        <v>69.882352941176464</v>
      </c>
      <c r="AI112" s="235">
        <v>156.70588235294119</v>
      </c>
      <c r="AJ112" s="235">
        <v>1.8823529411764706</v>
      </c>
      <c r="AK112" s="235">
        <v>161.88235294117646</v>
      </c>
      <c r="AL112" s="235">
        <v>163.76470588235293</v>
      </c>
      <c r="AM112" s="235">
        <v>88.705882352941174</v>
      </c>
      <c r="AN112" s="235">
        <v>231.76470588235293</v>
      </c>
      <c r="AO112" s="235">
        <v>320.47058823529414</v>
      </c>
      <c r="AP112" s="200">
        <v>512</v>
      </c>
      <c r="AQ112" s="141">
        <v>0</v>
      </c>
      <c r="AR112" s="200">
        <v>3391.5294117647059</v>
      </c>
      <c r="AS112" s="200">
        <v>5359.5294117647063</v>
      </c>
      <c r="AT112" s="66">
        <v>8751.0588235294126</v>
      </c>
      <c r="AU112" s="235">
        <v>94.117647058823536</v>
      </c>
      <c r="AV112" s="235">
        <v>65.882352941176464</v>
      </c>
      <c r="AW112" s="75">
        <v>0</v>
      </c>
      <c r="AX112" s="235">
        <v>141.1764705882353</v>
      </c>
      <c r="AY112" s="66">
        <v>301.1764705882353</v>
      </c>
      <c r="AZ112" s="202">
        <v>0</v>
      </c>
      <c r="BA112" s="87">
        <v>0</v>
      </c>
      <c r="BB112" s="87">
        <v>49.882352941176471</v>
      </c>
      <c r="BC112" s="87">
        <v>26.352941176470587</v>
      </c>
      <c r="BD112" s="87">
        <v>88.470588235294116</v>
      </c>
      <c r="BE112" s="87">
        <v>114.82352941176471</v>
      </c>
      <c r="BF112" s="87">
        <v>991.05882352941171</v>
      </c>
      <c r="BG112" s="66">
        <v>1105.8823529411764</v>
      </c>
      <c r="BH112" s="67">
        <v>10158.117647058825</v>
      </c>
      <c r="BI112" s="67">
        <v>319910.9411764706</v>
      </c>
      <c r="FE112" s="39">
        <v>40282</v>
      </c>
      <c r="FF112" s="39">
        <v>2164.705882352941</v>
      </c>
      <c r="FG112" s="39">
        <v>1451.2941176470588</v>
      </c>
      <c r="FH112" s="39">
        <v>3616</v>
      </c>
      <c r="FI112" s="39">
        <v>0</v>
      </c>
      <c r="FJ112" s="39" t="e">
        <v>#REF!</v>
      </c>
      <c r="FK112" s="39" t="e">
        <v>#REF!</v>
      </c>
      <c r="FL112" s="39">
        <v>94.117647058823536</v>
      </c>
      <c r="FM112" s="39">
        <v>65.882352941176464</v>
      </c>
      <c r="FN112" s="39" t="e">
        <v>#REF!</v>
      </c>
      <c r="FO112" s="39">
        <v>141.1764705882353</v>
      </c>
      <c r="FP112" s="39" t="e">
        <v>#REF!</v>
      </c>
      <c r="FR112" s="39" t="e">
        <v>#REF!</v>
      </c>
    </row>
    <row r="113" spans="1:174" x14ac:dyDescent="0.25">
      <c r="A113" s="142">
        <v>0</v>
      </c>
      <c r="B113" s="68">
        <v>40283</v>
      </c>
      <c r="C113" s="198">
        <v>40283</v>
      </c>
      <c r="D113" s="69">
        <v>39555</v>
      </c>
      <c r="E113" s="70">
        <v>40283</v>
      </c>
      <c r="F113" s="71">
        <v>15</v>
      </c>
      <c r="G113" s="72"/>
      <c r="H113" s="82" t="s">
        <v>56</v>
      </c>
      <c r="I113" s="210"/>
      <c r="J113" s="210"/>
      <c r="K113" s="235">
        <v>2447.0588235294117</v>
      </c>
      <c r="L113" s="235">
        <v>719.05882352941171</v>
      </c>
      <c r="M113" s="235">
        <v>3166.1176470588234</v>
      </c>
      <c r="N113" s="235">
        <v>1474.8235294117646</v>
      </c>
      <c r="O113" s="235">
        <v>517.64705882352939</v>
      </c>
      <c r="P113" s="235">
        <v>1992.4705882352941</v>
      </c>
      <c r="Q113" s="235">
        <v>154.35294117647058</v>
      </c>
      <c r="R113" s="235">
        <v>0.94117647058823528</v>
      </c>
      <c r="S113" s="235">
        <v>155.29411764705881</v>
      </c>
      <c r="T113" s="235">
        <v>166.58823529411765</v>
      </c>
      <c r="U113" s="235">
        <v>2544.9411764705883</v>
      </c>
      <c r="V113" s="235">
        <v>2711.5294117647059</v>
      </c>
      <c r="W113" s="235">
        <v>1795.7647058823529</v>
      </c>
      <c r="X113" s="235">
        <v>3063.5294117647059</v>
      </c>
      <c r="Y113" s="235">
        <v>4859.2941176470586</v>
      </c>
      <c r="Z113" s="200">
        <v>8025.411764705882</v>
      </c>
      <c r="AA113" s="235">
        <v>93.17647058823529</v>
      </c>
      <c r="AB113" s="235">
        <v>67.294117647058826</v>
      </c>
      <c r="AC113" s="235">
        <v>160.47058823529412</v>
      </c>
      <c r="AD113" s="235">
        <v>3.7647058823529411</v>
      </c>
      <c r="AE113" s="235">
        <v>0</v>
      </c>
      <c r="AF113" s="235">
        <v>3.7647058823529411</v>
      </c>
      <c r="AG113" s="235">
        <v>76.235294117647058</v>
      </c>
      <c r="AH113" s="235">
        <v>55.058823529411768</v>
      </c>
      <c r="AI113" s="235">
        <v>131.29411764705881</v>
      </c>
      <c r="AJ113" s="235">
        <v>6.5882352941176467</v>
      </c>
      <c r="AK113" s="235">
        <v>103.52941176470588</v>
      </c>
      <c r="AL113" s="235">
        <v>110.11764705882354</v>
      </c>
      <c r="AM113" s="235">
        <v>86.588235294117652</v>
      </c>
      <c r="AN113" s="235">
        <v>158.58823529411765</v>
      </c>
      <c r="AO113" s="235">
        <v>245.1764705882353</v>
      </c>
      <c r="AP113" s="200">
        <v>405.64705882352939</v>
      </c>
      <c r="AQ113" s="141">
        <v>0</v>
      </c>
      <c r="AR113" s="200">
        <v>3326.5882352941176</v>
      </c>
      <c r="AS113" s="200">
        <v>5104.4705882352937</v>
      </c>
      <c r="AT113" s="66">
        <v>8431.0588235294108</v>
      </c>
      <c r="AU113" s="235">
        <v>70.588235294117652</v>
      </c>
      <c r="AV113" s="235">
        <v>65.882352941176464</v>
      </c>
      <c r="AW113" s="75">
        <v>0</v>
      </c>
      <c r="AX113" s="235">
        <v>94.117647058823536</v>
      </c>
      <c r="AY113" s="66">
        <v>230.58823529411765</v>
      </c>
      <c r="AZ113" s="202">
        <v>0</v>
      </c>
      <c r="BA113" s="87">
        <v>32.941176470588232</v>
      </c>
      <c r="BB113" s="87">
        <v>33.882352941176471</v>
      </c>
      <c r="BC113" s="87">
        <v>32.941176470588232</v>
      </c>
      <c r="BD113" s="87">
        <v>70.588235294117652</v>
      </c>
      <c r="BE113" s="87">
        <v>103.52941176470588</v>
      </c>
      <c r="BF113" s="87">
        <v>971.29411764705878</v>
      </c>
      <c r="BG113" s="66">
        <v>1074.8235294117646</v>
      </c>
      <c r="BH113" s="67">
        <v>9736.4705882352937</v>
      </c>
      <c r="BI113" s="67">
        <v>329647.4117647059</v>
      </c>
      <c r="FE113" s="39">
        <v>40283</v>
      </c>
      <c r="FF113" s="39">
        <v>2447.0588235294117</v>
      </c>
      <c r="FG113" s="39">
        <v>1474.8235294117646</v>
      </c>
      <c r="FH113" s="39">
        <v>3921.8823529411766</v>
      </c>
      <c r="FI113" s="39">
        <v>32.941176470588232</v>
      </c>
      <c r="FJ113" s="39" t="e">
        <v>#REF!</v>
      </c>
      <c r="FK113" s="39" t="e">
        <v>#REF!</v>
      </c>
      <c r="FL113" s="39">
        <v>70.588235294117652</v>
      </c>
      <c r="FM113" s="39">
        <v>65.882352941176464</v>
      </c>
      <c r="FN113" s="39" t="e">
        <v>#REF!</v>
      </c>
      <c r="FO113" s="39">
        <v>94.117647058823536</v>
      </c>
      <c r="FP113" s="39" t="e">
        <v>#REF!</v>
      </c>
      <c r="FR113" s="39" t="e">
        <v>#REF!</v>
      </c>
    </row>
    <row r="114" spans="1:174" x14ac:dyDescent="0.25">
      <c r="A114" s="142">
        <v>0</v>
      </c>
      <c r="B114" s="68">
        <v>40284</v>
      </c>
      <c r="C114" s="198">
        <v>40284</v>
      </c>
      <c r="D114" s="69">
        <v>39556</v>
      </c>
      <c r="E114" s="70">
        <v>40284</v>
      </c>
      <c r="F114" s="71">
        <v>15</v>
      </c>
      <c r="G114" s="72"/>
      <c r="H114" s="82" t="s">
        <v>56</v>
      </c>
      <c r="I114" s="210"/>
      <c r="J114" s="210"/>
      <c r="K114" s="235">
        <v>1604.7058823529412</v>
      </c>
      <c r="L114" s="235">
        <v>475.29411764705884</v>
      </c>
      <c r="M114" s="235">
        <v>2080</v>
      </c>
      <c r="N114" s="235">
        <v>789.64705882352939</v>
      </c>
      <c r="O114" s="235">
        <v>282.35294117647061</v>
      </c>
      <c r="P114" s="235">
        <v>1072</v>
      </c>
      <c r="Q114" s="235">
        <v>60.235294117647058</v>
      </c>
      <c r="R114" s="235">
        <v>0</v>
      </c>
      <c r="S114" s="235">
        <v>60.235294117647058</v>
      </c>
      <c r="T114" s="235">
        <v>242.8235294117647</v>
      </c>
      <c r="U114" s="235">
        <v>2064.9411764705883</v>
      </c>
      <c r="V114" s="235">
        <v>2307.7647058823532</v>
      </c>
      <c r="W114" s="235">
        <v>1092.7058823529412</v>
      </c>
      <c r="X114" s="235">
        <v>2347.294117647059</v>
      </c>
      <c r="Y114" s="235">
        <v>3440</v>
      </c>
      <c r="Z114" s="200">
        <v>5520</v>
      </c>
      <c r="AA114" s="235">
        <v>66.258823529411771</v>
      </c>
      <c r="AB114" s="235">
        <v>33.647058823529413</v>
      </c>
      <c r="AC114" s="235">
        <v>99.905882352941177</v>
      </c>
      <c r="AD114" s="235">
        <v>5.6470588235294121</v>
      </c>
      <c r="AE114" s="235">
        <v>0</v>
      </c>
      <c r="AF114" s="235">
        <v>5.6470588235294121</v>
      </c>
      <c r="AG114" s="235">
        <v>54.211764705882352</v>
      </c>
      <c r="AH114" s="235">
        <v>27.529411764705884</v>
      </c>
      <c r="AI114" s="235">
        <v>81.741176470588229</v>
      </c>
      <c r="AJ114" s="235">
        <v>5.6470588235294121</v>
      </c>
      <c r="AK114" s="235">
        <v>84.705882352941174</v>
      </c>
      <c r="AL114" s="235">
        <v>90.352941176470594</v>
      </c>
      <c r="AM114" s="235">
        <v>65.505882352941171</v>
      </c>
      <c r="AN114" s="235">
        <v>112.23529411764706</v>
      </c>
      <c r="AO114" s="235">
        <v>177.74117647058824</v>
      </c>
      <c r="AP114" s="200">
        <v>277.64705882352939</v>
      </c>
      <c r="AQ114" s="141">
        <v>0</v>
      </c>
      <c r="AR114" s="200">
        <v>2179.9058823529413</v>
      </c>
      <c r="AS114" s="200">
        <v>3617.7411764705885</v>
      </c>
      <c r="AT114" s="66">
        <v>5797.6470588235297</v>
      </c>
      <c r="AU114" s="235">
        <v>70.588235294117652</v>
      </c>
      <c r="AV114" s="235">
        <v>47.058823529411768</v>
      </c>
      <c r="AW114" s="75">
        <v>0</v>
      </c>
      <c r="AX114" s="235">
        <v>174.11764705882354</v>
      </c>
      <c r="AY114" s="66">
        <v>291.76470588235293</v>
      </c>
      <c r="AZ114" s="202">
        <v>0</v>
      </c>
      <c r="BA114" s="87">
        <v>0</v>
      </c>
      <c r="BB114" s="87">
        <v>0</v>
      </c>
      <c r="BC114" s="87">
        <v>0</v>
      </c>
      <c r="BD114" s="87">
        <v>0</v>
      </c>
      <c r="BE114" s="87">
        <v>0</v>
      </c>
      <c r="BF114" s="87">
        <v>1400.4705882352941</v>
      </c>
      <c r="BG114" s="66">
        <v>1400.4705882352941</v>
      </c>
      <c r="BH114" s="67">
        <v>7489.8823529411766</v>
      </c>
      <c r="BI114" s="67">
        <v>337137.29411764711</v>
      </c>
      <c r="FE114" s="39">
        <v>40284</v>
      </c>
      <c r="FF114" s="39">
        <v>1604.7058823529412</v>
      </c>
      <c r="FG114" s="39">
        <v>789.64705882352939</v>
      </c>
      <c r="FH114" s="39">
        <v>2394.3529411764707</v>
      </c>
      <c r="FI114" s="39">
        <v>0</v>
      </c>
      <c r="FJ114" s="39" t="e">
        <v>#REF!</v>
      </c>
      <c r="FK114" s="39" t="e">
        <v>#REF!</v>
      </c>
      <c r="FL114" s="39">
        <v>70.588235294117652</v>
      </c>
      <c r="FM114" s="39">
        <v>47.058823529411768</v>
      </c>
      <c r="FN114" s="39" t="e">
        <v>#REF!</v>
      </c>
      <c r="FO114" s="39">
        <v>174.11764705882354</v>
      </c>
      <c r="FP114" s="39" t="e">
        <v>#REF!</v>
      </c>
      <c r="FR114" s="39" t="e">
        <v>#REF!</v>
      </c>
    </row>
    <row r="115" spans="1:174" x14ac:dyDescent="0.25">
      <c r="A115" s="142">
        <v>0</v>
      </c>
      <c r="B115" s="85">
        <v>40285</v>
      </c>
      <c r="C115" s="203">
        <v>40285</v>
      </c>
      <c r="D115" s="76">
        <v>39557</v>
      </c>
      <c r="E115" s="77">
        <v>40285</v>
      </c>
      <c r="F115" s="78">
        <v>15</v>
      </c>
      <c r="G115" s="79"/>
      <c r="H115" s="80" t="s">
        <v>54</v>
      </c>
      <c r="I115" s="212"/>
      <c r="J115" s="212"/>
      <c r="K115" s="231">
        <v>1971.7647058823529</v>
      </c>
      <c r="L115" s="231">
        <v>648.47058823529414</v>
      </c>
      <c r="M115" s="231">
        <v>2620.2352941176468</v>
      </c>
      <c r="N115" s="231">
        <v>1251.7647058823529</v>
      </c>
      <c r="O115" s="231">
        <v>283.29411764705884</v>
      </c>
      <c r="P115" s="231">
        <v>1535.0588235294117</v>
      </c>
      <c r="Q115" s="231">
        <v>70.588235294117652</v>
      </c>
      <c r="R115" s="231">
        <v>1.8823529411764706</v>
      </c>
      <c r="S115" s="231">
        <v>72.470588235294116</v>
      </c>
      <c r="T115" s="231">
        <v>232.47058823529412</v>
      </c>
      <c r="U115" s="231">
        <v>1132.2352941176471</v>
      </c>
      <c r="V115" s="231">
        <v>1364.7058823529412</v>
      </c>
      <c r="W115" s="231">
        <v>1554.8235294117646</v>
      </c>
      <c r="X115" s="231">
        <v>1417.4117647058824</v>
      </c>
      <c r="Y115" s="231">
        <v>2972.2352941176468</v>
      </c>
      <c r="Z115" s="205">
        <v>5592.4705882352937</v>
      </c>
      <c r="AA115" s="231">
        <v>33.129411764705885</v>
      </c>
      <c r="AB115" s="231">
        <v>20.705882352941178</v>
      </c>
      <c r="AC115" s="231">
        <v>53.835294117647059</v>
      </c>
      <c r="AD115" s="231">
        <v>3.7647058823529411</v>
      </c>
      <c r="AE115" s="231">
        <v>0</v>
      </c>
      <c r="AF115" s="231">
        <v>3.7647058823529411</v>
      </c>
      <c r="AG115" s="231">
        <v>27.105882352941176</v>
      </c>
      <c r="AH115" s="231">
        <v>16.941176470588236</v>
      </c>
      <c r="AI115" s="231">
        <v>44.047058823529412</v>
      </c>
      <c r="AJ115" s="231">
        <v>28.235294117647058</v>
      </c>
      <c r="AK115" s="231">
        <v>70.588235294117652</v>
      </c>
      <c r="AL115" s="231">
        <v>98.82352941176471</v>
      </c>
      <c r="AM115" s="231">
        <v>59.105882352941173</v>
      </c>
      <c r="AN115" s="231">
        <v>87.529411764705884</v>
      </c>
      <c r="AO115" s="231">
        <v>146.63529411764708</v>
      </c>
      <c r="AP115" s="205">
        <v>200.47058823529412</v>
      </c>
      <c r="AQ115" s="232">
        <v>0</v>
      </c>
      <c r="AR115" s="200">
        <v>2674.0705882352941</v>
      </c>
      <c r="AS115" s="200">
        <v>3118.8705882352938</v>
      </c>
      <c r="AT115" s="66">
        <v>5792.9411764705874</v>
      </c>
      <c r="AU115" s="231">
        <v>75.294117647058826</v>
      </c>
      <c r="AV115" s="231">
        <v>37.647058823529413</v>
      </c>
      <c r="AW115" s="75">
        <v>141.1764705882353</v>
      </c>
      <c r="AX115" s="231">
        <v>141.1764705882353</v>
      </c>
      <c r="AY115" s="66">
        <v>395.29411764705884</v>
      </c>
      <c r="AZ115" s="208">
        <v>0</v>
      </c>
      <c r="BA115" s="86">
        <v>235.29411764705881</v>
      </c>
      <c r="BB115" s="86">
        <v>611.76470588235293</v>
      </c>
      <c r="BC115" s="86">
        <v>235.29411764705881</v>
      </c>
      <c r="BD115" s="86">
        <v>611.76470588235293</v>
      </c>
      <c r="BE115" s="86">
        <v>847.05882352941171</v>
      </c>
      <c r="BF115" s="86">
        <v>927.05882352941171</v>
      </c>
      <c r="BG115" s="209">
        <v>1774.1176470588234</v>
      </c>
      <c r="BH115" s="67">
        <v>7962.3529411764703</v>
      </c>
      <c r="BI115" s="67">
        <v>345099.64705882355</v>
      </c>
      <c r="FE115" s="39">
        <v>40285</v>
      </c>
      <c r="FF115" s="39">
        <v>1971.7647058823529</v>
      </c>
      <c r="FG115" s="39">
        <v>1251.7647058823529</v>
      </c>
      <c r="FH115" s="39">
        <v>3223.5294117647059</v>
      </c>
      <c r="FI115" s="39">
        <v>235.29411764705881</v>
      </c>
      <c r="FJ115" s="39" t="e">
        <v>#REF!</v>
      </c>
      <c r="FK115" s="39" t="e">
        <v>#REF!</v>
      </c>
      <c r="FL115" s="39">
        <v>75.294117647058826</v>
      </c>
      <c r="FM115" s="39">
        <v>37.647058823529413</v>
      </c>
      <c r="FN115" s="39" t="e">
        <v>#REF!</v>
      </c>
      <c r="FO115" s="39">
        <v>141.1764705882353</v>
      </c>
      <c r="FP115" s="39" t="e">
        <v>#REF!</v>
      </c>
      <c r="FR115" s="39" t="e">
        <v>#REF!</v>
      </c>
    </row>
    <row r="116" spans="1:174" x14ac:dyDescent="0.25">
      <c r="A116" s="142">
        <v>0</v>
      </c>
      <c r="B116" s="85">
        <v>40286</v>
      </c>
      <c r="C116" s="203">
        <v>40286</v>
      </c>
      <c r="D116" s="76">
        <v>39558</v>
      </c>
      <c r="E116" s="77">
        <v>40286</v>
      </c>
      <c r="F116" s="78">
        <v>15</v>
      </c>
      <c r="G116" s="79"/>
      <c r="H116" s="80" t="s">
        <v>54</v>
      </c>
      <c r="I116" s="212"/>
      <c r="J116" s="212"/>
      <c r="K116" s="231">
        <v>1344</v>
      </c>
      <c r="L116" s="231">
        <v>544</v>
      </c>
      <c r="M116" s="231">
        <v>1888</v>
      </c>
      <c r="N116" s="231">
        <v>847.05882352941171</v>
      </c>
      <c r="O116" s="231">
        <v>265.41176470588238</v>
      </c>
      <c r="P116" s="231">
        <v>1112.4705882352941</v>
      </c>
      <c r="Q116" s="231">
        <v>82.82352941176471</v>
      </c>
      <c r="R116" s="231">
        <v>1.8823529411764706</v>
      </c>
      <c r="S116" s="231">
        <v>84.705882352941174</v>
      </c>
      <c r="T116" s="231">
        <v>85.647058823529406</v>
      </c>
      <c r="U116" s="231">
        <v>1712.9411764705883</v>
      </c>
      <c r="V116" s="231">
        <v>1798.5882352941176</v>
      </c>
      <c r="W116" s="231">
        <v>1015.5294117647059</v>
      </c>
      <c r="X116" s="231">
        <v>1980.2352941176471</v>
      </c>
      <c r="Y116" s="231">
        <v>2995.7647058823532</v>
      </c>
      <c r="Z116" s="205">
        <v>4883.7647058823532</v>
      </c>
      <c r="AA116" s="231">
        <v>15.529411764705882</v>
      </c>
      <c r="AB116" s="231">
        <v>6.2117647058823522</v>
      </c>
      <c r="AC116" s="231">
        <v>21.741176470588236</v>
      </c>
      <c r="AD116" s="231">
        <v>0</v>
      </c>
      <c r="AE116" s="231">
        <v>0</v>
      </c>
      <c r="AF116" s="231">
        <v>0</v>
      </c>
      <c r="AG116" s="231">
        <v>12.705882352941176</v>
      </c>
      <c r="AH116" s="231">
        <v>5.0823529411764712</v>
      </c>
      <c r="AI116" s="231">
        <v>17.788235294117644</v>
      </c>
      <c r="AJ116" s="231">
        <v>0</v>
      </c>
      <c r="AK116" s="231">
        <v>3.7647058823529411</v>
      </c>
      <c r="AL116" s="231">
        <v>3.7647058823529411</v>
      </c>
      <c r="AM116" s="231">
        <v>12.705882352941176</v>
      </c>
      <c r="AN116" s="231">
        <v>8.8470588235294123</v>
      </c>
      <c r="AO116" s="231">
        <v>21.552941176470586</v>
      </c>
      <c r="AP116" s="205">
        <v>43.294117647058826</v>
      </c>
      <c r="AQ116" s="232">
        <v>0</v>
      </c>
      <c r="AR116" s="200">
        <v>1909.7411764705882</v>
      </c>
      <c r="AS116" s="200">
        <v>3017.3176470588237</v>
      </c>
      <c r="AT116" s="66">
        <v>4927.0588235294117</v>
      </c>
      <c r="AU116" s="231">
        <v>47.058823529411768</v>
      </c>
      <c r="AV116" s="231">
        <v>47.058823529411768</v>
      </c>
      <c r="AW116" s="75">
        <v>0</v>
      </c>
      <c r="AX116" s="231">
        <v>65.882352941176464</v>
      </c>
      <c r="AY116" s="66">
        <v>160</v>
      </c>
      <c r="AZ116" s="208">
        <v>0</v>
      </c>
      <c r="BA116" s="86">
        <v>112.94117647058823</v>
      </c>
      <c r="BB116" s="86">
        <v>611.76470588235293</v>
      </c>
      <c r="BC116" s="86">
        <v>112.94117647058823</v>
      </c>
      <c r="BD116" s="86">
        <v>611.76470588235293</v>
      </c>
      <c r="BE116" s="86">
        <v>724.70588235294122</v>
      </c>
      <c r="BF116" s="86">
        <v>348.23529411764707</v>
      </c>
      <c r="BG116" s="209">
        <v>1072.9411764705883</v>
      </c>
      <c r="BH116" s="67">
        <v>6160</v>
      </c>
      <c r="BI116" s="67">
        <v>351259.64705882355</v>
      </c>
      <c r="FE116" s="39">
        <v>40286</v>
      </c>
      <c r="FF116" s="39">
        <v>1344</v>
      </c>
      <c r="FG116" s="39">
        <v>847.05882352941171</v>
      </c>
      <c r="FH116" s="39">
        <v>2191.0588235294117</v>
      </c>
      <c r="FI116" s="39">
        <v>112.94117647058823</v>
      </c>
      <c r="FJ116" s="39" t="e">
        <v>#REF!</v>
      </c>
      <c r="FK116" s="39" t="e">
        <v>#REF!</v>
      </c>
      <c r="FL116" s="39">
        <v>47.058823529411768</v>
      </c>
      <c r="FM116" s="39">
        <v>47.058823529411768</v>
      </c>
      <c r="FN116" s="39" t="e">
        <v>#REF!</v>
      </c>
      <c r="FO116" s="39">
        <v>65.882352941176464</v>
      </c>
      <c r="FP116" s="39" t="e">
        <v>#REF!</v>
      </c>
      <c r="FR116" s="39" t="e">
        <v>#REF!</v>
      </c>
    </row>
    <row r="117" spans="1:174" x14ac:dyDescent="0.25">
      <c r="A117" s="142">
        <v>0</v>
      </c>
      <c r="B117" s="68">
        <v>40287</v>
      </c>
      <c r="C117" s="198">
        <v>40287</v>
      </c>
      <c r="D117" s="69">
        <v>39559</v>
      </c>
      <c r="E117" s="70">
        <v>40287</v>
      </c>
      <c r="F117" s="71">
        <v>16</v>
      </c>
      <c r="G117" s="72"/>
      <c r="H117" s="82" t="s">
        <v>33</v>
      </c>
      <c r="I117" s="210"/>
      <c r="J117" s="210"/>
      <c r="K117" s="235">
        <v>1750.5882352941176</v>
      </c>
      <c r="L117" s="235">
        <v>489.41176470588238</v>
      </c>
      <c r="M117" s="235">
        <v>2240</v>
      </c>
      <c r="N117" s="235">
        <v>1424</v>
      </c>
      <c r="O117" s="235">
        <v>423.52941176470586</v>
      </c>
      <c r="P117" s="235">
        <v>1847.5294117647059</v>
      </c>
      <c r="Q117" s="235">
        <v>122.35294117647059</v>
      </c>
      <c r="R117" s="235">
        <v>0</v>
      </c>
      <c r="S117" s="235">
        <v>122.35294117647059</v>
      </c>
      <c r="T117" s="235">
        <v>147.76470588235293</v>
      </c>
      <c r="U117" s="235">
        <v>2211.7647058823532</v>
      </c>
      <c r="V117" s="235">
        <v>2359.5294117647059</v>
      </c>
      <c r="W117" s="235">
        <v>1694.1176470588234</v>
      </c>
      <c r="X117" s="235">
        <v>2635.294117647059</v>
      </c>
      <c r="Y117" s="235">
        <v>4329.411764705882</v>
      </c>
      <c r="Z117" s="200">
        <v>6569.411764705882</v>
      </c>
      <c r="AA117" s="235">
        <v>14.494117647058824</v>
      </c>
      <c r="AB117" s="235">
        <v>4.1411764705882357</v>
      </c>
      <c r="AC117" s="235">
        <v>18.63529411764706</v>
      </c>
      <c r="AD117" s="235">
        <v>0</v>
      </c>
      <c r="AE117" s="235">
        <v>0</v>
      </c>
      <c r="AF117" s="235">
        <v>0</v>
      </c>
      <c r="AG117" s="235">
        <v>11.858823529411765</v>
      </c>
      <c r="AH117" s="235">
        <v>3.388235294117647</v>
      </c>
      <c r="AI117" s="235">
        <v>15.247058823529411</v>
      </c>
      <c r="AJ117" s="235">
        <v>1.8823529411764706</v>
      </c>
      <c r="AK117" s="235">
        <v>17.882352941176471</v>
      </c>
      <c r="AL117" s="235">
        <v>19.764705882352942</v>
      </c>
      <c r="AM117" s="235">
        <v>13.741176470588234</v>
      </c>
      <c r="AN117" s="235">
        <v>21.27058823529412</v>
      </c>
      <c r="AO117" s="235">
        <v>35.011764705882356</v>
      </c>
      <c r="AP117" s="200">
        <v>53.647058823529413</v>
      </c>
      <c r="AQ117" s="141">
        <v>0</v>
      </c>
      <c r="AR117" s="200">
        <v>2258.6352941176469</v>
      </c>
      <c r="AS117" s="200">
        <v>4364.4235294117643</v>
      </c>
      <c r="AT117" s="66">
        <v>6623.0588235294108</v>
      </c>
      <c r="AU117" s="235">
        <v>47.058823529411768</v>
      </c>
      <c r="AV117" s="235">
        <v>47.058823529411768</v>
      </c>
      <c r="AW117" s="75">
        <v>0</v>
      </c>
      <c r="AX117" s="235">
        <v>112.94117647058823</v>
      </c>
      <c r="AY117" s="66">
        <v>207.05882352941177</v>
      </c>
      <c r="AZ117" s="202">
        <v>0</v>
      </c>
      <c r="BA117" s="87">
        <v>0</v>
      </c>
      <c r="BB117" s="87">
        <v>33.882352941176471</v>
      </c>
      <c r="BC117" s="87">
        <v>0</v>
      </c>
      <c r="BD117" s="87">
        <v>33.882352941176471</v>
      </c>
      <c r="BE117" s="87">
        <v>33.882352941176471</v>
      </c>
      <c r="BF117" s="87">
        <v>190.11764705882354</v>
      </c>
      <c r="BG117" s="66">
        <v>224</v>
      </c>
      <c r="BH117" s="67">
        <v>7054.1176470588225</v>
      </c>
      <c r="BI117" s="67">
        <v>358313.76470588235</v>
      </c>
      <c r="FE117" s="39">
        <v>40287</v>
      </c>
      <c r="FF117" s="39">
        <v>1750.5882352941176</v>
      </c>
      <c r="FG117" s="39">
        <v>1424</v>
      </c>
      <c r="FH117" s="39">
        <v>3174.5882352941176</v>
      </c>
      <c r="FI117" s="39">
        <v>0</v>
      </c>
      <c r="FJ117" s="39" t="e">
        <v>#REF!</v>
      </c>
      <c r="FK117" s="39" t="e">
        <v>#REF!</v>
      </c>
      <c r="FL117" s="39">
        <v>47.058823529411768</v>
      </c>
      <c r="FM117" s="39">
        <v>47.058823529411768</v>
      </c>
      <c r="FN117" s="39" t="e">
        <v>#REF!</v>
      </c>
      <c r="FO117" s="39">
        <v>112.94117647058823</v>
      </c>
      <c r="FP117" s="39" t="e">
        <v>#REF!</v>
      </c>
      <c r="FR117" s="39" t="e">
        <v>#REF!</v>
      </c>
    </row>
    <row r="118" spans="1:174" x14ac:dyDescent="0.25">
      <c r="A118" s="142">
        <v>0</v>
      </c>
      <c r="B118" s="68">
        <v>40288</v>
      </c>
      <c r="C118" s="198">
        <v>40288</v>
      </c>
      <c r="D118" s="69">
        <v>39560</v>
      </c>
      <c r="E118" s="70">
        <v>40288</v>
      </c>
      <c r="F118" s="71">
        <v>16</v>
      </c>
      <c r="G118" s="72"/>
      <c r="H118" s="82" t="s">
        <v>33</v>
      </c>
      <c r="I118" s="210"/>
      <c r="J118" s="210"/>
      <c r="K118" s="235">
        <v>2230.5882352941176</v>
      </c>
      <c r="L118" s="235">
        <v>630.58823529411768</v>
      </c>
      <c r="M118" s="235">
        <v>2861.1764705882351</v>
      </c>
      <c r="N118" s="235">
        <v>1704.4705882352941</v>
      </c>
      <c r="O118" s="235">
        <v>541.17647058823525</v>
      </c>
      <c r="P118" s="235">
        <v>2245.6470588235293</v>
      </c>
      <c r="Q118" s="235">
        <v>131.76470588235293</v>
      </c>
      <c r="R118" s="235">
        <v>0</v>
      </c>
      <c r="S118" s="235">
        <v>131.76470588235293</v>
      </c>
      <c r="T118" s="235">
        <v>196.70588235294119</v>
      </c>
      <c r="U118" s="235">
        <v>3435.294117647059</v>
      </c>
      <c r="V118" s="235">
        <v>3632</v>
      </c>
      <c r="W118" s="235">
        <v>2032.9411764705883</v>
      </c>
      <c r="X118" s="235">
        <v>3976.4705882352941</v>
      </c>
      <c r="Y118" s="235">
        <v>6009.411764705882</v>
      </c>
      <c r="Z118" s="200">
        <v>8870.5882352941171</v>
      </c>
      <c r="AA118" s="235">
        <v>10.352941176470589</v>
      </c>
      <c r="AB118" s="235">
        <v>3.6235294117647059</v>
      </c>
      <c r="AC118" s="235">
        <v>13.976470588235294</v>
      </c>
      <c r="AD118" s="235">
        <v>0</v>
      </c>
      <c r="AE118" s="235">
        <v>0</v>
      </c>
      <c r="AF118" s="235">
        <v>0</v>
      </c>
      <c r="AG118" s="235">
        <v>8.4705882352941178</v>
      </c>
      <c r="AH118" s="235">
        <v>2.9647058823529413</v>
      </c>
      <c r="AI118" s="235">
        <v>11.435294117647059</v>
      </c>
      <c r="AJ118" s="235">
        <v>4.7058823529411766</v>
      </c>
      <c r="AK118" s="235">
        <v>24.470588235294116</v>
      </c>
      <c r="AL118" s="235">
        <v>29.176470588235293</v>
      </c>
      <c r="AM118" s="235">
        <v>13.176470588235293</v>
      </c>
      <c r="AN118" s="235">
        <v>27.435294117647057</v>
      </c>
      <c r="AO118" s="235">
        <v>40.611764705882351</v>
      </c>
      <c r="AP118" s="200">
        <v>54.588235294117645</v>
      </c>
      <c r="AQ118" s="141">
        <v>0</v>
      </c>
      <c r="AR118" s="200">
        <v>2875.1529411764704</v>
      </c>
      <c r="AS118" s="200">
        <v>6050.0235294117647</v>
      </c>
      <c r="AT118" s="66">
        <v>8925.1764705882342</v>
      </c>
      <c r="AU118" s="235">
        <v>75.294117647058826</v>
      </c>
      <c r="AV118" s="235">
        <v>47.058823529411768</v>
      </c>
      <c r="AW118" s="75">
        <v>0</v>
      </c>
      <c r="AX118" s="235">
        <v>103.52941176470588</v>
      </c>
      <c r="AY118" s="66">
        <v>225.88235294117646</v>
      </c>
      <c r="AZ118" s="202">
        <v>0</v>
      </c>
      <c r="BA118" s="87">
        <v>32</v>
      </c>
      <c r="BB118" s="87">
        <v>101.64705882352941</v>
      </c>
      <c r="BC118" s="87">
        <v>32</v>
      </c>
      <c r="BD118" s="87">
        <v>101.64705882352941</v>
      </c>
      <c r="BE118" s="87">
        <v>133.64705882352942</v>
      </c>
      <c r="BF118" s="87">
        <v>219.29411764705881</v>
      </c>
      <c r="BG118" s="66">
        <v>352.94117647058823</v>
      </c>
      <c r="BH118" s="67">
        <v>9504</v>
      </c>
      <c r="BI118" s="67">
        <v>367817.76470588235</v>
      </c>
      <c r="FE118" s="39">
        <v>40288</v>
      </c>
      <c r="FF118" s="39">
        <v>2230.5882352941176</v>
      </c>
      <c r="FG118" s="39">
        <v>1704.4705882352941</v>
      </c>
      <c r="FH118" s="39">
        <v>3935.0588235294117</v>
      </c>
      <c r="FI118" s="39">
        <v>32</v>
      </c>
      <c r="FJ118" s="39" t="e">
        <v>#REF!</v>
      </c>
      <c r="FK118" s="39" t="e">
        <v>#REF!</v>
      </c>
      <c r="FL118" s="39">
        <v>75.294117647058826</v>
      </c>
      <c r="FM118" s="39">
        <v>47.058823529411768</v>
      </c>
      <c r="FN118" s="39" t="e">
        <v>#REF!</v>
      </c>
      <c r="FO118" s="39">
        <v>103.52941176470588</v>
      </c>
      <c r="FP118" s="39" t="e">
        <v>#REF!</v>
      </c>
      <c r="FR118" s="39" t="e">
        <v>#REF!</v>
      </c>
    </row>
    <row r="119" spans="1:174" x14ac:dyDescent="0.25">
      <c r="A119" s="142">
        <v>0</v>
      </c>
      <c r="B119" s="68">
        <v>40289</v>
      </c>
      <c r="C119" s="198">
        <v>40289</v>
      </c>
      <c r="D119" s="69">
        <v>39561</v>
      </c>
      <c r="E119" s="70">
        <v>40289</v>
      </c>
      <c r="F119" s="71">
        <v>16</v>
      </c>
      <c r="G119" s="72"/>
      <c r="H119" s="82" t="s">
        <v>33</v>
      </c>
      <c r="I119" s="210"/>
      <c r="J119" s="210"/>
      <c r="K119" s="235">
        <v>1976.4705882352941</v>
      </c>
      <c r="L119" s="235">
        <v>781.17647058823525</v>
      </c>
      <c r="M119" s="235">
        <v>2757.6470588235293</v>
      </c>
      <c r="N119" s="235">
        <v>1557.6470588235295</v>
      </c>
      <c r="O119" s="235">
        <v>649.41176470588232</v>
      </c>
      <c r="P119" s="235">
        <v>2207.0588235294117</v>
      </c>
      <c r="Q119" s="235">
        <v>145.88235294117646</v>
      </c>
      <c r="R119" s="235">
        <v>0</v>
      </c>
      <c r="S119" s="235">
        <v>145.88235294117646</v>
      </c>
      <c r="T119" s="235">
        <v>150.58823529411765</v>
      </c>
      <c r="U119" s="235">
        <v>3220.705882352941</v>
      </c>
      <c r="V119" s="235">
        <v>3371.294117647059</v>
      </c>
      <c r="W119" s="235">
        <v>1854.1176470588234</v>
      </c>
      <c r="X119" s="235">
        <v>3870.1176470588234</v>
      </c>
      <c r="Y119" s="235">
        <v>5724.2352941176468</v>
      </c>
      <c r="Z119" s="200">
        <v>8481.8823529411766</v>
      </c>
      <c r="AA119" s="235">
        <v>9.3176470588235301</v>
      </c>
      <c r="AB119" s="235">
        <v>5.1764705882352944</v>
      </c>
      <c r="AC119" s="235">
        <v>14.494117647058824</v>
      </c>
      <c r="AD119" s="235">
        <v>3.7647058823529411</v>
      </c>
      <c r="AE119" s="235">
        <v>0</v>
      </c>
      <c r="AF119" s="235">
        <v>3.7647058823529411</v>
      </c>
      <c r="AG119" s="235">
        <v>7.6235294117647054</v>
      </c>
      <c r="AH119" s="235">
        <v>4.2352941176470589</v>
      </c>
      <c r="AI119" s="235">
        <v>11.858823529411765</v>
      </c>
      <c r="AJ119" s="235">
        <v>4.7058823529411766</v>
      </c>
      <c r="AK119" s="235">
        <v>12.235294117647058</v>
      </c>
      <c r="AL119" s="235">
        <v>16.941176470588236</v>
      </c>
      <c r="AM119" s="235">
        <v>16.094117647058823</v>
      </c>
      <c r="AN119" s="235">
        <v>16.470588235294116</v>
      </c>
      <c r="AO119" s="235">
        <v>32.564705882352939</v>
      </c>
      <c r="AP119" s="200">
        <v>47.058823529411768</v>
      </c>
      <c r="AQ119" s="141">
        <v>0</v>
      </c>
      <c r="AR119" s="200">
        <v>2772.1411764705881</v>
      </c>
      <c r="AS119" s="200">
        <v>5756.8</v>
      </c>
      <c r="AT119" s="66">
        <v>8528.9411764705874</v>
      </c>
      <c r="AU119" s="235">
        <v>56.470588235294116</v>
      </c>
      <c r="AV119" s="235">
        <v>47.058823529411768</v>
      </c>
      <c r="AW119" s="75">
        <v>0</v>
      </c>
      <c r="AX119" s="235">
        <v>94.117647058823536</v>
      </c>
      <c r="AY119" s="66">
        <v>197.64705882352942</v>
      </c>
      <c r="AZ119" s="202">
        <v>0</v>
      </c>
      <c r="BA119" s="87">
        <v>32.941176470588232</v>
      </c>
      <c r="BB119" s="87">
        <v>76.235294117647058</v>
      </c>
      <c r="BC119" s="87">
        <v>32.941176470588232</v>
      </c>
      <c r="BD119" s="87">
        <v>76.235294117647058</v>
      </c>
      <c r="BE119" s="87">
        <v>109.17647058823529</v>
      </c>
      <c r="BF119" s="87">
        <v>688.94117647058829</v>
      </c>
      <c r="BG119" s="66">
        <v>798.11764705882354</v>
      </c>
      <c r="BH119" s="67">
        <v>9524.7058823529405</v>
      </c>
      <c r="BI119" s="67">
        <v>377342.4705882353</v>
      </c>
      <c r="FE119" s="39">
        <v>40289</v>
      </c>
      <c r="FF119" s="39">
        <v>1976.4705882352941</v>
      </c>
      <c r="FG119" s="39">
        <v>1557.6470588235295</v>
      </c>
      <c r="FH119" s="39">
        <v>3534.1176470588234</v>
      </c>
      <c r="FI119" s="39">
        <v>32.941176470588232</v>
      </c>
      <c r="FJ119" s="39" t="e">
        <v>#REF!</v>
      </c>
      <c r="FK119" s="39" t="e">
        <v>#REF!</v>
      </c>
      <c r="FL119" s="39">
        <v>56.470588235294116</v>
      </c>
      <c r="FM119" s="39">
        <v>47.058823529411768</v>
      </c>
      <c r="FN119" s="39" t="e">
        <v>#REF!</v>
      </c>
      <c r="FO119" s="39">
        <v>94.117647058823536</v>
      </c>
      <c r="FP119" s="39" t="e">
        <v>#REF!</v>
      </c>
      <c r="FR119" s="39" t="e">
        <v>#REF!</v>
      </c>
    </row>
    <row r="120" spans="1:174" x14ac:dyDescent="0.25">
      <c r="A120" s="142">
        <v>0</v>
      </c>
      <c r="B120" s="68">
        <v>40290</v>
      </c>
      <c r="C120" s="198">
        <v>40290</v>
      </c>
      <c r="D120" s="69">
        <v>39562</v>
      </c>
      <c r="E120" s="70">
        <v>40290</v>
      </c>
      <c r="F120" s="71">
        <v>16</v>
      </c>
      <c r="G120" s="72"/>
      <c r="H120" s="82" t="s">
        <v>33</v>
      </c>
      <c r="I120" s="210"/>
      <c r="J120" s="210"/>
      <c r="K120" s="235">
        <v>2258.8235294117649</v>
      </c>
      <c r="L120" s="235">
        <v>705.88235294117646</v>
      </c>
      <c r="M120" s="235">
        <v>2964.7058823529414</v>
      </c>
      <c r="N120" s="235">
        <v>1430.5882352941176</v>
      </c>
      <c r="O120" s="235">
        <v>498.8235294117647</v>
      </c>
      <c r="P120" s="235">
        <v>1929.4117647058824</v>
      </c>
      <c r="Q120" s="235">
        <v>131.76470588235293</v>
      </c>
      <c r="R120" s="235">
        <v>0</v>
      </c>
      <c r="S120" s="235">
        <v>131.76470588235293</v>
      </c>
      <c r="T120" s="235">
        <v>164.70588235294119</v>
      </c>
      <c r="U120" s="235">
        <v>3675.294117647059</v>
      </c>
      <c r="V120" s="235">
        <v>3840</v>
      </c>
      <c r="W120" s="235">
        <v>1727.0588235294117</v>
      </c>
      <c r="X120" s="235">
        <v>4174.1176470588234</v>
      </c>
      <c r="Y120" s="235">
        <v>5901.1764705882351</v>
      </c>
      <c r="Z120" s="200">
        <v>8865.8823529411766</v>
      </c>
      <c r="AA120" s="235">
        <v>15.529411764705882</v>
      </c>
      <c r="AB120" s="235">
        <v>6.7294117647058824</v>
      </c>
      <c r="AC120" s="235">
        <v>22.258823529411764</v>
      </c>
      <c r="AD120" s="235">
        <v>0</v>
      </c>
      <c r="AE120" s="235">
        <v>0</v>
      </c>
      <c r="AF120" s="235">
        <v>0</v>
      </c>
      <c r="AG120" s="235">
        <v>12.705882352941176</v>
      </c>
      <c r="AH120" s="235">
        <v>5.5058823529411764</v>
      </c>
      <c r="AI120" s="235">
        <v>18.211764705882356</v>
      </c>
      <c r="AJ120" s="235">
        <v>0</v>
      </c>
      <c r="AK120" s="235">
        <v>8.4705882352941178</v>
      </c>
      <c r="AL120" s="235">
        <v>8.4705882352941178</v>
      </c>
      <c r="AM120" s="235">
        <v>12.705882352941176</v>
      </c>
      <c r="AN120" s="235">
        <v>13.976470588235294</v>
      </c>
      <c r="AO120" s="235">
        <v>26.682352941176472</v>
      </c>
      <c r="AP120" s="200">
        <v>48.941176470588232</v>
      </c>
      <c r="AQ120" s="141">
        <v>0</v>
      </c>
      <c r="AR120" s="200">
        <v>2986.9647058823534</v>
      </c>
      <c r="AS120" s="200">
        <v>5927.8588235294119</v>
      </c>
      <c r="AT120" s="66">
        <v>8914.8235294117658</v>
      </c>
      <c r="AU120" s="235">
        <v>94.117647058823536</v>
      </c>
      <c r="AV120" s="235">
        <v>47.058823529411768</v>
      </c>
      <c r="AW120" s="75">
        <v>0</v>
      </c>
      <c r="AX120" s="235">
        <v>117.64705882352941</v>
      </c>
      <c r="AY120" s="66">
        <v>258.8235294117647</v>
      </c>
      <c r="AZ120" s="202">
        <v>0</v>
      </c>
      <c r="BA120" s="87">
        <v>92.235294117647058</v>
      </c>
      <c r="BB120" s="87">
        <v>58.352941176470587</v>
      </c>
      <c r="BC120" s="87">
        <v>92.235294117647058</v>
      </c>
      <c r="BD120" s="87">
        <v>58.352941176470587</v>
      </c>
      <c r="BE120" s="87">
        <v>150.58823529411765</v>
      </c>
      <c r="BF120" s="87">
        <v>1066.3529411764705</v>
      </c>
      <c r="BG120" s="66">
        <v>1216.9411764705881</v>
      </c>
      <c r="BH120" s="67">
        <v>10390.588235294119</v>
      </c>
      <c r="BI120" s="67">
        <v>387733.0588235294</v>
      </c>
      <c r="FE120" s="39">
        <v>40290</v>
      </c>
      <c r="FF120" s="39">
        <v>2258.8235294117649</v>
      </c>
      <c r="FG120" s="39">
        <v>1430.5882352941176</v>
      </c>
      <c r="FH120" s="39">
        <v>3689.4117647058824</v>
      </c>
      <c r="FI120" s="39">
        <v>92.235294117647058</v>
      </c>
      <c r="FJ120" s="39" t="e">
        <v>#REF!</v>
      </c>
      <c r="FK120" s="39" t="e">
        <v>#REF!</v>
      </c>
      <c r="FL120" s="39">
        <v>94.117647058823536</v>
      </c>
      <c r="FM120" s="39">
        <v>47.058823529411768</v>
      </c>
      <c r="FN120" s="39" t="e">
        <v>#REF!</v>
      </c>
      <c r="FO120" s="39">
        <v>117.64705882352941</v>
      </c>
      <c r="FP120" s="39" t="e">
        <v>#REF!</v>
      </c>
      <c r="FR120" s="39" t="e">
        <v>#REF!</v>
      </c>
    </row>
    <row r="121" spans="1:174" x14ac:dyDescent="0.25">
      <c r="A121" s="142">
        <v>0</v>
      </c>
      <c r="B121" s="68">
        <v>40291</v>
      </c>
      <c r="C121" s="198">
        <v>40291</v>
      </c>
      <c r="D121" s="69">
        <v>39563</v>
      </c>
      <c r="E121" s="70">
        <v>40291</v>
      </c>
      <c r="F121" s="71">
        <v>16</v>
      </c>
      <c r="G121" s="72"/>
      <c r="H121" s="82" t="s">
        <v>33</v>
      </c>
      <c r="I121" s="210"/>
      <c r="J121" s="210"/>
      <c r="K121" s="235">
        <v>1628.2352941176471</v>
      </c>
      <c r="L121" s="235">
        <v>404.70588235294116</v>
      </c>
      <c r="M121" s="235">
        <v>2032.9411764705883</v>
      </c>
      <c r="N121" s="235">
        <v>1129.4117647058824</v>
      </c>
      <c r="O121" s="235">
        <v>367.05882352941177</v>
      </c>
      <c r="P121" s="235">
        <v>1496.4705882352941</v>
      </c>
      <c r="Q121" s="235">
        <v>80</v>
      </c>
      <c r="R121" s="235">
        <v>0</v>
      </c>
      <c r="S121" s="235">
        <v>80</v>
      </c>
      <c r="T121" s="235">
        <v>176.94117647058823</v>
      </c>
      <c r="U121" s="235">
        <v>1693.1764705882354</v>
      </c>
      <c r="V121" s="235">
        <v>1870.1176470588234</v>
      </c>
      <c r="W121" s="235">
        <v>1386.3529411764705</v>
      </c>
      <c r="X121" s="235">
        <v>2060.2352941176468</v>
      </c>
      <c r="Y121" s="235">
        <v>3446.5882352941176</v>
      </c>
      <c r="Z121" s="200">
        <v>5479.5294117647063</v>
      </c>
      <c r="AA121" s="235">
        <v>10.870588235294118</v>
      </c>
      <c r="AB121" s="235">
        <v>9.8352941176470576</v>
      </c>
      <c r="AC121" s="235">
        <v>20.705882352941178</v>
      </c>
      <c r="AD121" s="235">
        <v>0</v>
      </c>
      <c r="AE121" s="235">
        <v>0</v>
      </c>
      <c r="AF121" s="235">
        <v>0</v>
      </c>
      <c r="AG121" s="235">
        <v>8.8941176470588221</v>
      </c>
      <c r="AH121" s="235">
        <v>8.0470588235294116</v>
      </c>
      <c r="AI121" s="235">
        <v>16.941176470588236</v>
      </c>
      <c r="AJ121" s="235">
        <v>0</v>
      </c>
      <c r="AK121" s="235">
        <v>9.4117647058823533</v>
      </c>
      <c r="AL121" s="235">
        <v>9.4117647058823533</v>
      </c>
      <c r="AM121" s="235">
        <v>8.8941176470588221</v>
      </c>
      <c r="AN121" s="235">
        <v>17.458823529411767</v>
      </c>
      <c r="AO121" s="235">
        <v>26.352941176470587</v>
      </c>
      <c r="AP121" s="200">
        <v>47.058823529411768</v>
      </c>
      <c r="AQ121" s="141">
        <v>0</v>
      </c>
      <c r="AR121" s="200">
        <v>2053.6470588235293</v>
      </c>
      <c r="AS121" s="200">
        <v>3472.9411764705883</v>
      </c>
      <c r="AT121" s="66">
        <v>5526.5882352941171</v>
      </c>
      <c r="AU121" s="235">
        <v>70.588235294117652</v>
      </c>
      <c r="AV121" s="235">
        <v>47.058823529411768</v>
      </c>
      <c r="AW121" s="75">
        <v>0</v>
      </c>
      <c r="AX121" s="235">
        <v>84.705882352941174</v>
      </c>
      <c r="AY121" s="66">
        <v>202.35294117647061</v>
      </c>
      <c r="AZ121" s="202">
        <v>0</v>
      </c>
      <c r="BA121" s="87">
        <v>89.411764705882348</v>
      </c>
      <c r="BB121" s="87">
        <v>32</v>
      </c>
      <c r="BC121" s="87">
        <v>132.70588235294119</v>
      </c>
      <c r="BD121" s="87">
        <v>32</v>
      </c>
      <c r="BE121" s="87">
        <v>164.70588235294119</v>
      </c>
      <c r="BF121" s="87">
        <v>1472.9411764705883</v>
      </c>
      <c r="BG121" s="66">
        <v>1637.6470588235295</v>
      </c>
      <c r="BH121" s="67">
        <v>7366.5882352941171</v>
      </c>
      <c r="BI121" s="67">
        <v>395099.6470588235</v>
      </c>
      <c r="FE121" s="39">
        <v>40291</v>
      </c>
      <c r="FF121" s="39">
        <v>1628.2352941176471</v>
      </c>
      <c r="FG121" s="39">
        <v>1129.4117647058824</v>
      </c>
      <c r="FH121" s="39">
        <v>2757.6470588235297</v>
      </c>
      <c r="FI121" s="39">
        <v>89.411764705882348</v>
      </c>
      <c r="FJ121" s="39" t="e">
        <v>#REF!</v>
      </c>
      <c r="FK121" s="39" t="e">
        <v>#REF!</v>
      </c>
      <c r="FL121" s="39">
        <v>70.588235294117652</v>
      </c>
      <c r="FM121" s="39">
        <v>47.058823529411768</v>
      </c>
      <c r="FN121" s="39" t="e">
        <v>#REF!</v>
      </c>
      <c r="FO121" s="39">
        <v>84.705882352941174</v>
      </c>
      <c r="FP121" s="39" t="e">
        <v>#REF!</v>
      </c>
      <c r="FR121" s="39" t="e">
        <v>#REF!</v>
      </c>
    </row>
    <row r="122" spans="1:174" x14ac:dyDescent="0.25">
      <c r="A122" s="142">
        <v>0</v>
      </c>
      <c r="B122" s="85">
        <v>40292</v>
      </c>
      <c r="C122" s="203">
        <v>40292</v>
      </c>
      <c r="D122" s="76">
        <v>39564</v>
      </c>
      <c r="E122" s="77">
        <v>40292</v>
      </c>
      <c r="F122" s="78">
        <v>16</v>
      </c>
      <c r="G122" s="79"/>
      <c r="H122" s="80" t="s">
        <v>33</v>
      </c>
      <c r="I122" s="212"/>
      <c r="J122" s="212"/>
      <c r="K122" s="231">
        <v>1835.2941176470588</v>
      </c>
      <c r="L122" s="231">
        <v>814.11764705882354</v>
      </c>
      <c r="M122" s="231">
        <v>2649.4117647058824</v>
      </c>
      <c r="N122" s="231">
        <v>941.17647058823525</v>
      </c>
      <c r="O122" s="231">
        <v>310.58823529411762</v>
      </c>
      <c r="P122" s="231">
        <v>1251.7647058823529</v>
      </c>
      <c r="Q122" s="231">
        <v>141.1764705882353</v>
      </c>
      <c r="R122" s="231">
        <v>0</v>
      </c>
      <c r="S122" s="231">
        <v>141.1764705882353</v>
      </c>
      <c r="T122" s="231">
        <v>180.70588235294119</v>
      </c>
      <c r="U122" s="231">
        <v>1599.0588235294117</v>
      </c>
      <c r="V122" s="231">
        <v>1779.7647058823529</v>
      </c>
      <c r="W122" s="231">
        <v>1263.0588235294117</v>
      </c>
      <c r="X122" s="231">
        <v>1909.6470588235295</v>
      </c>
      <c r="Y122" s="231">
        <v>3172.705882352941</v>
      </c>
      <c r="Z122" s="205">
        <v>5822.1176470588234</v>
      </c>
      <c r="AA122" s="231">
        <v>11.388235294117647</v>
      </c>
      <c r="AB122" s="231">
        <v>12.941176470588236</v>
      </c>
      <c r="AC122" s="231">
        <v>24.329411764705885</v>
      </c>
      <c r="AD122" s="231">
        <v>1.8823529411764706</v>
      </c>
      <c r="AE122" s="231">
        <v>0</v>
      </c>
      <c r="AF122" s="231">
        <v>1.8823529411764706</v>
      </c>
      <c r="AG122" s="231">
        <v>9.3176470588235301</v>
      </c>
      <c r="AH122" s="231">
        <v>10.588235294117647</v>
      </c>
      <c r="AI122" s="231">
        <v>19.905882352941177</v>
      </c>
      <c r="AJ122" s="231">
        <v>2.8235294117647061</v>
      </c>
      <c r="AK122" s="231">
        <v>16.941176470588236</v>
      </c>
      <c r="AL122" s="231">
        <v>19.764705882352942</v>
      </c>
      <c r="AM122" s="231">
        <v>14.023529411764706</v>
      </c>
      <c r="AN122" s="231">
        <v>27.529411764705884</v>
      </c>
      <c r="AO122" s="231">
        <v>41.55294117647059</v>
      </c>
      <c r="AP122" s="205">
        <v>65.882352941176464</v>
      </c>
      <c r="AQ122" s="232">
        <v>0</v>
      </c>
      <c r="AR122" s="200">
        <v>2673.7411764705885</v>
      </c>
      <c r="AS122" s="200">
        <v>3214.2588235294115</v>
      </c>
      <c r="AT122" s="66">
        <v>5888</v>
      </c>
      <c r="AU122" s="231">
        <v>141.1764705882353</v>
      </c>
      <c r="AV122" s="231">
        <v>47.058823529411768</v>
      </c>
      <c r="AW122" s="75">
        <v>0</v>
      </c>
      <c r="AX122" s="231">
        <v>211.76470588235293</v>
      </c>
      <c r="AY122" s="66">
        <v>400</v>
      </c>
      <c r="AZ122" s="208">
        <v>0</v>
      </c>
      <c r="BA122" s="86">
        <v>517.64705882352939</v>
      </c>
      <c r="BB122" s="86">
        <v>1246.1176470588234</v>
      </c>
      <c r="BC122" s="86">
        <v>517.64705882352939</v>
      </c>
      <c r="BD122" s="86">
        <v>1246.1176470588234</v>
      </c>
      <c r="BE122" s="86">
        <v>1763.7647058823529</v>
      </c>
      <c r="BF122" s="86">
        <v>1488.9411764705883</v>
      </c>
      <c r="BG122" s="209">
        <v>3252.7058823529414</v>
      </c>
      <c r="BH122" s="67">
        <v>9540.7058823529405</v>
      </c>
      <c r="BI122" s="67">
        <v>404640.35294117645</v>
      </c>
      <c r="FE122" s="39">
        <v>40292</v>
      </c>
      <c r="FF122" s="39">
        <v>1835.2941176470588</v>
      </c>
      <c r="FG122" s="39">
        <v>941.17647058823525</v>
      </c>
      <c r="FH122" s="39">
        <v>2776.4705882352941</v>
      </c>
      <c r="FI122" s="39">
        <v>517.64705882352939</v>
      </c>
      <c r="FJ122" s="39" t="e">
        <v>#REF!</v>
      </c>
      <c r="FK122" s="39" t="e">
        <v>#REF!</v>
      </c>
      <c r="FL122" s="39">
        <v>141.1764705882353</v>
      </c>
      <c r="FM122" s="39">
        <v>47.058823529411768</v>
      </c>
      <c r="FN122" s="39" t="e">
        <v>#REF!</v>
      </c>
      <c r="FO122" s="39">
        <v>211.76470588235293</v>
      </c>
      <c r="FP122" s="39" t="e">
        <v>#REF!</v>
      </c>
      <c r="FR122" s="39" t="e">
        <v>#REF!</v>
      </c>
    </row>
    <row r="123" spans="1:174" x14ac:dyDescent="0.25">
      <c r="A123" s="142">
        <v>0</v>
      </c>
      <c r="B123" s="85">
        <v>40293</v>
      </c>
      <c r="C123" s="203">
        <v>40293</v>
      </c>
      <c r="D123" s="76">
        <v>39565</v>
      </c>
      <c r="E123" s="77">
        <v>40293</v>
      </c>
      <c r="F123" s="78">
        <v>16</v>
      </c>
      <c r="G123" s="79"/>
      <c r="H123" s="80" t="s">
        <v>33</v>
      </c>
      <c r="I123" s="212"/>
      <c r="J123" s="212"/>
      <c r="K123" s="231">
        <v>3087.0588235294117</v>
      </c>
      <c r="L123" s="231">
        <v>762.35294117647061</v>
      </c>
      <c r="M123" s="231">
        <v>3849.4117647058824</v>
      </c>
      <c r="N123" s="231">
        <v>705.88235294117646</v>
      </c>
      <c r="O123" s="231">
        <v>311.52941176470586</v>
      </c>
      <c r="P123" s="231">
        <v>1017.4117647058823</v>
      </c>
      <c r="Q123" s="231">
        <v>61.176470588235297</v>
      </c>
      <c r="R123" s="231">
        <v>0</v>
      </c>
      <c r="S123" s="231">
        <v>61.176470588235297</v>
      </c>
      <c r="T123" s="231">
        <v>77.17647058823529</v>
      </c>
      <c r="U123" s="231">
        <v>1270.5882352941176</v>
      </c>
      <c r="V123" s="231">
        <v>1347.7647058823529</v>
      </c>
      <c r="W123" s="231">
        <v>844.23529411764707</v>
      </c>
      <c r="X123" s="231">
        <v>1582.1176470588234</v>
      </c>
      <c r="Y123" s="231">
        <v>2426.3529411764707</v>
      </c>
      <c r="Z123" s="205">
        <v>6275.7647058823532</v>
      </c>
      <c r="AA123" s="231">
        <v>15.529411764705882</v>
      </c>
      <c r="AB123" s="231">
        <v>14.494117647058824</v>
      </c>
      <c r="AC123" s="231">
        <v>30.023529411764706</v>
      </c>
      <c r="AD123" s="231">
        <v>0</v>
      </c>
      <c r="AE123" s="231">
        <v>0</v>
      </c>
      <c r="AF123" s="231">
        <v>0</v>
      </c>
      <c r="AG123" s="231">
        <v>12.705882352941176</v>
      </c>
      <c r="AH123" s="231">
        <v>11.858823529411765</v>
      </c>
      <c r="AI123" s="231">
        <v>24.564705882352943</v>
      </c>
      <c r="AJ123" s="231">
        <v>3.7647058823529411</v>
      </c>
      <c r="AK123" s="231">
        <v>20.705882352941178</v>
      </c>
      <c r="AL123" s="231">
        <v>24.470588235294116</v>
      </c>
      <c r="AM123" s="231">
        <v>16.470588235294116</v>
      </c>
      <c r="AN123" s="231">
        <v>32.564705882352939</v>
      </c>
      <c r="AO123" s="231">
        <v>49.035294117647062</v>
      </c>
      <c r="AP123" s="205">
        <v>79.058823529411768</v>
      </c>
      <c r="AQ123" s="232">
        <v>0</v>
      </c>
      <c r="AR123" s="200">
        <v>3879.4352941176471</v>
      </c>
      <c r="AS123" s="200">
        <v>2475.3882352941177</v>
      </c>
      <c r="AT123" s="66">
        <v>6354.8235294117649</v>
      </c>
      <c r="AU123" s="231">
        <v>131.76470588235293</v>
      </c>
      <c r="AV123" s="231">
        <v>70.588235294117652</v>
      </c>
      <c r="AW123" s="75">
        <v>0</v>
      </c>
      <c r="AX123" s="231">
        <v>122.35294117647059</v>
      </c>
      <c r="AY123" s="66">
        <v>324.70588235294116</v>
      </c>
      <c r="AZ123" s="208">
        <v>0</v>
      </c>
      <c r="BA123" s="86">
        <v>150.58823529411765</v>
      </c>
      <c r="BB123" s="86">
        <v>1270.5882352941176</v>
      </c>
      <c r="BC123" s="86">
        <v>150.58823529411765</v>
      </c>
      <c r="BD123" s="86">
        <v>1270.5882352941176</v>
      </c>
      <c r="BE123" s="86">
        <v>1421.1764705882354</v>
      </c>
      <c r="BF123" s="86">
        <v>155.29411764705881</v>
      </c>
      <c r="BG123" s="209">
        <v>1576.4705882352941</v>
      </c>
      <c r="BH123" s="67">
        <v>8256</v>
      </c>
      <c r="BI123" s="67">
        <v>412896.35294117645</v>
      </c>
      <c r="FE123" s="39">
        <v>40293</v>
      </c>
      <c r="FF123" s="39">
        <v>3087.0588235294117</v>
      </c>
      <c r="FG123" s="39">
        <v>705.88235294117646</v>
      </c>
      <c r="FH123" s="39">
        <v>3792.9411764705883</v>
      </c>
      <c r="FI123" s="39">
        <v>150.58823529411765</v>
      </c>
      <c r="FJ123" s="39" t="e">
        <v>#REF!</v>
      </c>
      <c r="FK123" s="39" t="e">
        <v>#REF!</v>
      </c>
      <c r="FL123" s="39">
        <v>131.76470588235293</v>
      </c>
      <c r="FM123" s="39">
        <v>70.588235294117652</v>
      </c>
      <c r="FN123" s="39" t="e">
        <v>#REF!</v>
      </c>
      <c r="FO123" s="39">
        <v>122.35294117647059</v>
      </c>
      <c r="FP123" s="39" t="e">
        <v>#REF!</v>
      </c>
      <c r="FR123" s="39" t="e">
        <v>#REF!</v>
      </c>
    </row>
    <row r="124" spans="1:174" x14ac:dyDescent="0.25">
      <c r="A124" s="142">
        <v>0</v>
      </c>
      <c r="B124" s="68">
        <v>40294</v>
      </c>
      <c r="C124" s="198">
        <v>40294</v>
      </c>
      <c r="D124" s="69">
        <v>39566</v>
      </c>
      <c r="E124" s="70">
        <v>40294</v>
      </c>
      <c r="F124" s="71">
        <v>17</v>
      </c>
      <c r="G124" s="72"/>
      <c r="H124" s="82" t="s">
        <v>35</v>
      </c>
      <c r="I124" s="210"/>
      <c r="J124" s="210"/>
      <c r="K124" s="235">
        <v>640</v>
      </c>
      <c r="L124" s="235">
        <v>216.47058823529412</v>
      </c>
      <c r="M124" s="235">
        <v>856.47058823529414</v>
      </c>
      <c r="N124" s="235">
        <v>470.58823529411762</v>
      </c>
      <c r="O124" s="235">
        <v>75.294117647058826</v>
      </c>
      <c r="P124" s="235">
        <v>545.88235294117646</v>
      </c>
      <c r="Q124" s="235">
        <v>48</v>
      </c>
      <c r="R124" s="235">
        <v>0</v>
      </c>
      <c r="S124" s="235">
        <v>48</v>
      </c>
      <c r="T124" s="235">
        <v>126.11764705882354</v>
      </c>
      <c r="U124" s="235">
        <v>1289.4117647058824</v>
      </c>
      <c r="V124" s="235">
        <v>1415.5294117647059</v>
      </c>
      <c r="W124" s="235">
        <v>644.70588235294122</v>
      </c>
      <c r="X124" s="235">
        <v>1364.7058823529412</v>
      </c>
      <c r="Y124" s="235">
        <v>2009.4117647058824</v>
      </c>
      <c r="Z124" s="200">
        <v>2865.8823529411766</v>
      </c>
      <c r="AA124" s="235">
        <v>19.152941176470591</v>
      </c>
      <c r="AB124" s="235">
        <v>8.8000000000000007</v>
      </c>
      <c r="AC124" s="235">
        <v>27.952941176470592</v>
      </c>
      <c r="AD124" s="235">
        <v>0</v>
      </c>
      <c r="AE124" s="235">
        <v>0</v>
      </c>
      <c r="AF124" s="235">
        <v>0</v>
      </c>
      <c r="AG124" s="235">
        <v>15.670588235294117</v>
      </c>
      <c r="AH124" s="235">
        <v>7.2</v>
      </c>
      <c r="AI124" s="235">
        <v>22.870588235294115</v>
      </c>
      <c r="AJ124" s="235">
        <v>0</v>
      </c>
      <c r="AK124" s="235">
        <v>14.117647058823529</v>
      </c>
      <c r="AL124" s="235">
        <v>14.117647058823529</v>
      </c>
      <c r="AM124" s="235">
        <v>15.670588235294117</v>
      </c>
      <c r="AN124" s="235">
        <v>21.317647058823528</v>
      </c>
      <c r="AO124" s="235">
        <v>36.988235294117644</v>
      </c>
      <c r="AP124" s="200">
        <v>64.941176470588232</v>
      </c>
      <c r="AQ124" s="141">
        <v>0</v>
      </c>
      <c r="AR124" s="200">
        <v>884.42352941176478</v>
      </c>
      <c r="AS124" s="200">
        <v>2046.4</v>
      </c>
      <c r="AT124" s="66">
        <v>2930.8235294117649</v>
      </c>
      <c r="AU124" s="235">
        <v>84.705882352941174</v>
      </c>
      <c r="AV124" s="235">
        <v>94.117647058823536</v>
      </c>
      <c r="AW124" s="75">
        <v>0</v>
      </c>
      <c r="AX124" s="235">
        <v>84.705882352941174</v>
      </c>
      <c r="AY124" s="66">
        <v>263.52941176470586</v>
      </c>
      <c r="AZ124" s="202">
        <v>0</v>
      </c>
      <c r="BA124" s="87">
        <v>0</v>
      </c>
      <c r="BB124" s="87">
        <v>52.705882352941174</v>
      </c>
      <c r="BC124" s="87">
        <v>20.705882352941178</v>
      </c>
      <c r="BD124" s="87">
        <v>52.705882352941174</v>
      </c>
      <c r="BE124" s="87">
        <v>73.411764705882348</v>
      </c>
      <c r="BF124" s="87">
        <v>151.52941176470588</v>
      </c>
      <c r="BG124" s="66">
        <v>224.94117647058823</v>
      </c>
      <c r="BH124" s="67">
        <v>3419.294117647059</v>
      </c>
      <c r="BI124" s="67">
        <v>416315.6470588235</v>
      </c>
      <c r="FE124" s="39">
        <v>40294</v>
      </c>
      <c r="FF124" s="39">
        <v>640</v>
      </c>
      <c r="FG124" s="39">
        <v>470.58823529411762</v>
      </c>
      <c r="FH124" s="39">
        <v>1110.5882352941176</v>
      </c>
      <c r="FI124" s="39">
        <v>0</v>
      </c>
      <c r="FJ124" s="39" t="e">
        <v>#REF!</v>
      </c>
      <c r="FK124" s="39" t="e">
        <v>#REF!</v>
      </c>
      <c r="FL124" s="39">
        <v>84.705882352941174</v>
      </c>
      <c r="FM124" s="39">
        <v>94.117647058823536</v>
      </c>
      <c r="FN124" s="39" t="e">
        <v>#REF!</v>
      </c>
      <c r="FO124" s="39">
        <v>84.705882352941174</v>
      </c>
      <c r="FP124" s="39" t="e">
        <v>#REF!</v>
      </c>
      <c r="FR124" s="39" t="e">
        <v>#REF!</v>
      </c>
    </row>
    <row r="125" spans="1:174" x14ac:dyDescent="0.25">
      <c r="A125" s="142">
        <v>0</v>
      </c>
      <c r="B125" s="68">
        <v>40295</v>
      </c>
      <c r="C125" s="198">
        <v>40295</v>
      </c>
      <c r="D125" s="69">
        <v>39567</v>
      </c>
      <c r="E125" s="70">
        <v>40295</v>
      </c>
      <c r="F125" s="71">
        <v>17</v>
      </c>
      <c r="G125" s="72" t="s">
        <v>47</v>
      </c>
      <c r="H125" s="82" t="s">
        <v>35</v>
      </c>
      <c r="I125" s="210"/>
      <c r="J125" s="210"/>
      <c r="K125" s="235">
        <v>724.70588235294122</v>
      </c>
      <c r="L125" s="235">
        <v>230.58823529411765</v>
      </c>
      <c r="M125" s="235">
        <v>955.2941176470589</v>
      </c>
      <c r="N125" s="235">
        <v>564.70588235294122</v>
      </c>
      <c r="O125" s="235">
        <v>122.35294117647059</v>
      </c>
      <c r="P125" s="235">
        <v>687.05882352941171</v>
      </c>
      <c r="Q125" s="235">
        <v>56.470588235294116</v>
      </c>
      <c r="R125" s="235">
        <v>0</v>
      </c>
      <c r="S125" s="235">
        <v>56.470588235294116</v>
      </c>
      <c r="T125" s="235">
        <v>107.29411764705883</v>
      </c>
      <c r="U125" s="235">
        <v>1643.2941176470588</v>
      </c>
      <c r="V125" s="235">
        <v>1750.5882352941176</v>
      </c>
      <c r="W125" s="235">
        <v>728.47058823529414</v>
      </c>
      <c r="X125" s="235">
        <v>1765.6470588235295</v>
      </c>
      <c r="Y125" s="235">
        <v>2494.1176470588234</v>
      </c>
      <c r="Z125" s="200">
        <v>3449.4117647058824</v>
      </c>
      <c r="AA125" s="235">
        <v>24.847058823529409</v>
      </c>
      <c r="AB125" s="235">
        <v>5.6941176470588237</v>
      </c>
      <c r="AC125" s="235">
        <v>30.54117647058823</v>
      </c>
      <c r="AD125" s="235">
        <v>0</v>
      </c>
      <c r="AE125" s="235">
        <v>0</v>
      </c>
      <c r="AF125" s="235">
        <v>0</v>
      </c>
      <c r="AG125" s="235">
        <v>20.329411764705885</v>
      </c>
      <c r="AH125" s="235">
        <v>4.658823529411765</v>
      </c>
      <c r="AI125" s="235">
        <v>24.988235294117647</v>
      </c>
      <c r="AJ125" s="235">
        <v>0</v>
      </c>
      <c r="AK125" s="235">
        <v>22.588235294117649</v>
      </c>
      <c r="AL125" s="235">
        <v>22.588235294117649</v>
      </c>
      <c r="AM125" s="235">
        <v>20.329411764705885</v>
      </c>
      <c r="AN125" s="235">
        <v>27.247058823529411</v>
      </c>
      <c r="AO125" s="235">
        <v>47.576470588235289</v>
      </c>
      <c r="AP125" s="200">
        <v>78.117647058823536</v>
      </c>
      <c r="AQ125" s="141">
        <v>0</v>
      </c>
      <c r="AR125" s="200">
        <v>985.83529411764709</v>
      </c>
      <c r="AS125" s="200">
        <v>2541.6941176470586</v>
      </c>
      <c r="AT125" s="66">
        <v>3527.5294117647059</v>
      </c>
      <c r="AU125" s="235">
        <v>37.647058823529413</v>
      </c>
      <c r="AV125" s="235">
        <v>291.76470588235293</v>
      </c>
      <c r="AW125" s="75">
        <v>28.235294117647058</v>
      </c>
      <c r="AX125" s="235">
        <v>108.23529411764706</v>
      </c>
      <c r="AY125" s="66">
        <v>465.88235294117646</v>
      </c>
      <c r="AZ125" s="202">
        <v>0</v>
      </c>
      <c r="BA125" s="87">
        <v>0</v>
      </c>
      <c r="BB125" s="87">
        <v>113.88235294117646</v>
      </c>
      <c r="BC125" s="87">
        <v>0</v>
      </c>
      <c r="BD125" s="87">
        <v>113.88235294117646</v>
      </c>
      <c r="BE125" s="87">
        <v>113.88235294117646</v>
      </c>
      <c r="BF125" s="87">
        <v>469.64705882352939</v>
      </c>
      <c r="BG125" s="66">
        <v>583.52941176470586</v>
      </c>
      <c r="BH125" s="67">
        <v>4576.9411764705883</v>
      </c>
      <c r="BI125" s="67">
        <v>420892.5882352941</v>
      </c>
      <c r="FE125" s="39">
        <v>40295</v>
      </c>
      <c r="FF125" s="39">
        <v>724.70588235294122</v>
      </c>
      <c r="FG125" s="39">
        <v>564.70588235294122</v>
      </c>
      <c r="FH125" s="39">
        <v>1289.4117647058824</v>
      </c>
      <c r="FI125" s="39">
        <v>0</v>
      </c>
      <c r="FJ125" s="39" t="e">
        <v>#REF!</v>
      </c>
      <c r="FK125" s="39" t="e">
        <v>#REF!</v>
      </c>
      <c r="FL125" s="39">
        <v>37.647058823529413</v>
      </c>
      <c r="FM125" s="39">
        <v>291.76470588235293</v>
      </c>
      <c r="FN125" s="39" t="e">
        <v>#REF!</v>
      </c>
      <c r="FO125" s="39">
        <v>108.23529411764706</v>
      </c>
      <c r="FP125" s="39" t="e">
        <v>#REF!</v>
      </c>
      <c r="FR125" s="39" t="e">
        <v>#REF!</v>
      </c>
    </row>
    <row r="126" spans="1:174" x14ac:dyDescent="0.25">
      <c r="A126" s="142">
        <v>0</v>
      </c>
      <c r="B126" s="68">
        <v>40296</v>
      </c>
      <c r="C126" s="198">
        <v>40296</v>
      </c>
      <c r="D126" s="69">
        <v>39568</v>
      </c>
      <c r="E126" s="70">
        <v>40296</v>
      </c>
      <c r="F126" s="71">
        <v>17</v>
      </c>
      <c r="G126" s="72"/>
      <c r="H126" s="82" t="s">
        <v>35</v>
      </c>
      <c r="I126" s="210"/>
      <c r="J126" s="210"/>
      <c r="K126" s="235">
        <v>687.05882352941171</v>
      </c>
      <c r="L126" s="235">
        <v>225.88235294117646</v>
      </c>
      <c r="M126" s="235">
        <v>912.94117647058818</v>
      </c>
      <c r="N126" s="235">
        <v>470.58823529411762</v>
      </c>
      <c r="O126" s="235">
        <v>131.76470588235293</v>
      </c>
      <c r="P126" s="235">
        <v>602.35294117647061</v>
      </c>
      <c r="Q126" s="235">
        <v>47.058823529411768</v>
      </c>
      <c r="R126" s="235">
        <v>0</v>
      </c>
      <c r="S126" s="235">
        <v>47.058823529411768</v>
      </c>
      <c r="T126" s="235">
        <v>93.17647058823529</v>
      </c>
      <c r="U126" s="235">
        <v>1419.2941176470588</v>
      </c>
      <c r="V126" s="235">
        <v>1512.4705882352941</v>
      </c>
      <c r="W126" s="235">
        <v>610.82352941176475</v>
      </c>
      <c r="X126" s="235">
        <v>1551.0588235294117</v>
      </c>
      <c r="Y126" s="235">
        <v>2161.8823529411766</v>
      </c>
      <c r="Z126" s="235">
        <v>3074.8235294117649</v>
      </c>
      <c r="AA126" s="235">
        <v>22.776470588235295</v>
      </c>
      <c r="AB126" s="235">
        <v>10.870588235294118</v>
      </c>
      <c r="AC126" s="235">
        <v>33.647058823529413</v>
      </c>
      <c r="AD126" s="235">
        <v>0</v>
      </c>
      <c r="AE126" s="235">
        <v>0</v>
      </c>
      <c r="AF126" s="235">
        <v>0</v>
      </c>
      <c r="AG126" s="235">
        <v>18.63529411764706</v>
      </c>
      <c r="AH126" s="235">
        <v>8.8941176470588221</v>
      </c>
      <c r="AI126" s="235">
        <v>27.529411764705884</v>
      </c>
      <c r="AJ126" s="235">
        <v>1.8823529411764706</v>
      </c>
      <c r="AK126" s="235">
        <v>16</v>
      </c>
      <c r="AL126" s="235">
        <v>17.882352941176471</v>
      </c>
      <c r="AM126" s="235">
        <v>20.517647058823531</v>
      </c>
      <c r="AN126" s="235">
        <v>24.894117647058824</v>
      </c>
      <c r="AO126" s="235">
        <v>45.411764705882355</v>
      </c>
      <c r="AP126" s="200">
        <v>79.058823529411768</v>
      </c>
      <c r="AQ126" s="141">
        <v>0</v>
      </c>
      <c r="AR126" s="200">
        <v>946.58823529411757</v>
      </c>
      <c r="AS126" s="200">
        <v>2207.294117647059</v>
      </c>
      <c r="AT126" s="66">
        <v>3153.8823529411766</v>
      </c>
      <c r="AU126" s="235">
        <v>37.647058823529413</v>
      </c>
      <c r="AV126" s="235">
        <v>18.823529411764707</v>
      </c>
      <c r="AW126" s="75">
        <v>28.235294117647058</v>
      </c>
      <c r="AX126" s="235">
        <v>94.117647058823536</v>
      </c>
      <c r="AY126" s="66">
        <v>178.8235294117647</v>
      </c>
      <c r="AZ126" s="202">
        <v>0</v>
      </c>
      <c r="BA126" s="87">
        <v>19.764705882352942</v>
      </c>
      <c r="BB126" s="87">
        <v>47.058823529411768</v>
      </c>
      <c r="BC126" s="87">
        <v>63.058823529411768</v>
      </c>
      <c r="BD126" s="87">
        <v>47.058823529411768</v>
      </c>
      <c r="BE126" s="87">
        <v>110.11764705882354</v>
      </c>
      <c r="BF126" s="87">
        <v>1225.4117647058824</v>
      </c>
      <c r="BG126" s="66">
        <v>1335.5294117647059</v>
      </c>
      <c r="BH126" s="67">
        <v>4668.2352941176468</v>
      </c>
      <c r="BI126" s="67">
        <v>425560.82352941175</v>
      </c>
      <c r="FE126" s="39">
        <v>40296</v>
      </c>
      <c r="FF126" s="39">
        <v>687.05882352941171</v>
      </c>
      <c r="FG126" s="39">
        <v>470.58823529411762</v>
      </c>
      <c r="FH126" s="39">
        <v>1157.6470588235293</v>
      </c>
      <c r="FI126" s="39">
        <v>19.764705882352942</v>
      </c>
      <c r="FJ126" s="39" t="e">
        <v>#REF!</v>
      </c>
      <c r="FK126" s="39" t="e">
        <v>#REF!</v>
      </c>
      <c r="FL126" s="39">
        <v>37.647058823529413</v>
      </c>
      <c r="FM126" s="39">
        <v>18.823529411764707</v>
      </c>
      <c r="FN126" s="39" t="e">
        <v>#REF!</v>
      </c>
      <c r="FO126" s="39">
        <v>94.117647058823536</v>
      </c>
      <c r="FP126" s="39" t="e">
        <v>#REF!</v>
      </c>
      <c r="FR126" s="39" t="e">
        <v>#REF!</v>
      </c>
    </row>
    <row r="127" spans="1:174" ht="16.5" customHeight="1" x14ac:dyDescent="0.25">
      <c r="A127" s="142">
        <v>0</v>
      </c>
      <c r="B127" s="88">
        <v>40297</v>
      </c>
      <c r="C127" s="236">
        <v>40297</v>
      </c>
      <c r="D127" s="89">
        <v>39569</v>
      </c>
      <c r="E127" s="90">
        <v>40297</v>
      </c>
      <c r="F127" s="91">
        <v>17</v>
      </c>
      <c r="G127" s="116"/>
      <c r="H127" s="93" t="s">
        <v>35</v>
      </c>
      <c r="I127" s="237"/>
      <c r="J127" s="237"/>
      <c r="K127" s="238">
        <v>611.76470588235293</v>
      </c>
      <c r="L127" s="238">
        <v>216.47058823529412</v>
      </c>
      <c r="M127" s="238">
        <v>828.23529411764707</v>
      </c>
      <c r="N127" s="238">
        <v>376.47058823529414</v>
      </c>
      <c r="O127" s="238">
        <v>89.411764705882348</v>
      </c>
      <c r="P127" s="238">
        <v>465.88235294117646</v>
      </c>
      <c r="Q127" s="238">
        <v>9.4117647058823533</v>
      </c>
      <c r="R127" s="238">
        <v>0</v>
      </c>
      <c r="S127" s="238">
        <v>9.4117647058823533</v>
      </c>
      <c r="T127" s="238">
        <v>107.29411764705883</v>
      </c>
      <c r="U127" s="238">
        <v>1145.4117647058824</v>
      </c>
      <c r="V127" s="238">
        <v>1252.7058823529412</v>
      </c>
      <c r="W127" s="238">
        <v>493.1764705882353</v>
      </c>
      <c r="X127" s="238">
        <v>1234.8235294117646</v>
      </c>
      <c r="Y127" s="238">
        <v>1728</v>
      </c>
      <c r="Z127" s="238">
        <v>2556.2352941176468</v>
      </c>
      <c r="AA127" s="238">
        <v>24.847058823529409</v>
      </c>
      <c r="AB127" s="238">
        <v>6.2117647058823522</v>
      </c>
      <c r="AC127" s="238">
        <v>31.058823529411764</v>
      </c>
      <c r="AD127" s="238">
        <v>3.7647058823529411</v>
      </c>
      <c r="AE127" s="238">
        <v>0</v>
      </c>
      <c r="AF127" s="238">
        <v>3.7647058823529411</v>
      </c>
      <c r="AG127" s="238">
        <v>20.329411764705885</v>
      </c>
      <c r="AH127" s="238">
        <v>5.0823529411764712</v>
      </c>
      <c r="AI127" s="238">
        <v>25.411764705882351</v>
      </c>
      <c r="AJ127" s="238">
        <v>4.7058823529411766</v>
      </c>
      <c r="AK127" s="238">
        <v>16</v>
      </c>
      <c r="AL127" s="238">
        <v>20.705882352941178</v>
      </c>
      <c r="AM127" s="238">
        <v>28.8</v>
      </c>
      <c r="AN127" s="238">
        <v>21.08235294117647</v>
      </c>
      <c r="AO127" s="238">
        <v>49.882352941176471</v>
      </c>
      <c r="AP127" s="239">
        <v>80.941176470588232</v>
      </c>
      <c r="AQ127" s="240">
        <v>0</v>
      </c>
      <c r="AR127" s="200">
        <v>859.29411764705878</v>
      </c>
      <c r="AS127" s="200">
        <v>1777.8823529411766</v>
      </c>
      <c r="AT127" s="66">
        <v>2637.1764705882351</v>
      </c>
      <c r="AU127" s="238">
        <v>37.647058823529413</v>
      </c>
      <c r="AV127" s="238">
        <v>18.823529411764707</v>
      </c>
      <c r="AW127" s="75">
        <v>564.70588235294122</v>
      </c>
      <c r="AX127" s="238">
        <v>84.705882352941174</v>
      </c>
      <c r="AY127" s="66">
        <v>705.88235294117658</v>
      </c>
      <c r="AZ127" s="241">
        <v>0</v>
      </c>
      <c r="BA127" s="94">
        <v>19.764705882352942</v>
      </c>
      <c r="BB127" s="94">
        <v>17.882352941176471</v>
      </c>
      <c r="BC127" s="94">
        <v>41.411764705882355</v>
      </c>
      <c r="BD127" s="94">
        <v>17.882352941176471</v>
      </c>
      <c r="BE127" s="94">
        <v>59.294117647058826</v>
      </c>
      <c r="BF127" s="94">
        <v>1548.2352941176471</v>
      </c>
      <c r="BG127" s="66">
        <v>1607.5294117647059</v>
      </c>
      <c r="BH127" s="67">
        <v>4950.5882352941171</v>
      </c>
      <c r="BI127" s="67">
        <v>430511.41176470584</v>
      </c>
      <c r="FE127" s="39">
        <v>40297</v>
      </c>
      <c r="FF127" s="39">
        <v>611.76470588235293</v>
      </c>
      <c r="FG127" s="39">
        <v>376.47058823529414</v>
      </c>
      <c r="FH127" s="39">
        <v>988.23529411764707</v>
      </c>
      <c r="FI127" s="39">
        <v>19.764705882352942</v>
      </c>
      <c r="FJ127" s="39" t="e">
        <v>#REF!</v>
      </c>
      <c r="FK127" s="39" t="e">
        <v>#REF!</v>
      </c>
      <c r="FL127" s="39">
        <v>37.647058823529413</v>
      </c>
      <c r="FM127" s="39">
        <v>18.823529411764707</v>
      </c>
      <c r="FN127" s="39" t="e">
        <v>#REF!</v>
      </c>
      <c r="FO127" s="39">
        <v>84.705882352941174</v>
      </c>
      <c r="FP127" s="39" t="e">
        <v>#REF!</v>
      </c>
      <c r="FR127" s="39" t="e">
        <v>#REF!</v>
      </c>
    </row>
    <row r="128" spans="1:174" x14ac:dyDescent="0.25">
      <c r="A128" s="142">
        <v>0</v>
      </c>
      <c r="B128" s="313">
        <v>40298</v>
      </c>
      <c r="C128" s="314">
        <v>40298</v>
      </c>
      <c r="D128" s="315">
        <v>39570</v>
      </c>
      <c r="E128" s="316">
        <v>40298</v>
      </c>
      <c r="F128" s="317">
        <v>17</v>
      </c>
      <c r="G128" s="318"/>
      <c r="H128" s="319" t="s">
        <v>35</v>
      </c>
      <c r="I128" s="320"/>
      <c r="J128" s="320"/>
      <c r="K128" s="321">
        <v>475.29411764705884</v>
      </c>
      <c r="L128" s="321">
        <v>141.1764705882353</v>
      </c>
      <c r="M128" s="321">
        <v>616.47058823529414</v>
      </c>
      <c r="N128" s="321">
        <v>235.29411764705881</v>
      </c>
      <c r="O128" s="321">
        <v>188.23529411764707</v>
      </c>
      <c r="P128" s="321">
        <v>423.52941176470586</v>
      </c>
      <c r="Q128" s="321">
        <v>42.352941176470587</v>
      </c>
      <c r="R128" s="321">
        <v>0</v>
      </c>
      <c r="S128" s="321">
        <v>42.352941176470587</v>
      </c>
      <c r="T128" s="321">
        <v>122.35294117647059</v>
      </c>
      <c r="U128" s="321">
        <v>847.05882352941171</v>
      </c>
      <c r="V128" s="321">
        <v>969.41176470588232</v>
      </c>
      <c r="W128" s="321">
        <v>400</v>
      </c>
      <c r="X128" s="321">
        <v>1035.2941176470588</v>
      </c>
      <c r="Y128" s="321">
        <v>1435.2941176470588</v>
      </c>
      <c r="Z128" s="321">
        <v>2051.7647058823532</v>
      </c>
      <c r="AA128" s="321">
        <v>55.905882352941177</v>
      </c>
      <c r="AB128" s="321">
        <v>26.91764705882353</v>
      </c>
      <c r="AC128" s="321">
        <v>82.82352941176471</v>
      </c>
      <c r="AD128" s="321">
        <v>0</v>
      </c>
      <c r="AE128" s="321">
        <v>0</v>
      </c>
      <c r="AF128" s="321">
        <v>0</v>
      </c>
      <c r="AG128" s="321">
        <v>45.741176470588236</v>
      </c>
      <c r="AH128" s="321">
        <v>22.023529411764706</v>
      </c>
      <c r="AI128" s="321">
        <v>67.764705882352942</v>
      </c>
      <c r="AJ128" s="321">
        <v>0</v>
      </c>
      <c r="AK128" s="321">
        <v>39.529411764705884</v>
      </c>
      <c r="AL128" s="321">
        <v>39.529411764705884</v>
      </c>
      <c r="AM128" s="321">
        <v>45.741176470588236</v>
      </c>
      <c r="AN128" s="321">
        <v>61.552941176470597</v>
      </c>
      <c r="AO128" s="321">
        <v>107.29411764705883</v>
      </c>
      <c r="AP128" s="322">
        <v>190.11764705882354</v>
      </c>
      <c r="AQ128" s="323">
        <v>0</v>
      </c>
      <c r="AR128" s="200">
        <v>699.2941176470589</v>
      </c>
      <c r="AS128" s="200">
        <v>1542.5882352941176</v>
      </c>
      <c r="AT128" s="66">
        <v>2241.8823529411766</v>
      </c>
      <c r="AU128" s="321">
        <v>37.647058823529413</v>
      </c>
      <c r="AV128" s="321">
        <v>18.823529411764707</v>
      </c>
      <c r="AW128" s="75">
        <v>0</v>
      </c>
      <c r="AX128" s="321">
        <v>84.705882352941174</v>
      </c>
      <c r="AY128" s="66">
        <v>141.1764705882353</v>
      </c>
      <c r="AZ128" s="324">
        <v>0</v>
      </c>
      <c r="BA128" s="325">
        <v>77.17647058823529</v>
      </c>
      <c r="BB128" s="325">
        <v>102.58823529411765</v>
      </c>
      <c r="BC128" s="325">
        <v>77.17647058823529</v>
      </c>
      <c r="BD128" s="325">
        <v>162.8235294117647</v>
      </c>
      <c r="BE128" s="325">
        <v>240</v>
      </c>
      <c r="BF128" s="326">
        <v>1228.2352941176471</v>
      </c>
      <c r="BG128" s="66">
        <v>1468.2352941176471</v>
      </c>
      <c r="BH128" s="67">
        <v>3851.294117647059</v>
      </c>
      <c r="BI128" s="67">
        <v>434362.70588235289</v>
      </c>
      <c r="FE128" s="39">
        <v>40298</v>
      </c>
      <c r="FF128" s="39">
        <v>475.29411764705884</v>
      </c>
      <c r="FG128" s="39">
        <v>235.29411764705881</v>
      </c>
      <c r="FH128" s="39">
        <v>710.58823529411768</v>
      </c>
      <c r="FI128" s="39">
        <v>77.17647058823529</v>
      </c>
      <c r="FJ128" s="39" t="e">
        <v>#REF!</v>
      </c>
      <c r="FK128" s="39" t="e">
        <v>#REF!</v>
      </c>
      <c r="FL128" s="39">
        <v>37.647058823529413</v>
      </c>
      <c r="FM128" s="39">
        <v>18.823529411764707</v>
      </c>
      <c r="FN128" s="39" t="e">
        <v>#REF!</v>
      </c>
      <c r="FO128" s="39">
        <v>84.705882352941174</v>
      </c>
      <c r="FP128" s="39" t="e">
        <v>#REF!</v>
      </c>
      <c r="FR128" s="39" t="e">
        <v>#REF!</v>
      </c>
    </row>
    <row r="129" spans="1:174" s="230" customFormat="1" x14ac:dyDescent="0.25">
      <c r="A129" s="215"/>
      <c r="B129" s="216"/>
      <c r="C129" s="217"/>
      <c r="D129" s="218"/>
      <c r="E129" s="219"/>
      <c r="F129" s="220"/>
      <c r="G129" s="221"/>
      <c r="H129" s="222"/>
      <c r="I129" s="223"/>
      <c r="J129" s="223"/>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24"/>
      <c r="AO129" s="224"/>
      <c r="AP129" s="224"/>
      <c r="AQ129" s="225"/>
      <c r="AR129" s="226"/>
      <c r="AS129" s="226"/>
      <c r="AT129" s="66">
        <v>0</v>
      </c>
      <c r="AU129" s="224"/>
      <c r="AV129" s="224"/>
      <c r="AW129" s="227"/>
      <c r="AX129" s="224"/>
      <c r="AY129" s="66">
        <v>0</v>
      </c>
      <c r="AZ129" s="224"/>
      <c r="BA129" s="224"/>
      <c r="BB129" s="224"/>
      <c r="BC129" s="224"/>
      <c r="BD129" s="224"/>
      <c r="BE129" s="224"/>
      <c r="BF129" s="224"/>
      <c r="BG129" s="228"/>
      <c r="BH129" s="229"/>
      <c r="BI129" s="229"/>
    </row>
    <row r="130" spans="1:174" x14ac:dyDescent="0.25">
      <c r="A130" s="142">
        <v>0</v>
      </c>
      <c r="B130" s="132">
        <v>40299</v>
      </c>
      <c r="C130" s="292">
        <v>40299</v>
      </c>
      <c r="D130" s="96">
        <v>39571</v>
      </c>
      <c r="E130" s="97">
        <v>40299</v>
      </c>
      <c r="F130" s="98">
        <v>17</v>
      </c>
      <c r="G130" s="99" t="s">
        <v>62</v>
      </c>
      <c r="H130" s="100" t="s">
        <v>35</v>
      </c>
      <c r="I130" s="293"/>
      <c r="J130" s="293"/>
      <c r="K130" s="294">
        <v>2463.0588235294117</v>
      </c>
      <c r="L130" s="294">
        <v>484.70588235294116</v>
      </c>
      <c r="M130" s="294">
        <v>2947.7647058823527</v>
      </c>
      <c r="N130" s="294">
        <v>470.58823529411762</v>
      </c>
      <c r="O130" s="294">
        <v>470.58823529411762</v>
      </c>
      <c r="P130" s="294">
        <v>941.17647058823525</v>
      </c>
      <c r="Q130" s="294">
        <v>131.76470588235293</v>
      </c>
      <c r="R130" s="294">
        <v>0</v>
      </c>
      <c r="S130" s="294">
        <v>131.76470588235293</v>
      </c>
      <c r="T130" s="294">
        <v>235.29411764705881</v>
      </c>
      <c r="U130" s="294">
        <v>1317.6470588235295</v>
      </c>
      <c r="V130" s="294">
        <v>1552.9411764705883</v>
      </c>
      <c r="W130" s="294">
        <v>837.64705882352939</v>
      </c>
      <c r="X130" s="294">
        <v>1788.2352941176471</v>
      </c>
      <c r="Y130" s="294">
        <v>2625.8823529411766</v>
      </c>
      <c r="Z130" s="294">
        <v>5573.6470588235297</v>
      </c>
      <c r="AA130" s="294">
        <v>47.623529411764707</v>
      </c>
      <c r="AB130" s="294">
        <v>37.788235294117648</v>
      </c>
      <c r="AC130" s="294">
        <v>85.411764705882348</v>
      </c>
      <c r="AD130" s="294">
        <v>0</v>
      </c>
      <c r="AE130" s="294">
        <v>0</v>
      </c>
      <c r="AF130" s="294">
        <v>0</v>
      </c>
      <c r="AG130" s="294">
        <v>38.964705882352938</v>
      </c>
      <c r="AH130" s="294">
        <v>30.91764705882353</v>
      </c>
      <c r="AI130" s="294">
        <v>69.882352941176464</v>
      </c>
      <c r="AJ130" s="294">
        <v>9.4117647058823533</v>
      </c>
      <c r="AK130" s="294">
        <v>74.352941176470594</v>
      </c>
      <c r="AL130" s="294">
        <v>83.764705882352942</v>
      </c>
      <c r="AM130" s="294">
        <v>48.376470588235293</v>
      </c>
      <c r="AN130" s="294">
        <v>105.27058823529411</v>
      </c>
      <c r="AO130" s="294">
        <v>153.64705882352942</v>
      </c>
      <c r="AP130" s="205">
        <v>239.05882352941177</v>
      </c>
      <c r="AQ130" s="295">
        <v>0</v>
      </c>
      <c r="AR130" s="200">
        <v>3033.1764705882351</v>
      </c>
      <c r="AS130" s="200">
        <v>2779.5294117647059</v>
      </c>
      <c r="AT130" s="66">
        <v>5812.7058823529405</v>
      </c>
      <c r="AU130" s="294">
        <v>131.76470588235293</v>
      </c>
      <c r="AV130" s="294">
        <v>37.647058823529413</v>
      </c>
      <c r="AW130" s="75">
        <v>0</v>
      </c>
      <c r="AX130" s="294">
        <v>258.8235294117647</v>
      </c>
      <c r="AY130" s="66">
        <v>428.23529411764707</v>
      </c>
      <c r="AZ130" s="296">
        <v>0</v>
      </c>
      <c r="BA130" s="297">
        <v>1411.7647058823529</v>
      </c>
      <c r="BB130" s="297">
        <v>1610.3529411764705</v>
      </c>
      <c r="BC130" s="297">
        <v>1411.7647058823529</v>
      </c>
      <c r="BD130" s="297">
        <v>1671.5294117647059</v>
      </c>
      <c r="BE130" s="297">
        <v>3083.294117647059</v>
      </c>
      <c r="BF130" s="297">
        <v>242.8235294117647</v>
      </c>
      <c r="BG130" s="209">
        <v>3326.1176470588239</v>
      </c>
      <c r="BH130" s="67">
        <v>9567.0588235294126</v>
      </c>
      <c r="BI130" s="67">
        <v>443929.76470588229</v>
      </c>
      <c r="FE130" s="39">
        <v>40299</v>
      </c>
      <c r="FF130" s="39">
        <v>2463.0588235294117</v>
      </c>
      <c r="FG130" s="39">
        <v>470.58823529411762</v>
      </c>
      <c r="FH130" s="39">
        <v>2933.6470588235293</v>
      </c>
      <c r="FI130" s="39">
        <v>1411.7647058823529</v>
      </c>
      <c r="FJ130" s="39" t="e">
        <v>#REF!</v>
      </c>
      <c r="FK130" s="39" t="e">
        <v>#REF!</v>
      </c>
      <c r="FL130" s="39">
        <v>131.76470588235293</v>
      </c>
      <c r="FM130" s="39">
        <v>37.647058823529413</v>
      </c>
      <c r="FN130" s="39" t="e">
        <v>#REF!</v>
      </c>
      <c r="FO130" s="39">
        <v>258.8235294117647</v>
      </c>
      <c r="FP130" s="39" t="e">
        <v>#REF!</v>
      </c>
      <c r="FR130" s="39" t="e">
        <v>#REF!</v>
      </c>
    </row>
    <row r="131" spans="1:174" x14ac:dyDescent="0.25">
      <c r="A131" s="142">
        <v>0</v>
      </c>
      <c r="B131" s="327">
        <v>40300</v>
      </c>
      <c r="C131" s="328">
        <v>40300</v>
      </c>
      <c r="D131" s="329">
        <v>39572</v>
      </c>
      <c r="E131" s="330">
        <v>40300</v>
      </c>
      <c r="F131" s="331">
        <v>17</v>
      </c>
      <c r="G131" s="332" t="s">
        <v>47</v>
      </c>
      <c r="H131" s="333" t="s">
        <v>35</v>
      </c>
      <c r="I131" s="334"/>
      <c r="J131" s="334"/>
      <c r="K131" s="335">
        <v>1223.5294117647059</v>
      </c>
      <c r="L131" s="335">
        <v>78.117647058823536</v>
      </c>
      <c r="M131" s="335">
        <v>1301.6470588235293</v>
      </c>
      <c r="N131" s="335">
        <v>282.35294117647061</v>
      </c>
      <c r="O131" s="335">
        <v>94.117647058823536</v>
      </c>
      <c r="P131" s="335">
        <v>376.47058823529414</v>
      </c>
      <c r="Q131" s="335">
        <v>47.058823529411768</v>
      </c>
      <c r="R131" s="335">
        <v>0</v>
      </c>
      <c r="S131" s="335">
        <v>47.058823529411768</v>
      </c>
      <c r="T131" s="335">
        <v>94.117647058823536</v>
      </c>
      <c r="U131" s="335">
        <v>470.58823529411762</v>
      </c>
      <c r="V131" s="335">
        <v>564.70588235294122</v>
      </c>
      <c r="W131" s="335">
        <v>423.52941176470586</v>
      </c>
      <c r="X131" s="335">
        <v>564.70588235294122</v>
      </c>
      <c r="Y131" s="335">
        <v>988.23529411764707</v>
      </c>
      <c r="Z131" s="335">
        <v>2289.8823529411766</v>
      </c>
      <c r="AA131" s="335">
        <v>31.576470588235292</v>
      </c>
      <c r="AB131" s="335">
        <v>4.658823529411765</v>
      </c>
      <c r="AC131" s="335">
        <v>36.235294117647058</v>
      </c>
      <c r="AD131" s="335">
        <v>0</v>
      </c>
      <c r="AE131" s="335">
        <v>0</v>
      </c>
      <c r="AF131" s="335">
        <v>0</v>
      </c>
      <c r="AG131" s="335">
        <v>25.835294117647059</v>
      </c>
      <c r="AH131" s="335">
        <v>3.8117647058823527</v>
      </c>
      <c r="AI131" s="335">
        <v>29.647058823529413</v>
      </c>
      <c r="AJ131" s="335">
        <v>13.176470588235293</v>
      </c>
      <c r="AK131" s="335">
        <v>42.352941176470587</v>
      </c>
      <c r="AL131" s="335">
        <v>55.529411764705884</v>
      </c>
      <c r="AM131" s="335">
        <v>39.011764705882356</v>
      </c>
      <c r="AN131" s="335">
        <v>46.164705882352941</v>
      </c>
      <c r="AO131" s="335">
        <v>85.17647058823529</v>
      </c>
      <c r="AP131" s="336">
        <v>121.41176470588235</v>
      </c>
      <c r="AQ131" s="337">
        <v>0</v>
      </c>
      <c r="AR131" s="200">
        <v>1337.8823529411764</v>
      </c>
      <c r="AS131" s="200">
        <v>1073.4117647058824</v>
      </c>
      <c r="AT131" s="66">
        <v>2411.2941176470586</v>
      </c>
      <c r="AU131" s="335">
        <v>47.058823529411768</v>
      </c>
      <c r="AV131" s="335">
        <v>75.294117647058826</v>
      </c>
      <c r="AW131" s="75">
        <v>0</v>
      </c>
      <c r="AX131" s="335">
        <v>94.117647058823536</v>
      </c>
      <c r="AY131" s="66">
        <v>216.47058823529414</v>
      </c>
      <c r="AZ131" s="338">
        <v>0</v>
      </c>
      <c r="BA131" s="339">
        <v>196.70588235294119</v>
      </c>
      <c r="BB131" s="339">
        <v>1423.0588235294117</v>
      </c>
      <c r="BC131" s="339">
        <v>235.29411764705881</v>
      </c>
      <c r="BD131" s="339">
        <v>1423.0588235294117</v>
      </c>
      <c r="BE131" s="339">
        <v>1658.3529411764705</v>
      </c>
      <c r="BF131" s="340">
        <v>183.52941176470588</v>
      </c>
      <c r="BG131" s="209">
        <v>1841.8823529411764</v>
      </c>
      <c r="BH131" s="67">
        <v>4469.6470588235288</v>
      </c>
      <c r="BI131" s="67">
        <v>448399.41176470584</v>
      </c>
      <c r="FE131" s="39">
        <v>40300</v>
      </c>
      <c r="FF131" s="39">
        <v>1223.5294117647059</v>
      </c>
      <c r="FG131" s="39">
        <v>282.35294117647061</v>
      </c>
      <c r="FH131" s="39">
        <v>1505.8823529411766</v>
      </c>
      <c r="FI131" s="39">
        <v>196.70588235294119</v>
      </c>
      <c r="FJ131" s="39" t="e">
        <v>#REF!</v>
      </c>
      <c r="FK131" s="39" t="e">
        <v>#REF!</v>
      </c>
      <c r="FL131" s="39">
        <v>47.058823529411768</v>
      </c>
      <c r="FM131" s="39">
        <v>75.294117647058826</v>
      </c>
      <c r="FN131" s="39" t="e">
        <v>#REF!</v>
      </c>
      <c r="FO131" s="39">
        <v>94.117647058823536</v>
      </c>
      <c r="FP131" s="39" t="e">
        <v>#REF!</v>
      </c>
      <c r="FR131" s="39" t="e">
        <v>#REF!</v>
      </c>
    </row>
    <row r="132" spans="1:174" x14ac:dyDescent="0.25">
      <c r="A132" s="142">
        <v>0</v>
      </c>
      <c r="B132" s="341">
        <v>40301</v>
      </c>
      <c r="C132" s="342">
        <v>40301</v>
      </c>
      <c r="D132" s="343">
        <v>39573</v>
      </c>
      <c r="E132" s="344">
        <v>40301</v>
      </c>
      <c r="F132" s="345">
        <v>18</v>
      </c>
      <c r="G132" s="346"/>
      <c r="H132" s="347"/>
      <c r="I132" s="348"/>
      <c r="J132" s="348"/>
      <c r="K132" s="349">
        <v>207.05882352941177</v>
      </c>
      <c r="L132" s="349">
        <v>40.470588235294116</v>
      </c>
      <c r="M132" s="349">
        <v>247.52941176470588</v>
      </c>
      <c r="N132" s="349">
        <v>348.23529411764707</v>
      </c>
      <c r="O132" s="349">
        <v>51.764705882352942</v>
      </c>
      <c r="P132" s="349">
        <v>400</v>
      </c>
      <c r="Q132" s="349">
        <v>9.4117647058823533</v>
      </c>
      <c r="R132" s="349">
        <v>0</v>
      </c>
      <c r="S132" s="349">
        <v>9.4117647058823533</v>
      </c>
      <c r="T132" s="349">
        <v>75.294117647058826</v>
      </c>
      <c r="U132" s="349">
        <v>249.41176470588235</v>
      </c>
      <c r="V132" s="349">
        <v>324.70588235294116</v>
      </c>
      <c r="W132" s="349">
        <v>432.94117647058823</v>
      </c>
      <c r="X132" s="349">
        <v>301.1764705882353</v>
      </c>
      <c r="Y132" s="349">
        <v>734.11764705882354</v>
      </c>
      <c r="Z132" s="349">
        <v>981.64705882352939</v>
      </c>
      <c r="AA132" s="349">
        <v>27.952941176470588</v>
      </c>
      <c r="AB132" s="349">
        <v>0</v>
      </c>
      <c r="AC132" s="349">
        <v>27.952941176470588</v>
      </c>
      <c r="AD132" s="349">
        <v>0</v>
      </c>
      <c r="AE132" s="349">
        <v>0</v>
      </c>
      <c r="AF132" s="349">
        <v>0</v>
      </c>
      <c r="AG132" s="349">
        <v>22.870588235294118</v>
      </c>
      <c r="AH132" s="349">
        <v>0</v>
      </c>
      <c r="AI132" s="349">
        <v>22.870588235294118</v>
      </c>
      <c r="AJ132" s="349">
        <v>0</v>
      </c>
      <c r="AK132" s="349">
        <v>9.4117647058823533</v>
      </c>
      <c r="AL132" s="349">
        <v>9.4117647058823533</v>
      </c>
      <c r="AM132" s="349">
        <v>22.870588235294118</v>
      </c>
      <c r="AN132" s="349">
        <v>9.4117647058823533</v>
      </c>
      <c r="AO132" s="349">
        <v>32.28235294117647</v>
      </c>
      <c r="AP132" s="350">
        <v>60.235294117647058</v>
      </c>
      <c r="AQ132" s="351">
        <v>0</v>
      </c>
      <c r="AR132" s="200">
        <v>275.48235294117649</v>
      </c>
      <c r="AS132" s="200">
        <v>766.4</v>
      </c>
      <c r="AT132" s="66">
        <v>1041.8823529411766</v>
      </c>
      <c r="AU132" s="349">
        <v>56.470588235294116</v>
      </c>
      <c r="AV132" s="349">
        <v>28.235294117647058</v>
      </c>
      <c r="AW132" s="75">
        <v>0</v>
      </c>
      <c r="AX132" s="349">
        <v>108.23529411764706</v>
      </c>
      <c r="AY132" s="66">
        <v>192.94117647058823</v>
      </c>
      <c r="AZ132" s="352">
        <v>0</v>
      </c>
      <c r="BA132" s="353">
        <v>0</v>
      </c>
      <c r="BB132" s="353">
        <v>35.764705882352942</v>
      </c>
      <c r="BC132" s="353">
        <v>36.705882352941174</v>
      </c>
      <c r="BD132" s="353">
        <v>35.764705882352942</v>
      </c>
      <c r="BE132" s="353">
        <v>72.470588235294116</v>
      </c>
      <c r="BF132" s="353">
        <v>51.764705882352942</v>
      </c>
      <c r="BG132" s="66">
        <v>124.23529411764706</v>
      </c>
      <c r="BH132" s="67">
        <v>1359.0588235294119</v>
      </c>
      <c r="BI132" s="67">
        <v>449758.47058823524</v>
      </c>
      <c r="FE132" s="39">
        <v>40301</v>
      </c>
      <c r="FF132" s="39">
        <v>207.05882352941177</v>
      </c>
      <c r="FG132" s="39">
        <v>348.23529411764707</v>
      </c>
      <c r="FH132" s="39">
        <v>555.29411764705878</v>
      </c>
      <c r="FI132" s="39">
        <v>0</v>
      </c>
      <c r="FJ132" s="39" t="e">
        <v>#REF!</v>
      </c>
      <c r="FK132" s="39" t="e">
        <v>#REF!</v>
      </c>
      <c r="FL132" s="39">
        <v>56.470588235294116</v>
      </c>
      <c r="FM132" s="39">
        <v>28.235294117647058</v>
      </c>
      <c r="FN132" s="39" t="e">
        <v>#REF!</v>
      </c>
      <c r="FO132" s="39">
        <v>108.23529411764706</v>
      </c>
      <c r="FP132" s="39" t="e">
        <v>#REF!</v>
      </c>
      <c r="FR132" s="39" t="e">
        <v>#REF!</v>
      </c>
    </row>
    <row r="133" spans="1:174" x14ac:dyDescent="0.25">
      <c r="A133" s="142">
        <v>0</v>
      </c>
      <c r="B133" s="341">
        <v>40302</v>
      </c>
      <c r="C133" s="342">
        <v>40302</v>
      </c>
      <c r="D133" s="343">
        <v>39574</v>
      </c>
      <c r="E133" s="344">
        <v>40302</v>
      </c>
      <c r="F133" s="345">
        <v>18</v>
      </c>
      <c r="G133" s="346"/>
      <c r="H133" s="347"/>
      <c r="I133" s="348"/>
      <c r="J133" s="348"/>
      <c r="K133" s="349">
        <v>235.29411764705881</v>
      </c>
      <c r="L133" s="349">
        <v>48</v>
      </c>
      <c r="M133" s="349">
        <v>283.29411764705878</v>
      </c>
      <c r="N133" s="349">
        <v>414.11764705882354</v>
      </c>
      <c r="O133" s="349">
        <v>112.94117647058823</v>
      </c>
      <c r="P133" s="349">
        <v>527.05882352941171</v>
      </c>
      <c r="Q133" s="349">
        <v>35.764705882352942</v>
      </c>
      <c r="R133" s="349">
        <v>0</v>
      </c>
      <c r="S133" s="349">
        <v>35.764705882352942</v>
      </c>
      <c r="T133" s="349">
        <v>75.294117647058826</v>
      </c>
      <c r="U133" s="349">
        <v>329.41176470588238</v>
      </c>
      <c r="V133" s="349">
        <v>404.70588235294116</v>
      </c>
      <c r="W133" s="349">
        <v>525.17647058823525</v>
      </c>
      <c r="X133" s="349">
        <v>442.35294117647061</v>
      </c>
      <c r="Y133" s="349">
        <v>967.52941176470586</v>
      </c>
      <c r="Z133" s="349">
        <v>1250.8235294117646</v>
      </c>
      <c r="AA133" s="349">
        <v>19.152941176470591</v>
      </c>
      <c r="AB133" s="349">
        <v>1.0352941176470589</v>
      </c>
      <c r="AC133" s="349">
        <v>20.18823529411765</v>
      </c>
      <c r="AD133" s="349">
        <v>0</v>
      </c>
      <c r="AE133" s="349">
        <v>0</v>
      </c>
      <c r="AF133" s="349">
        <v>0</v>
      </c>
      <c r="AG133" s="349">
        <v>15.670588235294117</v>
      </c>
      <c r="AH133" s="349">
        <v>0.84705882352941175</v>
      </c>
      <c r="AI133" s="349">
        <v>16.517647058823528</v>
      </c>
      <c r="AJ133" s="349">
        <v>1.8823529411764706</v>
      </c>
      <c r="AK133" s="349">
        <v>7.5294117647058822</v>
      </c>
      <c r="AL133" s="349">
        <v>9.4117647058823533</v>
      </c>
      <c r="AM133" s="349">
        <v>17.552941176470586</v>
      </c>
      <c r="AN133" s="349">
        <v>8.3764705882352946</v>
      </c>
      <c r="AO133" s="349">
        <v>25.929411764705879</v>
      </c>
      <c r="AP133" s="350">
        <v>46.117647058823529</v>
      </c>
      <c r="AQ133" s="351">
        <v>0</v>
      </c>
      <c r="AR133" s="200">
        <v>303.48235294117643</v>
      </c>
      <c r="AS133" s="200">
        <v>993.45882352941169</v>
      </c>
      <c r="AT133" s="66">
        <v>1296.9411764705881</v>
      </c>
      <c r="AU133" s="349">
        <v>51.764705882352942</v>
      </c>
      <c r="AV133" s="349">
        <v>28.235294117647058</v>
      </c>
      <c r="AW133" s="75">
        <v>0</v>
      </c>
      <c r="AX133" s="349">
        <v>75.294117647058826</v>
      </c>
      <c r="AY133" s="66">
        <v>155.29411764705884</v>
      </c>
      <c r="AZ133" s="352">
        <v>0</v>
      </c>
      <c r="BA133" s="353">
        <v>0</v>
      </c>
      <c r="BB133" s="353">
        <v>0</v>
      </c>
      <c r="BC133" s="353">
        <v>0</v>
      </c>
      <c r="BD133" s="353">
        <v>0</v>
      </c>
      <c r="BE133" s="353">
        <v>0</v>
      </c>
      <c r="BF133" s="353">
        <v>519.52941176470586</v>
      </c>
      <c r="BG133" s="66">
        <v>519.52941176470586</v>
      </c>
      <c r="BH133" s="67">
        <v>1971.7647058823527</v>
      </c>
      <c r="BI133" s="67">
        <v>451730.23529411759</v>
      </c>
      <c r="FE133" s="39">
        <v>40302</v>
      </c>
      <c r="FF133" s="39">
        <v>235.29411764705881</v>
      </c>
      <c r="FG133" s="39">
        <v>414.11764705882354</v>
      </c>
      <c r="FH133" s="39">
        <v>649.41176470588232</v>
      </c>
      <c r="FI133" s="39">
        <v>0</v>
      </c>
      <c r="FJ133" s="39" t="e">
        <v>#REF!</v>
      </c>
      <c r="FK133" s="39" t="e">
        <v>#REF!</v>
      </c>
      <c r="FL133" s="39">
        <v>51.764705882352942</v>
      </c>
      <c r="FM133" s="39">
        <v>28.235294117647058</v>
      </c>
      <c r="FN133" s="39" t="e">
        <v>#REF!</v>
      </c>
      <c r="FO133" s="39">
        <v>75.294117647058826</v>
      </c>
      <c r="FP133" s="39" t="e">
        <v>#REF!</v>
      </c>
      <c r="FR133" s="39" t="e">
        <v>#REF!</v>
      </c>
    </row>
    <row r="134" spans="1:174" x14ac:dyDescent="0.25">
      <c r="A134" s="142">
        <v>0</v>
      </c>
      <c r="B134" s="341">
        <v>40303</v>
      </c>
      <c r="C134" s="342">
        <v>40303</v>
      </c>
      <c r="D134" s="343">
        <v>39575</v>
      </c>
      <c r="E134" s="344">
        <v>40303</v>
      </c>
      <c r="F134" s="345">
        <v>18</v>
      </c>
      <c r="G134" s="346"/>
      <c r="H134" s="347"/>
      <c r="I134" s="348"/>
      <c r="J134" s="348"/>
      <c r="K134" s="349">
        <v>263.52941176470586</v>
      </c>
      <c r="L134" s="349">
        <v>42.352941176470587</v>
      </c>
      <c r="M134" s="349">
        <v>305.88235294117646</v>
      </c>
      <c r="N134" s="349">
        <v>272.94117647058823</v>
      </c>
      <c r="O134" s="349">
        <v>122.35294117647059</v>
      </c>
      <c r="P134" s="349">
        <v>395.29411764705884</v>
      </c>
      <c r="Q134" s="349">
        <v>14.117647058823529</v>
      </c>
      <c r="R134" s="349">
        <v>0</v>
      </c>
      <c r="S134" s="349">
        <v>14.117647058823529</v>
      </c>
      <c r="T134" s="349">
        <v>56.470588235294116</v>
      </c>
      <c r="U134" s="349">
        <v>301.1764705882353</v>
      </c>
      <c r="V134" s="349">
        <v>357.64705882352939</v>
      </c>
      <c r="W134" s="349">
        <v>343.52941176470586</v>
      </c>
      <c r="X134" s="349">
        <v>423.52941176470586</v>
      </c>
      <c r="Y134" s="349">
        <v>767.05882352941171</v>
      </c>
      <c r="Z134" s="349">
        <v>1072.9411764705883</v>
      </c>
      <c r="AA134" s="349">
        <v>10.352941176470589</v>
      </c>
      <c r="AB134" s="349">
        <v>2.0705882352941178</v>
      </c>
      <c r="AC134" s="349">
        <v>12.423529411764704</v>
      </c>
      <c r="AD134" s="349">
        <v>0</v>
      </c>
      <c r="AE134" s="349">
        <v>0</v>
      </c>
      <c r="AF134" s="349">
        <v>0</v>
      </c>
      <c r="AG134" s="349">
        <v>8.4705882352941178</v>
      </c>
      <c r="AH134" s="349">
        <v>1.6941176470588235</v>
      </c>
      <c r="AI134" s="349">
        <v>10.164705882352942</v>
      </c>
      <c r="AJ134" s="349">
        <v>3.7647058823529411</v>
      </c>
      <c r="AK134" s="349">
        <v>3.7647058823529411</v>
      </c>
      <c r="AL134" s="349">
        <v>7.5294117647058822</v>
      </c>
      <c r="AM134" s="349">
        <v>12.235294117647058</v>
      </c>
      <c r="AN134" s="349">
        <v>5.4588235294117649</v>
      </c>
      <c r="AO134" s="349">
        <v>17.694117647058825</v>
      </c>
      <c r="AP134" s="350">
        <v>30.117647058823529</v>
      </c>
      <c r="AQ134" s="351">
        <v>0</v>
      </c>
      <c r="AR134" s="200">
        <v>318.30588235294118</v>
      </c>
      <c r="AS134" s="200">
        <v>784.75294117647059</v>
      </c>
      <c r="AT134" s="66">
        <v>1103.0588235294117</v>
      </c>
      <c r="AU134" s="349">
        <v>37.647058823529413</v>
      </c>
      <c r="AV134" s="349">
        <v>9.4117647058823533</v>
      </c>
      <c r="AW134" s="75">
        <v>517.64705882352939</v>
      </c>
      <c r="AX134" s="349">
        <v>84.705882352941174</v>
      </c>
      <c r="AY134" s="66">
        <v>649.41176470588243</v>
      </c>
      <c r="AZ134" s="352">
        <v>0</v>
      </c>
      <c r="BA134" s="353">
        <v>0</v>
      </c>
      <c r="BB134" s="353">
        <v>0</v>
      </c>
      <c r="BC134" s="353">
        <v>0</v>
      </c>
      <c r="BD134" s="353">
        <v>0</v>
      </c>
      <c r="BE134" s="353">
        <v>0</v>
      </c>
      <c r="BF134" s="353">
        <v>1322.3529411764705</v>
      </c>
      <c r="BG134" s="66">
        <v>1322.3529411764705</v>
      </c>
      <c r="BH134" s="67">
        <v>3074.8235294117649</v>
      </c>
      <c r="BI134" s="67">
        <v>454805.05882352934</v>
      </c>
      <c r="FE134" s="39">
        <v>40303</v>
      </c>
      <c r="FF134" s="39">
        <v>263.52941176470586</v>
      </c>
      <c r="FG134" s="39">
        <v>272.94117647058823</v>
      </c>
      <c r="FH134" s="39">
        <v>536.47058823529414</v>
      </c>
      <c r="FI134" s="39">
        <v>0</v>
      </c>
      <c r="FJ134" s="39" t="e">
        <v>#REF!</v>
      </c>
      <c r="FK134" s="39" t="e">
        <v>#REF!</v>
      </c>
      <c r="FL134" s="39">
        <v>37.647058823529413</v>
      </c>
      <c r="FM134" s="39">
        <v>9.4117647058823533</v>
      </c>
      <c r="FN134" s="39" t="e">
        <v>#REF!</v>
      </c>
      <c r="FO134" s="39">
        <v>84.705882352941174</v>
      </c>
      <c r="FP134" s="39" t="e">
        <v>#REF!</v>
      </c>
      <c r="FR134" s="39" t="e">
        <v>#REF!</v>
      </c>
    </row>
    <row r="135" spans="1:174" x14ac:dyDescent="0.25">
      <c r="A135" s="142">
        <v>0</v>
      </c>
      <c r="B135" s="341">
        <v>40304</v>
      </c>
      <c r="C135" s="342">
        <v>40304</v>
      </c>
      <c r="D135" s="343">
        <v>39576</v>
      </c>
      <c r="E135" s="344">
        <v>40304</v>
      </c>
      <c r="F135" s="345">
        <v>18</v>
      </c>
      <c r="G135" s="346"/>
      <c r="H135" s="347"/>
      <c r="I135" s="348"/>
      <c r="J135" s="348"/>
      <c r="K135" s="349">
        <v>301.1764705882353</v>
      </c>
      <c r="L135" s="349">
        <v>43.294117647058826</v>
      </c>
      <c r="M135" s="349">
        <v>344.47058823529414</v>
      </c>
      <c r="N135" s="349">
        <v>305.88235294117646</v>
      </c>
      <c r="O135" s="349">
        <v>77.17647058823529</v>
      </c>
      <c r="P135" s="349">
        <v>383.05882352941177</v>
      </c>
      <c r="Q135" s="349">
        <v>18.823529411764707</v>
      </c>
      <c r="R135" s="349">
        <v>0</v>
      </c>
      <c r="S135" s="349">
        <v>18.823529411764707</v>
      </c>
      <c r="T135" s="349">
        <v>80</v>
      </c>
      <c r="U135" s="349">
        <v>277.64705882352939</v>
      </c>
      <c r="V135" s="349">
        <v>357.64705882352939</v>
      </c>
      <c r="W135" s="349">
        <v>404.70588235294116</v>
      </c>
      <c r="X135" s="349">
        <v>354.8235294117647</v>
      </c>
      <c r="Y135" s="349">
        <v>759.52941176470586</v>
      </c>
      <c r="Z135" s="349">
        <v>1104</v>
      </c>
      <c r="AA135" s="349">
        <v>18.117647058823529</v>
      </c>
      <c r="AB135" s="349">
        <v>2.5882352941176472</v>
      </c>
      <c r="AC135" s="349">
        <v>20.705882352941178</v>
      </c>
      <c r="AD135" s="349">
        <v>0</v>
      </c>
      <c r="AE135" s="349">
        <v>0</v>
      </c>
      <c r="AF135" s="349">
        <v>0</v>
      </c>
      <c r="AG135" s="349">
        <v>14.823529411764707</v>
      </c>
      <c r="AH135" s="349">
        <v>2.1176470588235294</v>
      </c>
      <c r="AI135" s="349">
        <v>16.941176470588236</v>
      </c>
      <c r="AJ135" s="349">
        <v>2.8235294117647061</v>
      </c>
      <c r="AK135" s="349">
        <v>3.7647058823529411</v>
      </c>
      <c r="AL135" s="349">
        <v>6.5882352941176467</v>
      </c>
      <c r="AM135" s="349">
        <v>17.647058823529413</v>
      </c>
      <c r="AN135" s="349">
        <v>5.882352941176471</v>
      </c>
      <c r="AO135" s="349">
        <v>23.529411764705884</v>
      </c>
      <c r="AP135" s="350">
        <v>44.235294117647058</v>
      </c>
      <c r="AQ135" s="351">
        <v>0</v>
      </c>
      <c r="AR135" s="200">
        <v>365.1764705882353</v>
      </c>
      <c r="AS135" s="200">
        <v>783.05882352941171</v>
      </c>
      <c r="AT135" s="66">
        <v>1148.2352941176471</v>
      </c>
      <c r="AU135" s="349">
        <v>37.647058823529413</v>
      </c>
      <c r="AV135" s="349">
        <v>9.4117647058823533</v>
      </c>
      <c r="AW135" s="75">
        <v>0</v>
      </c>
      <c r="AX135" s="349">
        <v>37.647058823529413</v>
      </c>
      <c r="AY135" s="66">
        <v>84.705882352941188</v>
      </c>
      <c r="AZ135" s="352">
        <v>0</v>
      </c>
      <c r="BA135" s="353">
        <v>0</v>
      </c>
      <c r="BB135" s="353">
        <v>0</v>
      </c>
      <c r="BC135" s="353">
        <v>36.705882352941174</v>
      </c>
      <c r="BD135" s="353">
        <v>0</v>
      </c>
      <c r="BE135" s="353">
        <v>36.705882352941174</v>
      </c>
      <c r="BF135" s="353">
        <v>2004.7058823529412</v>
      </c>
      <c r="BG135" s="66">
        <v>2041.4117647058824</v>
      </c>
      <c r="BH135" s="67">
        <v>3274.3529411764703</v>
      </c>
      <c r="BI135" s="67">
        <v>458079.41176470579</v>
      </c>
      <c r="FE135" s="39">
        <v>40304</v>
      </c>
      <c r="FF135" s="39">
        <v>301.1764705882353</v>
      </c>
      <c r="FG135" s="39">
        <v>305.88235294117646</v>
      </c>
      <c r="FH135" s="39">
        <v>607.05882352941171</v>
      </c>
      <c r="FI135" s="39">
        <v>0</v>
      </c>
      <c r="FJ135" s="39" t="e">
        <v>#REF!</v>
      </c>
      <c r="FK135" s="39" t="e">
        <v>#REF!</v>
      </c>
      <c r="FL135" s="39">
        <v>37.647058823529413</v>
      </c>
      <c r="FM135" s="39">
        <v>9.4117647058823533</v>
      </c>
      <c r="FN135" s="39" t="e">
        <v>#REF!</v>
      </c>
      <c r="FO135" s="39">
        <v>37.647058823529413</v>
      </c>
      <c r="FP135" s="39" t="e">
        <v>#REF!</v>
      </c>
      <c r="FR135" s="39" t="e">
        <v>#REF!</v>
      </c>
    </row>
    <row r="136" spans="1:174" x14ac:dyDescent="0.25">
      <c r="A136" s="142">
        <v>0</v>
      </c>
      <c r="B136" s="313">
        <v>40305</v>
      </c>
      <c r="C136" s="314">
        <v>40305</v>
      </c>
      <c r="D136" s="315">
        <v>39577</v>
      </c>
      <c r="E136" s="316">
        <v>40305</v>
      </c>
      <c r="F136" s="317">
        <v>18</v>
      </c>
      <c r="G136" s="318"/>
      <c r="H136" s="319"/>
      <c r="I136" s="320"/>
      <c r="J136" s="320"/>
      <c r="K136" s="321">
        <v>244.70588235294119</v>
      </c>
      <c r="L136" s="321">
        <v>178.8235294117647</v>
      </c>
      <c r="M136" s="321">
        <v>423.52941176470586</v>
      </c>
      <c r="N136" s="321">
        <v>1543.5294117647059</v>
      </c>
      <c r="O136" s="321">
        <v>734.11764705882354</v>
      </c>
      <c r="P136" s="321">
        <v>2277.6470588235293</v>
      </c>
      <c r="Q136" s="321">
        <v>112.94117647058823</v>
      </c>
      <c r="R136" s="321">
        <v>0</v>
      </c>
      <c r="S136" s="321">
        <v>112.94117647058823</v>
      </c>
      <c r="T136" s="321">
        <v>127.05882352941177</v>
      </c>
      <c r="U136" s="321">
        <v>856.47058823529414</v>
      </c>
      <c r="V136" s="321">
        <v>983.52941176470586</v>
      </c>
      <c r="W136" s="321">
        <v>1783.5294117647059</v>
      </c>
      <c r="X136" s="321">
        <v>1590.5882352941176</v>
      </c>
      <c r="Y136" s="321">
        <v>3374.1176470588234</v>
      </c>
      <c r="Z136" s="321">
        <v>3797.6470588235293</v>
      </c>
      <c r="AA136" s="321">
        <v>12.941176470588236</v>
      </c>
      <c r="AB136" s="321">
        <v>4.658823529411765</v>
      </c>
      <c r="AC136" s="321">
        <v>17.600000000000001</v>
      </c>
      <c r="AD136" s="321">
        <v>0</v>
      </c>
      <c r="AE136" s="321">
        <v>0</v>
      </c>
      <c r="AF136" s="321">
        <v>0</v>
      </c>
      <c r="AG136" s="321">
        <v>10.588235294117647</v>
      </c>
      <c r="AH136" s="321">
        <v>3.8117647058823527</v>
      </c>
      <c r="AI136" s="321">
        <v>14.4</v>
      </c>
      <c r="AJ136" s="321">
        <v>0</v>
      </c>
      <c r="AK136" s="321">
        <v>3.7647058823529411</v>
      </c>
      <c r="AL136" s="321">
        <v>3.7647058823529411</v>
      </c>
      <c r="AM136" s="321">
        <v>10.588235294117647</v>
      </c>
      <c r="AN136" s="321">
        <v>7.5764705882352947</v>
      </c>
      <c r="AO136" s="321">
        <v>18.164705882352941</v>
      </c>
      <c r="AP136" s="322">
        <v>35.764705882352942</v>
      </c>
      <c r="AQ136" s="323">
        <v>0</v>
      </c>
      <c r="AR136" s="200">
        <v>441.12941176470588</v>
      </c>
      <c r="AS136" s="200">
        <v>3392.2823529411762</v>
      </c>
      <c r="AT136" s="66">
        <v>3833.411764705882</v>
      </c>
      <c r="AU136" s="321">
        <v>37.647058823529413</v>
      </c>
      <c r="AV136" s="321">
        <v>9.4117647058823533</v>
      </c>
      <c r="AW136" s="75">
        <v>0</v>
      </c>
      <c r="AX136" s="321">
        <v>84.705882352941174</v>
      </c>
      <c r="AY136" s="66">
        <v>131.76470588235293</v>
      </c>
      <c r="AZ136" s="324">
        <v>0</v>
      </c>
      <c r="BA136" s="325">
        <v>77.17647058823529</v>
      </c>
      <c r="BB136" s="325">
        <v>102.58823529411765</v>
      </c>
      <c r="BC136" s="325">
        <v>77.17647058823529</v>
      </c>
      <c r="BD136" s="325">
        <v>102.58823529411765</v>
      </c>
      <c r="BE136" s="325">
        <v>179.76470588235293</v>
      </c>
      <c r="BF136" s="326">
        <v>1358.1176470588234</v>
      </c>
      <c r="BG136" s="66">
        <v>1537.8823529411764</v>
      </c>
      <c r="BH136" s="67">
        <v>5503.0588235294108</v>
      </c>
      <c r="BI136" s="67">
        <v>463582.47058823518</v>
      </c>
      <c r="FE136" s="39">
        <v>40305</v>
      </c>
      <c r="FF136" s="39">
        <v>244.70588235294119</v>
      </c>
      <c r="FG136" s="39">
        <v>1543.5294117647059</v>
      </c>
      <c r="FH136" s="39">
        <v>1788.2352941176471</v>
      </c>
      <c r="FI136" s="39">
        <v>77.17647058823529</v>
      </c>
      <c r="FJ136" s="39" t="e">
        <v>#REF!</v>
      </c>
      <c r="FK136" s="39" t="e">
        <v>#REF!</v>
      </c>
      <c r="FL136" s="39">
        <v>37.647058823529413</v>
      </c>
      <c r="FM136" s="39">
        <v>9.4117647058823533</v>
      </c>
      <c r="FN136" s="39" t="e">
        <v>#REF!</v>
      </c>
      <c r="FO136" s="39">
        <v>84.705882352941174</v>
      </c>
      <c r="FP136" s="39" t="e">
        <v>#REF!</v>
      </c>
      <c r="FR136" s="39" t="e">
        <v>#REF!</v>
      </c>
    </row>
    <row r="137" spans="1:174" x14ac:dyDescent="0.25">
      <c r="A137" s="142">
        <v>0</v>
      </c>
      <c r="B137" s="132">
        <v>40306</v>
      </c>
      <c r="C137" s="292">
        <v>40306</v>
      </c>
      <c r="D137" s="96">
        <v>39578</v>
      </c>
      <c r="E137" s="97">
        <v>40306</v>
      </c>
      <c r="F137" s="98">
        <v>18</v>
      </c>
      <c r="G137" s="354" t="s">
        <v>125</v>
      </c>
      <c r="H137" s="100"/>
      <c r="I137" s="293"/>
      <c r="J137" s="293"/>
      <c r="K137" s="294">
        <v>2352.9411764705883</v>
      </c>
      <c r="L137" s="294">
        <v>484.70588235294116</v>
      </c>
      <c r="M137" s="294">
        <v>2837.6470588235293</v>
      </c>
      <c r="N137" s="294">
        <v>470.58823529411762</v>
      </c>
      <c r="O137" s="294">
        <v>470.58823529411762</v>
      </c>
      <c r="P137" s="294">
        <v>941.17647058823525</v>
      </c>
      <c r="Q137" s="294">
        <v>131.76470588235293</v>
      </c>
      <c r="R137" s="294">
        <v>0</v>
      </c>
      <c r="S137" s="294">
        <v>131.76470588235293</v>
      </c>
      <c r="T137" s="294">
        <v>235.29411764705881</v>
      </c>
      <c r="U137" s="294">
        <v>1317.6470588235295</v>
      </c>
      <c r="V137" s="294">
        <v>1552.9411764705883</v>
      </c>
      <c r="W137" s="294">
        <v>837.64705882352939</v>
      </c>
      <c r="X137" s="294">
        <v>1788.2352941176471</v>
      </c>
      <c r="Y137" s="294">
        <v>2625.8823529411766</v>
      </c>
      <c r="Z137" s="205">
        <v>5463.5294117647063</v>
      </c>
      <c r="AA137" s="294">
        <v>47.623529411764707</v>
      </c>
      <c r="AB137" s="294">
        <v>37.788235294117648</v>
      </c>
      <c r="AC137" s="294">
        <v>85.411764705882348</v>
      </c>
      <c r="AD137" s="294">
        <v>0</v>
      </c>
      <c r="AE137" s="294">
        <v>0</v>
      </c>
      <c r="AF137" s="294">
        <v>0</v>
      </c>
      <c r="AG137" s="294">
        <v>38.964705882352938</v>
      </c>
      <c r="AH137" s="294">
        <v>30.91764705882353</v>
      </c>
      <c r="AI137" s="294">
        <v>69.882352941176464</v>
      </c>
      <c r="AJ137" s="294">
        <v>9.4117647058823533</v>
      </c>
      <c r="AK137" s="294">
        <v>74.352941176470594</v>
      </c>
      <c r="AL137" s="294">
        <v>83.764705882352942</v>
      </c>
      <c r="AM137" s="294">
        <v>48.376470588235293</v>
      </c>
      <c r="AN137" s="294">
        <v>105.27058823529411</v>
      </c>
      <c r="AO137" s="294">
        <v>153.64705882352942</v>
      </c>
      <c r="AP137" s="205">
        <v>239.05882352941177</v>
      </c>
      <c r="AQ137" s="295">
        <v>0</v>
      </c>
      <c r="AR137" s="200">
        <v>2923.0588235294117</v>
      </c>
      <c r="AS137" s="200">
        <v>2779.5294117647059</v>
      </c>
      <c r="AT137" s="66">
        <v>5702.5882352941171</v>
      </c>
      <c r="AU137" s="294">
        <v>131.76470588235293</v>
      </c>
      <c r="AV137" s="294">
        <v>37.647058823529413</v>
      </c>
      <c r="AW137" s="75">
        <v>0</v>
      </c>
      <c r="AX137" s="294">
        <v>258.8235294117647</v>
      </c>
      <c r="AY137" s="66">
        <v>428.23529411764707</v>
      </c>
      <c r="AZ137" s="296">
        <v>0</v>
      </c>
      <c r="BA137" s="297">
        <v>1411.7647058823529</v>
      </c>
      <c r="BB137" s="297">
        <v>1610.3529411764705</v>
      </c>
      <c r="BC137" s="297">
        <v>1411.7647058823529</v>
      </c>
      <c r="BD137" s="297">
        <v>1671.5294117647059</v>
      </c>
      <c r="BE137" s="297">
        <v>3083.294117647059</v>
      </c>
      <c r="BF137" s="297">
        <v>242.8235294117647</v>
      </c>
      <c r="BG137" s="209">
        <v>3326.1176470588239</v>
      </c>
      <c r="BH137" s="67">
        <v>9456.9411764705874</v>
      </c>
      <c r="BI137" s="67">
        <v>473039.41176470579</v>
      </c>
      <c r="FE137" s="39">
        <v>40306</v>
      </c>
      <c r="FF137" s="39">
        <v>2352.9411764705883</v>
      </c>
      <c r="FG137" s="39">
        <v>470.58823529411762</v>
      </c>
      <c r="FH137" s="39">
        <v>2823.5294117647059</v>
      </c>
      <c r="FI137" s="39">
        <v>1411.7647058823529</v>
      </c>
      <c r="FJ137" s="39" t="e">
        <v>#REF!</v>
      </c>
      <c r="FK137" s="39" t="e">
        <v>#REF!</v>
      </c>
      <c r="FL137" s="39">
        <v>131.76470588235293</v>
      </c>
      <c r="FM137" s="39">
        <v>37.647058823529413</v>
      </c>
      <c r="FN137" s="39" t="e">
        <v>#REF!</v>
      </c>
      <c r="FO137" s="39">
        <v>258.8235294117647</v>
      </c>
      <c r="FP137" s="39" t="e">
        <v>#REF!</v>
      </c>
      <c r="FR137" s="39" t="e">
        <v>#REF!</v>
      </c>
    </row>
    <row r="138" spans="1:174" x14ac:dyDescent="0.25">
      <c r="A138" s="142">
        <v>0</v>
      </c>
      <c r="B138" s="327">
        <v>40307</v>
      </c>
      <c r="C138" s="328">
        <v>40307</v>
      </c>
      <c r="D138" s="329">
        <v>39579</v>
      </c>
      <c r="E138" s="330">
        <v>40307</v>
      </c>
      <c r="F138" s="331">
        <v>18</v>
      </c>
      <c r="G138" s="332"/>
      <c r="H138" s="333"/>
      <c r="I138" s="334"/>
      <c r="J138" s="334"/>
      <c r="K138" s="335">
        <v>1129.4117647058824</v>
      </c>
      <c r="L138" s="335">
        <v>75.294117647058826</v>
      </c>
      <c r="M138" s="335">
        <v>1204.7058823529412</v>
      </c>
      <c r="N138" s="335">
        <v>282.35294117647061</v>
      </c>
      <c r="O138" s="335">
        <v>94.117647058823536</v>
      </c>
      <c r="P138" s="335">
        <v>376.47058823529414</v>
      </c>
      <c r="Q138" s="335">
        <v>47.058823529411768</v>
      </c>
      <c r="R138" s="335">
        <v>0</v>
      </c>
      <c r="S138" s="335">
        <v>47.058823529411768</v>
      </c>
      <c r="T138" s="335">
        <v>94.117647058823536</v>
      </c>
      <c r="U138" s="335">
        <v>470.58823529411762</v>
      </c>
      <c r="V138" s="335">
        <v>564.70588235294122</v>
      </c>
      <c r="W138" s="335">
        <v>423.52941176470586</v>
      </c>
      <c r="X138" s="335">
        <v>564.70588235294122</v>
      </c>
      <c r="Y138" s="335">
        <v>988.23529411764707</v>
      </c>
      <c r="Z138" s="336">
        <v>2192.9411764705883</v>
      </c>
      <c r="AA138" s="335">
        <v>31.576470588235292</v>
      </c>
      <c r="AB138" s="335">
        <v>4.658823529411765</v>
      </c>
      <c r="AC138" s="335">
        <v>36.235294117647058</v>
      </c>
      <c r="AD138" s="335">
        <v>0</v>
      </c>
      <c r="AE138" s="335">
        <v>0</v>
      </c>
      <c r="AF138" s="335">
        <v>0</v>
      </c>
      <c r="AG138" s="335">
        <v>25.835294117647059</v>
      </c>
      <c r="AH138" s="335">
        <v>3.8117647058823527</v>
      </c>
      <c r="AI138" s="335">
        <v>29.647058823529413</v>
      </c>
      <c r="AJ138" s="335">
        <v>13.176470588235293</v>
      </c>
      <c r="AK138" s="335">
        <v>42.352941176470587</v>
      </c>
      <c r="AL138" s="335">
        <v>55.529411764705884</v>
      </c>
      <c r="AM138" s="335">
        <v>39.011764705882356</v>
      </c>
      <c r="AN138" s="335">
        <v>46.164705882352941</v>
      </c>
      <c r="AO138" s="335">
        <v>85.17647058823529</v>
      </c>
      <c r="AP138" s="336">
        <v>121.41176470588235</v>
      </c>
      <c r="AQ138" s="337">
        <v>0</v>
      </c>
      <c r="AR138" s="200">
        <v>1240.9411764705883</v>
      </c>
      <c r="AS138" s="200">
        <v>1073.4117647058824</v>
      </c>
      <c r="AT138" s="66">
        <v>2314.3529411764707</v>
      </c>
      <c r="AU138" s="335">
        <v>47.058823529411768</v>
      </c>
      <c r="AV138" s="335">
        <v>75.294117647058826</v>
      </c>
      <c r="AW138" s="75">
        <v>0</v>
      </c>
      <c r="AX138" s="335">
        <v>94.117647058823536</v>
      </c>
      <c r="AY138" s="66">
        <v>216.47058823529414</v>
      </c>
      <c r="AZ138" s="338">
        <v>0</v>
      </c>
      <c r="BA138" s="339">
        <v>196.70588235294119</v>
      </c>
      <c r="BB138" s="339">
        <v>1423.0588235294117</v>
      </c>
      <c r="BC138" s="339">
        <v>235.29411764705881</v>
      </c>
      <c r="BD138" s="339">
        <v>1423.0588235294117</v>
      </c>
      <c r="BE138" s="339">
        <v>1658.3529411764705</v>
      </c>
      <c r="BF138" s="340">
        <v>183.52941176470588</v>
      </c>
      <c r="BG138" s="209">
        <v>1841.8823529411764</v>
      </c>
      <c r="BH138" s="67">
        <v>4372.7058823529405</v>
      </c>
      <c r="BI138" s="67">
        <v>477412.11764705874</v>
      </c>
      <c r="FE138" s="39">
        <v>40307</v>
      </c>
      <c r="FF138" s="39">
        <v>1129.4117647058824</v>
      </c>
      <c r="FG138" s="39">
        <v>282.35294117647061</v>
      </c>
      <c r="FH138" s="39">
        <v>1411.7647058823532</v>
      </c>
      <c r="FI138" s="39">
        <v>196.70588235294119</v>
      </c>
      <c r="FJ138" s="39" t="e">
        <v>#REF!</v>
      </c>
      <c r="FK138" s="39" t="e">
        <v>#REF!</v>
      </c>
      <c r="FL138" s="39">
        <v>47.058823529411768</v>
      </c>
      <c r="FM138" s="39">
        <v>75.294117647058826</v>
      </c>
      <c r="FN138" s="39" t="e">
        <v>#REF!</v>
      </c>
      <c r="FO138" s="39">
        <v>94.117647058823536</v>
      </c>
      <c r="FP138" s="39" t="e">
        <v>#REF!</v>
      </c>
      <c r="FR138" s="39" t="e">
        <v>#REF!</v>
      </c>
    </row>
    <row r="139" spans="1:174" x14ac:dyDescent="0.25">
      <c r="A139" s="142">
        <v>0</v>
      </c>
      <c r="B139" s="109">
        <v>40308</v>
      </c>
      <c r="C139" s="271">
        <v>40308</v>
      </c>
      <c r="D139" s="110">
        <v>39580</v>
      </c>
      <c r="E139" s="111">
        <v>40308</v>
      </c>
      <c r="F139" s="112">
        <v>19</v>
      </c>
      <c r="G139" s="113"/>
      <c r="H139" s="114"/>
      <c r="I139" s="272"/>
      <c r="J139" s="272"/>
      <c r="K139" s="273">
        <v>276.70588235294116</v>
      </c>
      <c r="L139" s="273">
        <v>33.882352941176471</v>
      </c>
      <c r="M139" s="273">
        <v>310.58823529411762</v>
      </c>
      <c r="N139" s="273">
        <v>174.11764705882354</v>
      </c>
      <c r="O139" s="273">
        <v>31.058823529411764</v>
      </c>
      <c r="P139" s="273">
        <v>205.1764705882353</v>
      </c>
      <c r="Q139" s="273">
        <v>11.294117647058824</v>
      </c>
      <c r="R139" s="273">
        <v>0</v>
      </c>
      <c r="S139" s="273">
        <v>11.294117647058824</v>
      </c>
      <c r="T139" s="273">
        <v>56.470588235294116</v>
      </c>
      <c r="U139" s="273">
        <v>240</v>
      </c>
      <c r="V139" s="273">
        <v>296.47058823529414</v>
      </c>
      <c r="W139" s="273">
        <v>241.88235294117646</v>
      </c>
      <c r="X139" s="273">
        <v>271.05882352941177</v>
      </c>
      <c r="Y139" s="273">
        <v>512.94117647058829</v>
      </c>
      <c r="Z139" s="200">
        <v>823.52941176470586</v>
      </c>
      <c r="AA139" s="273">
        <v>8.8000000000000007</v>
      </c>
      <c r="AB139" s="273">
        <v>3.1058823529411761</v>
      </c>
      <c r="AC139" s="273">
        <v>11.905882352941175</v>
      </c>
      <c r="AD139" s="273">
        <v>0</v>
      </c>
      <c r="AE139" s="273">
        <v>0</v>
      </c>
      <c r="AF139" s="273">
        <v>0</v>
      </c>
      <c r="AG139" s="273">
        <v>7.2</v>
      </c>
      <c r="AH139" s="273">
        <v>2.5411764705882356</v>
      </c>
      <c r="AI139" s="273">
        <v>9.7411764705882362</v>
      </c>
      <c r="AJ139" s="273">
        <v>0</v>
      </c>
      <c r="AK139" s="273">
        <v>6.5882352941176467</v>
      </c>
      <c r="AL139" s="273">
        <v>6.5882352941176467</v>
      </c>
      <c r="AM139" s="273">
        <v>7.2</v>
      </c>
      <c r="AN139" s="273">
        <v>9.1294117647058819</v>
      </c>
      <c r="AO139" s="273">
        <v>16.329411764705885</v>
      </c>
      <c r="AP139" s="200">
        <v>28.235294117647058</v>
      </c>
      <c r="AQ139" s="274">
        <v>0</v>
      </c>
      <c r="AR139" s="200">
        <v>322.49411764705877</v>
      </c>
      <c r="AS139" s="200">
        <v>529.27058823529421</v>
      </c>
      <c r="AT139" s="66">
        <v>851.76470588235293</v>
      </c>
      <c r="AU139" s="273">
        <v>37.647058823529413</v>
      </c>
      <c r="AV139" s="273">
        <v>9.4117647058823533</v>
      </c>
      <c r="AW139" s="75">
        <v>28.235294117647058</v>
      </c>
      <c r="AX139" s="273">
        <v>65.882352941176464</v>
      </c>
      <c r="AY139" s="66">
        <v>141.1764705882353</v>
      </c>
      <c r="AZ139" s="275">
        <v>0</v>
      </c>
      <c r="BA139" s="115">
        <v>0</v>
      </c>
      <c r="BB139" s="115">
        <v>0</v>
      </c>
      <c r="BC139" s="115">
        <v>0</v>
      </c>
      <c r="BD139" s="115">
        <v>0</v>
      </c>
      <c r="BE139" s="115">
        <v>0</v>
      </c>
      <c r="BF139" s="115">
        <v>178.8235294117647</v>
      </c>
      <c r="BG139" s="66">
        <v>178.8235294117647</v>
      </c>
      <c r="BH139" s="67">
        <v>1171.7647058823529</v>
      </c>
      <c r="BI139" s="67">
        <v>478583.88235294109</v>
      </c>
      <c r="FE139" s="39">
        <v>40308</v>
      </c>
      <c r="FF139" s="39">
        <v>276.70588235294116</v>
      </c>
      <c r="FG139" s="39">
        <v>174.11764705882354</v>
      </c>
      <c r="FH139" s="39">
        <v>450.8235294117647</v>
      </c>
      <c r="FI139" s="39">
        <v>0</v>
      </c>
      <c r="FJ139" s="39" t="e">
        <v>#REF!</v>
      </c>
      <c r="FK139" s="39" t="e">
        <v>#REF!</v>
      </c>
      <c r="FL139" s="39">
        <v>37.647058823529413</v>
      </c>
      <c r="FM139" s="39">
        <v>9.4117647058823533</v>
      </c>
      <c r="FN139" s="39" t="e">
        <v>#REF!</v>
      </c>
      <c r="FO139" s="39">
        <v>65.882352941176464</v>
      </c>
      <c r="FP139" s="39" t="e">
        <v>#REF!</v>
      </c>
      <c r="FR139" s="39" t="e">
        <v>#REF!</v>
      </c>
    </row>
    <row r="140" spans="1:174" x14ac:dyDescent="0.25">
      <c r="A140" s="142">
        <v>0</v>
      </c>
      <c r="B140" s="68">
        <v>40309</v>
      </c>
      <c r="C140" s="198">
        <v>40309</v>
      </c>
      <c r="D140" s="69">
        <v>39581</v>
      </c>
      <c r="E140" s="70">
        <v>40309</v>
      </c>
      <c r="F140" s="71">
        <v>19</v>
      </c>
      <c r="G140" s="72"/>
      <c r="H140" s="82"/>
      <c r="I140" s="210"/>
      <c r="J140" s="272"/>
      <c r="K140" s="273">
        <v>264.47058823529414</v>
      </c>
      <c r="L140" s="273">
        <v>58.352941176470587</v>
      </c>
      <c r="M140" s="235">
        <v>322.82352941176475</v>
      </c>
      <c r="N140" s="235">
        <v>169.41176470588235</v>
      </c>
      <c r="O140" s="235">
        <v>51.764705882352942</v>
      </c>
      <c r="P140" s="235">
        <v>221.1764705882353</v>
      </c>
      <c r="Q140" s="235">
        <v>14.117647058823529</v>
      </c>
      <c r="R140" s="235">
        <v>0</v>
      </c>
      <c r="S140" s="235">
        <v>14.117647058823529</v>
      </c>
      <c r="T140" s="235">
        <v>51.764705882352942</v>
      </c>
      <c r="U140" s="235">
        <v>329.41176470588238</v>
      </c>
      <c r="V140" s="235">
        <v>381.1764705882353</v>
      </c>
      <c r="W140" s="235">
        <v>235.29411764705881</v>
      </c>
      <c r="X140" s="235">
        <v>381.1764705882353</v>
      </c>
      <c r="Y140" s="235">
        <v>616.47058823529414</v>
      </c>
      <c r="Z140" s="200">
        <v>939.29411764705878</v>
      </c>
      <c r="AA140" s="235">
        <v>20.705882352941178</v>
      </c>
      <c r="AB140" s="235">
        <v>4.658823529411765</v>
      </c>
      <c r="AC140" s="235">
        <v>25.36470588235294</v>
      </c>
      <c r="AD140" s="235">
        <v>0</v>
      </c>
      <c r="AE140" s="235">
        <v>0</v>
      </c>
      <c r="AF140" s="235">
        <v>0</v>
      </c>
      <c r="AG140" s="235">
        <v>16.941176470588236</v>
      </c>
      <c r="AH140" s="235">
        <v>3.8117647058823527</v>
      </c>
      <c r="AI140" s="235">
        <v>20.752941176470589</v>
      </c>
      <c r="AJ140" s="235">
        <v>0</v>
      </c>
      <c r="AK140" s="235">
        <v>1.8823529411764706</v>
      </c>
      <c r="AL140" s="235">
        <v>1.8823529411764706</v>
      </c>
      <c r="AM140" s="235">
        <v>16.941176470588236</v>
      </c>
      <c r="AN140" s="235">
        <v>5.6941176470588237</v>
      </c>
      <c r="AO140" s="235">
        <v>22.63529411764706</v>
      </c>
      <c r="AP140" s="200">
        <v>48</v>
      </c>
      <c r="AQ140" s="141">
        <v>0</v>
      </c>
      <c r="AR140" s="200">
        <v>348.1882352941177</v>
      </c>
      <c r="AS140" s="200">
        <v>639.10588235294119</v>
      </c>
      <c r="AT140" s="66">
        <v>987.2941176470589</v>
      </c>
      <c r="AU140" s="235">
        <v>37.647058823529413</v>
      </c>
      <c r="AV140" s="235">
        <v>14.117647058823529</v>
      </c>
      <c r="AW140" s="75">
        <v>28.235294117647058</v>
      </c>
      <c r="AX140" s="235">
        <v>65.882352941176464</v>
      </c>
      <c r="AY140" s="66">
        <v>145.88235294117646</v>
      </c>
      <c r="AZ140" s="202">
        <v>0</v>
      </c>
      <c r="BA140" s="87">
        <v>0</v>
      </c>
      <c r="BB140" s="87">
        <v>0</v>
      </c>
      <c r="BC140" s="87">
        <v>0</v>
      </c>
      <c r="BD140" s="87">
        <v>0</v>
      </c>
      <c r="BE140" s="87">
        <v>0</v>
      </c>
      <c r="BF140" s="87">
        <v>801.88235294117646</v>
      </c>
      <c r="BG140" s="66">
        <v>801.88235294117646</v>
      </c>
      <c r="BH140" s="67">
        <v>1935.0588235294117</v>
      </c>
      <c r="BI140" s="67">
        <v>480518.94117647049</v>
      </c>
      <c r="FE140" s="39">
        <v>40309</v>
      </c>
      <c r="FF140" s="39">
        <v>264.47058823529414</v>
      </c>
      <c r="FG140" s="39">
        <v>169.41176470588235</v>
      </c>
      <c r="FH140" s="39">
        <v>433.88235294117646</v>
      </c>
      <c r="FI140" s="39">
        <v>0</v>
      </c>
      <c r="FJ140" s="39" t="e">
        <v>#REF!</v>
      </c>
      <c r="FK140" s="39" t="e">
        <v>#REF!</v>
      </c>
      <c r="FL140" s="39">
        <v>37.647058823529413</v>
      </c>
      <c r="FM140" s="39">
        <v>14.117647058823529</v>
      </c>
      <c r="FN140" s="39" t="e">
        <v>#REF!</v>
      </c>
      <c r="FO140" s="39">
        <v>65.882352941176464</v>
      </c>
      <c r="FP140" s="39" t="e">
        <v>#REF!</v>
      </c>
      <c r="FR140" s="39" t="e">
        <v>#REF!</v>
      </c>
    </row>
    <row r="141" spans="1:174" ht="13.8" thickBot="1" x14ac:dyDescent="0.3">
      <c r="A141" s="142">
        <v>0</v>
      </c>
      <c r="B141" s="88">
        <v>40310</v>
      </c>
      <c r="C141" s="236">
        <v>40310</v>
      </c>
      <c r="D141" s="89">
        <v>39582</v>
      </c>
      <c r="E141" s="90">
        <v>40310</v>
      </c>
      <c r="F141" s="91">
        <v>19</v>
      </c>
      <c r="G141" s="92"/>
      <c r="H141" s="93"/>
      <c r="I141" s="210"/>
      <c r="J141" s="272"/>
      <c r="K141" s="355">
        <v>223.05882352941177</v>
      </c>
      <c r="L141" s="355">
        <v>51.764705882352942</v>
      </c>
      <c r="M141" s="238">
        <v>274.8235294117647</v>
      </c>
      <c r="N141" s="238">
        <v>161.88235294117646</v>
      </c>
      <c r="O141" s="238">
        <v>57.411764705882355</v>
      </c>
      <c r="P141" s="238">
        <v>219.29411764705881</v>
      </c>
      <c r="Q141" s="238">
        <v>17.882352941176471</v>
      </c>
      <c r="R141" s="238">
        <v>0</v>
      </c>
      <c r="S141" s="238">
        <v>17.882352941176471</v>
      </c>
      <c r="T141" s="238">
        <v>51.764705882352942</v>
      </c>
      <c r="U141" s="238">
        <v>272.94117647058823</v>
      </c>
      <c r="V141" s="238">
        <v>324.70588235294116</v>
      </c>
      <c r="W141" s="238">
        <v>231.52941176470588</v>
      </c>
      <c r="X141" s="238">
        <v>330.35294117647061</v>
      </c>
      <c r="Y141" s="238">
        <v>561.88235294117646</v>
      </c>
      <c r="Z141" s="239">
        <v>836.70588235294122</v>
      </c>
      <c r="AA141" s="238">
        <v>12.941176470588236</v>
      </c>
      <c r="AB141" s="238">
        <v>1.552941176470588</v>
      </c>
      <c r="AC141" s="238">
        <v>14.494117647058824</v>
      </c>
      <c r="AD141" s="238">
        <v>0</v>
      </c>
      <c r="AE141" s="238">
        <v>0</v>
      </c>
      <c r="AF141" s="238">
        <v>0</v>
      </c>
      <c r="AG141" s="238">
        <v>10.588235294117647</v>
      </c>
      <c r="AH141" s="238">
        <v>1.2705882352941178</v>
      </c>
      <c r="AI141" s="238">
        <v>11.858823529411765</v>
      </c>
      <c r="AJ141" s="238">
        <v>5.6470588235294121</v>
      </c>
      <c r="AK141" s="238">
        <v>1.8823529411764706</v>
      </c>
      <c r="AL141" s="238">
        <v>7.5294117647058822</v>
      </c>
      <c r="AM141" s="238">
        <v>16.235294117647058</v>
      </c>
      <c r="AN141" s="238">
        <v>3.1529411764705881</v>
      </c>
      <c r="AO141" s="238">
        <v>19.388235294117649</v>
      </c>
      <c r="AP141" s="239">
        <v>33.882352941176471</v>
      </c>
      <c r="AQ141" s="240">
        <v>0</v>
      </c>
      <c r="AR141" s="200">
        <v>289.31764705882352</v>
      </c>
      <c r="AS141" s="200">
        <v>581.2705882352941</v>
      </c>
      <c r="AT141" s="66">
        <v>870.58823529411757</v>
      </c>
      <c r="AU141" s="238">
        <v>51.764705882352942</v>
      </c>
      <c r="AV141" s="238">
        <v>23.529411764705884</v>
      </c>
      <c r="AW141" s="75">
        <v>0</v>
      </c>
      <c r="AX141" s="238">
        <v>75.294117647058826</v>
      </c>
      <c r="AY141" s="66">
        <v>150.58823529411765</v>
      </c>
      <c r="AZ141" s="241">
        <v>0</v>
      </c>
      <c r="BA141" s="94">
        <v>0</v>
      </c>
      <c r="BB141" s="94">
        <v>0</v>
      </c>
      <c r="BC141" s="94">
        <v>0</v>
      </c>
      <c r="BD141" s="94">
        <v>0</v>
      </c>
      <c r="BE141" s="94">
        <v>0</v>
      </c>
      <c r="BF141" s="94">
        <v>1581.1764705882354</v>
      </c>
      <c r="BG141" s="66">
        <v>1581.1764705882354</v>
      </c>
      <c r="BH141" s="67">
        <v>2602.3529411764703</v>
      </c>
      <c r="BI141" s="67">
        <v>483121.29411764693</v>
      </c>
      <c r="FE141" s="39">
        <v>40310</v>
      </c>
      <c r="FF141" s="39">
        <v>223.05882352941177</v>
      </c>
      <c r="FG141" s="39">
        <v>161.88235294117646</v>
      </c>
      <c r="FH141" s="39">
        <v>384.94117647058823</v>
      </c>
      <c r="FI141" s="39">
        <v>0</v>
      </c>
      <c r="FJ141" s="39" t="e">
        <v>#REF!</v>
      </c>
      <c r="FK141" s="39" t="e">
        <v>#REF!</v>
      </c>
      <c r="FL141" s="39">
        <v>51.764705882352942</v>
      </c>
      <c r="FM141" s="39">
        <v>23.529411764705884</v>
      </c>
      <c r="FN141" s="39" t="e">
        <v>#REF!</v>
      </c>
      <c r="FO141" s="39">
        <v>75.294117647058826</v>
      </c>
      <c r="FP141" s="39" t="e">
        <v>#REF!</v>
      </c>
      <c r="FR141" s="39" t="e">
        <v>#REF!</v>
      </c>
    </row>
    <row r="142" spans="1:174" x14ac:dyDescent="0.25">
      <c r="A142" s="142">
        <v>0</v>
      </c>
      <c r="B142" s="117">
        <v>40311</v>
      </c>
      <c r="C142" s="356">
        <v>40311</v>
      </c>
      <c r="D142" s="118">
        <v>39583</v>
      </c>
      <c r="E142" s="119">
        <v>40311</v>
      </c>
      <c r="F142" s="120">
        <v>19</v>
      </c>
      <c r="G142" s="65" t="s">
        <v>61</v>
      </c>
      <c r="H142" s="121"/>
      <c r="I142" s="210"/>
      <c r="J142" s="272"/>
      <c r="K142" s="357">
        <v>470.58823529411762</v>
      </c>
      <c r="L142" s="357">
        <v>178.8235294117647</v>
      </c>
      <c r="M142" s="357">
        <v>649.41176470588232</v>
      </c>
      <c r="N142" s="357">
        <v>1505.8823529411766</v>
      </c>
      <c r="O142" s="357">
        <v>329.41176470588238</v>
      </c>
      <c r="P142" s="357">
        <v>1835.2941176470588</v>
      </c>
      <c r="Q142" s="357">
        <v>112.94117647058823</v>
      </c>
      <c r="R142" s="357">
        <v>0</v>
      </c>
      <c r="S142" s="357">
        <v>112.94117647058823</v>
      </c>
      <c r="T142" s="357">
        <v>127.05882352941177</v>
      </c>
      <c r="U142" s="357">
        <v>809.41176470588232</v>
      </c>
      <c r="V142" s="357">
        <v>936.47058823529414</v>
      </c>
      <c r="W142" s="357">
        <v>1745.8823529411766</v>
      </c>
      <c r="X142" s="357">
        <v>1138.8235294117646</v>
      </c>
      <c r="Y142" s="357">
        <v>2884.705882352941</v>
      </c>
      <c r="Z142" s="358">
        <v>3534.1176470588234</v>
      </c>
      <c r="AA142" s="357">
        <v>12.941176470588236</v>
      </c>
      <c r="AB142" s="357">
        <v>4.658823529411765</v>
      </c>
      <c r="AC142" s="357">
        <v>17.600000000000001</v>
      </c>
      <c r="AD142" s="357">
        <v>0</v>
      </c>
      <c r="AE142" s="357">
        <v>0</v>
      </c>
      <c r="AF142" s="357">
        <v>0</v>
      </c>
      <c r="AG142" s="357">
        <v>10.588235294117647</v>
      </c>
      <c r="AH142" s="357">
        <v>3.8117647058823527</v>
      </c>
      <c r="AI142" s="357">
        <v>14.4</v>
      </c>
      <c r="AJ142" s="357">
        <v>0</v>
      </c>
      <c r="AK142" s="357">
        <v>3.7647058823529411</v>
      </c>
      <c r="AL142" s="357">
        <v>3.7647058823529411</v>
      </c>
      <c r="AM142" s="357">
        <v>10.588235294117647</v>
      </c>
      <c r="AN142" s="357">
        <v>7.5764705882352947</v>
      </c>
      <c r="AO142" s="357">
        <v>18.164705882352941</v>
      </c>
      <c r="AP142" s="358">
        <v>35.764705882352942</v>
      </c>
      <c r="AQ142" s="359">
        <v>0</v>
      </c>
      <c r="AR142" s="200">
        <v>667.01176470588234</v>
      </c>
      <c r="AS142" s="200">
        <v>2902.8705882352938</v>
      </c>
      <c r="AT142" s="66">
        <v>3569.8823529411761</v>
      </c>
      <c r="AU142" s="357">
        <v>37.647058823529413</v>
      </c>
      <c r="AV142" s="357">
        <v>91.294117647058826</v>
      </c>
      <c r="AW142" s="75">
        <v>0</v>
      </c>
      <c r="AX142" s="357">
        <v>150.58823529411765</v>
      </c>
      <c r="AY142" s="66">
        <v>279.52941176470586</v>
      </c>
      <c r="AZ142" s="360">
        <v>0</v>
      </c>
      <c r="BA142" s="122">
        <v>564.70588235294122</v>
      </c>
      <c r="BB142" s="122">
        <v>260.70588235294116</v>
      </c>
      <c r="BC142" s="122">
        <v>564.70588235294122</v>
      </c>
      <c r="BD142" s="122">
        <v>260.70588235294116</v>
      </c>
      <c r="BE142" s="122">
        <v>825.41176470588232</v>
      </c>
      <c r="BF142" s="361">
        <v>1358.1176470588234</v>
      </c>
      <c r="BG142" s="362">
        <v>2183.5294117647059</v>
      </c>
      <c r="BH142" s="67">
        <v>6032.9411764705874</v>
      </c>
      <c r="BI142" s="67">
        <v>489154.23529411753</v>
      </c>
      <c r="FE142" s="39">
        <v>40311</v>
      </c>
      <c r="FF142" s="39">
        <v>470.58823529411762</v>
      </c>
      <c r="FG142" s="39">
        <v>1505.8823529411766</v>
      </c>
      <c r="FH142" s="39">
        <v>1976.4705882352941</v>
      </c>
      <c r="FI142" s="39">
        <v>564.70588235294122</v>
      </c>
      <c r="FJ142" s="39" t="e">
        <v>#REF!</v>
      </c>
      <c r="FK142" s="39" t="e">
        <v>#REF!</v>
      </c>
      <c r="FL142" s="39">
        <v>37.647058823529413</v>
      </c>
      <c r="FM142" s="39">
        <v>91.294117647058826</v>
      </c>
      <c r="FN142" s="39" t="e">
        <v>#REF!</v>
      </c>
      <c r="FO142" s="39">
        <v>150.58823529411765</v>
      </c>
      <c r="FP142" s="39" t="e">
        <v>#REF!</v>
      </c>
      <c r="FR142" s="39" t="e">
        <v>#REF!</v>
      </c>
    </row>
    <row r="143" spans="1:174" x14ac:dyDescent="0.25">
      <c r="A143" s="142">
        <v>0</v>
      </c>
      <c r="B143" s="68">
        <v>40312</v>
      </c>
      <c r="C143" s="198">
        <v>40312</v>
      </c>
      <c r="D143" s="69">
        <v>39584</v>
      </c>
      <c r="E143" s="70">
        <v>40312</v>
      </c>
      <c r="F143" s="71">
        <v>19</v>
      </c>
      <c r="G143" s="72"/>
      <c r="H143" s="82"/>
      <c r="I143" s="210"/>
      <c r="J143" s="272"/>
      <c r="K143" s="273">
        <v>3576.4705882352941</v>
      </c>
      <c r="L143" s="273">
        <v>376.47058823529414</v>
      </c>
      <c r="M143" s="235">
        <v>3952.9411764705883</v>
      </c>
      <c r="N143" s="235">
        <v>1694.1176470588234</v>
      </c>
      <c r="O143" s="235">
        <v>329.41176470588238</v>
      </c>
      <c r="P143" s="235">
        <v>2023.5294117647059</v>
      </c>
      <c r="Q143" s="235">
        <v>112.94117647058823</v>
      </c>
      <c r="R143" s="235">
        <v>0</v>
      </c>
      <c r="S143" s="235">
        <v>112.94117647058823</v>
      </c>
      <c r="T143" s="235">
        <v>611.76470588235293</v>
      </c>
      <c r="U143" s="235">
        <v>1976.4705882352941</v>
      </c>
      <c r="V143" s="235">
        <v>2588.2352941176468</v>
      </c>
      <c r="W143" s="235">
        <v>2418.8235294117649</v>
      </c>
      <c r="X143" s="235">
        <v>2305.8823529411766</v>
      </c>
      <c r="Y143" s="235">
        <v>4724.7058823529414</v>
      </c>
      <c r="Z143" s="200">
        <v>8677.6470588235297</v>
      </c>
      <c r="AA143" s="235">
        <v>537.83529411764709</v>
      </c>
      <c r="AB143" s="235">
        <v>64.188235294117646</v>
      </c>
      <c r="AC143" s="235">
        <v>602.0235294117648</v>
      </c>
      <c r="AD143" s="235">
        <v>15.058823529411764</v>
      </c>
      <c r="AE143" s="235">
        <v>0</v>
      </c>
      <c r="AF143" s="235">
        <v>15.058823529411764</v>
      </c>
      <c r="AG143" s="235">
        <v>440.04705882352943</v>
      </c>
      <c r="AH143" s="235">
        <v>52.517647058823528</v>
      </c>
      <c r="AI143" s="235">
        <v>492.56470588235294</v>
      </c>
      <c r="AJ143" s="235">
        <v>111.05882352941177</v>
      </c>
      <c r="AK143" s="235">
        <v>225.88235294117646</v>
      </c>
      <c r="AL143" s="235">
        <v>336.94117647058823</v>
      </c>
      <c r="AM143" s="235">
        <v>566.16470588235291</v>
      </c>
      <c r="AN143" s="235">
        <v>278.39999999999998</v>
      </c>
      <c r="AO143" s="235">
        <v>844.56470588235288</v>
      </c>
      <c r="AP143" s="200">
        <v>1446.5882352941176</v>
      </c>
      <c r="AQ143" s="141">
        <v>0</v>
      </c>
      <c r="AR143" s="200">
        <v>4554.964705882353</v>
      </c>
      <c r="AS143" s="200">
        <v>5569.2705882352948</v>
      </c>
      <c r="AT143" s="66">
        <v>10124.235294117647</v>
      </c>
      <c r="AU143" s="235">
        <v>470.58823529411762</v>
      </c>
      <c r="AV143" s="235">
        <v>49.930829474646998</v>
      </c>
      <c r="AW143" s="75">
        <v>0</v>
      </c>
      <c r="AX143" s="235">
        <v>169.41176470588235</v>
      </c>
      <c r="AY143" s="66">
        <v>689.93082947464688</v>
      </c>
      <c r="AZ143" s="202">
        <v>0</v>
      </c>
      <c r="BA143" s="87">
        <v>611.76470588235293</v>
      </c>
      <c r="BB143" s="87">
        <v>423.52941176470586</v>
      </c>
      <c r="BC143" s="87">
        <v>611.76470588235293</v>
      </c>
      <c r="BD143" s="87">
        <v>423.52941176470586</v>
      </c>
      <c r="BE143" s="87">
        <v>1035.2941176470588</v>
      </c>
      <c r="BF143" s="363">
        <v>174.11764705882354</v>
      </c>
      <c r="BG143" s="362">
        <v>1209.4117647058824</v>
      </c>
      <c r="BH143" s="67">
        <v>12023.577888298176</v>
      </c>
      <c r="BI143" s="67">
        <v>501177.81318241573</v>
      </c>
      <c r="FE143" s="39">
        <v>40312</v>
      </c>
      <c r="FF143" s="39">
        <v>3576.4705882352941</v>
      </c>
      <c r="FG143" s="39">
        <v>1694.1176470588234</v>
      </c>
      <c r="FH143" s="39">
        <v>5270.5882352941171</v>
      </c>
      <c r="FI143" s="39">
        <v>611.76470588235293</v>
      </c>
      <c r="FJ143" s="39" t="e">
        <v>#REF!</v>
      </c>
      <c r="FK143" s="39" t="e">
        <v>#REF!</v>
      </c>
      <c r="FL143" s="39">
        <v>470.58823529411762</v>
      </c>
      <c r="FM143" s="39">
        <v>49.930829474646998</v>
      </c>
      <c r="FN143" s="39" t="e">
        <v>#REF!</v>
      </c>
      <c r="FO143" s="39">
        <v>169.41176470588235</v>
      </c>
      <c r="FP143" s="39" t="e">
        <v>#REF!</v>
      </c>
      <c r="FR143" s="39" t="e">
        <v>#REF!</v>
      </c>
    </row>
    <row r="144" spans="1:174" x14ac:dyDescent="0.25">
      <c r="A144" s="142">
        <v>0</v>
      </c>
      <c r="B144" s="85">
        <v>40313</v>
      </c>
      <c r="C144" s="203">
        <v>40313</v>
      </c>
      <c r="D144" s="76">
        <v>39585</v>
      </c>
      <c r="E144" s="77">
        <v>40313</v>
      </c>
      <c r="F144" s="78">
        <v>19</v>
      </c>
      <c r="G144" s="79"/>
      <c r="H144" s="80"/>
      <c r="I144" s="212"/>
      <c r="J144" s="364"/>
      <c r="K144" s="365">
        <v>1788.2352941176471</v>
      </c>
      <c r="L144" s="365">
        <v>564.70588235294122</v>
      </c>
      <c r="M144" s="231">
        <v>2352.9411764705883</v>
      </c>
      <c r="N144" s="231">
        <v>818.82352941176475</v>
      </c>
      <c r="O144" s="231">
        <v>122.35294117647059</v>
      </c>
      <c r="P144" s="231">
        <v>941.17647058823525</v>
      </c>
      <c r="Q144" s="231">
        <v>28.235294117647058</v>
      </c>
      <c r="R144" s="231">
        <v>0</v>
      </c>
      <c r="S144" s="231">
        <v>28.235294117647058</v>
      </c>
      <c r="T144" s="231">
        <v>169.41176470588235</v>
      </c>
      <c r="U144" s="231">
        <v>1694.1176470588234</v>
      </c>
      <c r="V144" s="231">
        <v>1863.5294117647059</v>
      </c>
      <c r="W144" s="231">
        <v>1016.4705882352941</v>
      </c>
      <c r="X144" s="231">
        <v>1816.4705882352941</v>
      </c>
      <c r="Y144" s="231">
        <v>2832.9411764705883</v>
      </c>
      <c r="Z144" s="205">
        <v>5185.8823529411766</v>
      </c>
      <c r="AA144" s="231">
        <v>22.776470588235295</v>
      </c>
      <c r="AB144" s="231">
        <v>3.6235294117647059</v>
      </c>
      <c r="AC144" s="231">
        <v>26.4</v>
      </c>
      <c r="AD144" s="231">
        <v>0</v>
      </c>
      <c r="AE144" s="231">
        <v>0</v>
      </c>
      <c r="AF144" s="231">
        <v>0</v>
      </c>
      <c r="AG144" s="231">
        <v>18.63529411764706</v>
      </c>
      <c r="AH144" s="231">
        <v>2.9647058823529413</v>
      </c>
      <c r="AI144" s="231">
        <v>21.6</v>
      </c>
      <c r="AJ144" s="231">
        <v>4.7058823529411766</v>
      </c>
      <c r="AK144" s="231">
        <v>32.941176470588232</v>
      </c>
      <c r="AL144" s="231">
        <v>37.647058823529413</v>
      </c>
      <c r="AM144" s="231">
        <v>23.341176470588238</v>
      </c>
      <c r="AN144" s="231">
        <v>35.905882352941177</v>
      </c>
      <c r="AO144" s="231">
        <v>59.247058823529414</v>
      </c>
      <c r="AP144" s="205">
        <v>85.647058823529406</v>
      </c>
      <c r="AQ144" s="232">
        <v>0</v>
      </c>
      <c r="AR144" s="200">
        <v>2379.3411764705884</v>
      </c>
      <c r="AS144" s="200">
        <v>2892.1882352941175</v>
      </c>
      <c r="AT144" s="66">
        <v>5271.5294117647063</v>
      </c>
      <c r="AU144" s="231">
        <v>122.35294117647059</v>
      </c>
      <c r="AV144" s="231">
        <v>94.117647058823536</v>
      </c>
      <c r="AW144" s="75">
        <v>0</v>
      </c>
      <c r="AX144" s="231">
        <v>150.58823529411765</v>
      </c>
      <c r="AY144" s="66">
        <v>367.05882352941182</v>
      </c>
      <c r="AZ144" s="208">
        <v>0</v>
      </c>
      <c r="BA144" s="86">
        <v>1035.2941176470588</v>
      </c>
      <c r="BB144" s="86">
        <v>1824</v>
      </c>
      <c r="BC144" s="86">
        <v>1055.0588235294117</v>
      </c>
      <c r="BD144" s="86">
        <v>1881.4117647058824</v>
      </c>
      <c r="BE144" s="86">
        <v>2936.4705882352941</v>
      </c>
      <c r="BF144" s="366">
        <v>616.47058823529414</v>
      </c>
      <c r="BG144" s="367">
        <v>3552.9411764705883</v>
      </c>
      <c r="BH144" s="67">
        <v>9191.5294117647063</v>
      </c>
      <c r="BI144" s="67">
        <v>510369.34259418043</v>
      </c>
      <c r="FE144" s="39">
        <v>40313</v>
      </c>
      <c r="FF144" s="39">
        <v>1788.2352941176471</v>
      </c>
      <c r="FG144" s="39">
        <v>818.82352941176475</v>
      </c>
      <c r="FH144" s="39">
        <v>2607.0588235294117</v>
      </c>
      <c r="FI144" s="39">
        <v>1035.2941176470588</v>
      </c>
      <c r="FJ144" s="39" t="e">
        <v>#REF!</v>
      </c>
      <c r="FK144" s="39" t="e">
        <v>#REF!</v>
      </c>
      <c r="FL144" s="39">
        <v>122.35294117647059</v>
      </c>
      <c r="FM144" s="39">
        <v>94.117647058823536</v>
      </c>
      <c r="FN144" s="39" t="e">
        <v>#REF!</v>
      </c>
      <c r="FO144" s="39">
        <v>150.58823529411765</v>
      </c>
      <c r="FP144" s="39" t="e">
        <v>#REF!</v>
      </c>
      <c r="FR144" s="39" t="e">
        <v>#REF!</v>
      </c>
    </row>
    <row r="145" spans="1:179" ht="13.8" thickBot="1" x14ac:dyDescent="0.3">
      <c r="A145" s="142">
        <v>0</v>
      </c>
      <c r="B145" s="368">
        <v>40314</v>
      </c>
      <c r="C145" s="369">
        <v>40314</v>
      </c>
      <c r="D145" s="124">
        <v>39586</v>
      </c>
      <c r="E145" s="125">
        <v>40314</v>
      </c>
      <c r="F145" s="126">
        <v>19</v>
      </c>
      <c r="G145" s="127"/>
      <c r="H145" s="128"/>
      <c r="I145" s="212"/>
      <c r="J145" s="364"/>
      <c r="K145" s="370">
        <v>1176.4705882352941</v>
      </c>
      <c r="L145" s="370">
        <v>94.117647058823536</v>
      </c>
      <c r="M145" s="267">
        <v>1270.5882352941176</v>
      </c>
      <c r="N145" s="267">
        <v>365.1764705882353</v>
      </c>
      <c r="O145" s="267">
        <v>94.117647058823536</v>
      </c>
      <c r="P145" s="267">
        <v>459.29411764705884</v>
      </c>
      <c r="Q145" s="267">
        <v>14.117647058823529</v>
      </c>
      <c r="R145" s="267">
        <v>0</v>
      </c>
      <c r="S145" s="267">
        <v>14.117647058823529</v>
      </c>
      <c r="T145" s="267">
        <v>51.764705882352942</v>
      </c>
      <c r="U145" s="267">
        <v>941.17647058823525</v>
      </c>
      <c r="V145" s="267">
        <v>992.94117647058829</v>
      </c>
      <c r="W145" s="267">
        <v>431.05882352941177</v>
      </c>
      <c r="X145" s="267">
        <v>1035.2941176470588</v>
      </c>
      <c r="Y145" s="267">
        <v>1466.3529411764705</v>
      </c>
      <c r="Z145" s="371">
        <v>2736.9411764705883</v>
      </c>
      <c r="AA145" s="267">
        <v>10.352941176470589</v>
      </c>
      <c r="AB145" s="267">
        <v>5.1764705882352944</v>
      </c>
      <c r="AC145" s="267">
        <v>15.529411764705882</v>
      </c>
      <c r="AD145" s="267">
        <v>0</v>
      </c>
      <c r="AE145" s="267">
        <v>0</v>
      </c>
      <c r="AF145" s="267">
        <v>0</v>
      </c>
      <c r="AG145" s="267">
        <v>8.4705882352941178</v>
      </c>
      <c r="AH145" s="267">
        <v>4.2352941176470589</v>
      </c>
      <c r="AI145" s="267">
        <v>12.705882352941176</v>
      </c>
      <c r="AJ145" s="267">
        <v>4.7058823529411766</v>
      </c>
      <c r="AK145" s="267">
        <v>22.588235294117649</v>
      </c>
      <c r="AL145" s="267">
        <v>27.294117647058822</v>
      </c>
      <c r="AM145" s="267">
        <v>13.176470588235293</v>
      </c>
      <c r="AN145" s="267">
        <v>26.823529411764707</v>
      </c>
      <c r="AO145" s="267">
        <v>40</v>
      </c>
      <c r="AP145" s="371">
        <v>55.529411764705884</v>
      </c>
      <c r="AQ145" s="372">
        <v>0</v>
      </c>
      <c r="AR145" s="200">
        <v>1286.1176470588234</v>
      </c>
      <c r="AS145" s="200">
        <v>1506.3529411764705</v>
      </c>
      <c r="AT145" s="66">
        <v>2792.4705882352937</v>
      </c>
      <c r="AU145" s="267">
        <v>37.647058823529413</v>
      </c>
      <c r="AV145" s="267">
        <v>56.470588235294116</v>
      </c>
      <c r="AW145" s="75">
        <v>0</v>
      </c>
      <c r="AX145" s="267">
        <v>94.117647058823536</v>
      </c>
      <c r="AY145" s="66">
        <v>188.23529411764707</v>
      </c>
      <c r="AZ145" s="373">
        <v>0</v>
      </c>
      <c r="BA145" s="374">
        <v>249.41176470588235</v>
      </c>
      <c r="BB145" s="374">
        <v>1600</v>
      </c>
      <c r="BC145" s="374">
        <v>249.41176470588235</v>
      </c>
      <c r="BD145" s="374">
        <v>1657.4117647058824</v>
      </c>
      <c r="BE145" s="374">
        <v>1906.8235294117646</v>
      </c>
      <c r="BF145" s="375">
        <v>136.47058823529412</v>
      </c>
      <c r="BG145" s="367">
        <v>2043.2941176470588</v>
      </c>
      <c r="BH145" s="67">
        <v>5024</v>
      </c>
      <c r="BI145" s="67">
        <v>515393.34259418043</v>
      </c>
      <c r="FE145" s="39">
        <v>40314</v>
      </c>
      <c r="FF145" s="39">
        <v>1176.4705882352941</v>
      </c>
      <c r="FG145" s="39">
        <v>365.1764705882353</v>
      </c>
      <c r="FH145" s="39">
        <v>1541.6470588235295</v>
      </c>
      <c r="FI145" s="39">
        <v>249.41176470588235</v>
      </c>
      <c r="FJ145" s="39" t="e">
        <v>#REF!</v>
      </c>
      <c r="FK145" s="39" t="e">
        <v>#REF!</v>
      </c>
      <c r="FL145" s="39">
        <v>37.647058823529413</v>
      </c>
      <c r="FM145" s="39">
        <v>56.470588235294116</v>
      </c>
      <c r="FN145" s="39" t="e">
        <v>#REF!</v>
      </c>
      <c r="FO145" s="39">
        <v>94.117647058823536</v>
      </c>
      <c r="FP145" s="39" t="e">
        <v>#REF!</v>
      </c>
      <c r="FR145" s="39" t="e">
        <v>#REF!</v>
      </c>
    </row>
    <row r="146" spans="1:179" x14ac:dyDescent="0.25">
      <c r="A146" s="142">
        <v>0</v>
      </c>
      <c r="B146" s="109">
        <v>40315</v>
      </c>
      <c r="C146" s="271">
        <v>40315</v>
      </c>
      <c r="D146" s="110">
        <v>39587</v>
      </c>
      <c r="E146" s="111">
        <v>40315</v>
      </c>
      <c r="F146" s="112">
        <v>20</v>
      </c>
      <c r="G146" s="113"/>
      <c r="H146" s="114"/>
      <c r="I146" s="210"/>
      <c r="J146" s="210"/>
      <c r="K146" s="273">
        <v>208.94117647058823</v>
      </c>
      <c r="L146" s="273">
        <v>27.294117647058822</v>
      </c>
      <c r="M146" s="273">
        <v>236.23529411764704</v>
      </c>
      <c r="N146" s="273">
        <v>119.52941176470588</v>
      </c>
      <c r="O146" s="273">
        <v>20.705882352941178</v>
      </c>
      <c r="P146" s="273">
        <v>140.23529411764707</v>
      </c>
      <c r="Q146" s="273">
        <v>12.235294117647058</v>
      </c>
      <c r="R146" s="273">
        <v>0</v>
      </c>
      <c r="S146" s="273">
        <v>12.235294117647058</v>
      </c>
      <c r="T146" s="273">
        <v>58.352941176470587</v>
      </c>
      <c r="U146" s="273">
        <v>149.64705882352942</v>
      </c>
      <c r="V146" s="273">
        <v>208</v>
      </c>
      <c r="W146" s="273">
        <v>190.11764705882354</v>
      </c>
      <c r="X146" s="273">
        <v>170.35294117647058</v>
      </c>
      <c r="Y146" s="273">
        <v>360.47058823529414</v>
      </c>
      <c r="Z146" s="200">
        <v>596.70588235294122</v>
      </c>
      <c r="AA146" s="273">
        <v>36.235294117647058</v>
      </c>
      <c r="AB146" s="273">
        <v>4.658823529411765</v>
      </c>
      <c r="AC146" s="273">
        <v>40.894117647058827</v>
      </c>
      <c r="AD146" s="273">
        <v>0</v>
      </c>
      <c r="AE146" s="273">
        <v>0</v>
      </c>
      <c r="AF146" s="273">
        <v>0</v>
      </c>
      <c r="AG146" s="273">
        <v>29.647058823529413</v>
      </c>
      <c r="AH146" s="273">
        <v>3.8117647058823527</v>
      </c>
      <c r="AI146" s="273">
        <v>33.45882352941176</v>
      </c>
      <c r="AJ146" s="273">
        <v>7.5294117647058822</v>
      </c>
      <c r="AK146" s="273">
        <v>12.235294117647058</v>
      </c>
      <c r="AL146" s="273">
        <v>19.764705882352942</v>
      </c>
      <c r="AM146" s="273">
        <v>37.176470588235297</v>
      </c>
      <c r="AN146" s="273">
        <v>16.047058823529412</v>
      </c>
      <c r="AO146" s="273">
        <v>53.223529411764702</v>
      </c>
      <c r="AP146" s="200">
        <v>94.117647058823536</v>
      </c>
      <c r="AQ146" s="274">
        <v>0</v>
      </c>
      <c r="AR146" s="200">
        <v>277.12941176470588</v>
      </c>
      <c r="AS146" s="200">
        <v>413.69411764705887</v>
      </c>
      <c r="AT146" s="66">
        <v>690.82352941176475</v>
      </c>
      <c r="AU146" s="273">
        <v>47.058823529411768</v>
      </c>
      <c r="AV146" s="273">
        <v>14.117647058823529</v>
      </c>
      <c r="AW146" s="75">
        <v>103.52941176470588</v>
      </c>
      <c r="AX146" s="273">
        <v>32.941176470588232</v>
      </c>
      <c r="AY146" s="66">
        <v>197.64705882352942</v>
      </c>
      <c r="AZ146" s="275">
        <v>0</v>
      </c>
      <c r="BA146" s="115">
        <v>53.647058823529413</v>
      </c>
      <c r="BB146" s="115">
        <v>0</v>
      </c>
      <c r="BC146" s="115">
        <v>76.235294117647058</v>
      </c>
      <c r="BD146" s="115">
        <v>0</v>
      </c>
      <c r="BE146" s="115">
        <v>76.235294117647058</v>
      </c>
      <c r="BF146" s="115">
        <v>150.58823529411765</v>
      </c>
      <c r="BG146" s="66">
        <v>226.8235294117647</v>
      </c>
      <c r="BH146" s="67">
        <v>1115.294117647059</v>
      </c>
      <c r="BI146" s="67">
        <v>516508.63671182748</v>
      </c>
      <c r="FE146" s="39">
        <v>40315</v>
      </c>
      <c r="FF146" s="39">
        <v>208.94117647058823</v>
      </c>
      <c r="FG146" s="39">
        <v>119.52941176470588</v>
      </c>
      <c r="FH146" s="39">
        <v>328.47058823529414</v>
      </c>
      <c r="FI146" s="39">
        <v>53.647058823529413</v>
      </c>
      <c r="FJ146" s="39" t="e">
        <v>#REF!</v>
      </c>
      <c r="FK146" s="39" t="e">
        <v>#REF!</v>
      </c>
      <c r="FL146" s="39">
        <v>47.058823529411768</v>
      </c>
      <c r="FM146" s="39">
        <v>14.117647058823529</v>
      </c>
      <c r="FN146" s="39" t="e">
        <v>#REF!</v>
      </c>
      <c r="FO146" s="39">
        <v>32.941176470588232</v>
      </c>
      <c r="FP146" s="39" t="e">
        <v>#REF!</v>
      </c>
      <c r="FR146" s="39" t="e">
        <v>#REF!</v>
      </c>
      <c r="FT146" s="39" t="e">
        <v>#REF!</v>
      </c>
      <c r="FU146" s="39" t="e">
        <v>#REF!</v>
      </c>
      <c r="FV146" s="39" t="e">
        <v>#REF!</v>
      </c>
      <c r="FW146" s="39" t="e">
        <v>#REF!</v>
      </c>
    </row>
    <row r="147" spans="1:179" x14ac:dyDescent="0.25">
      <c r="A147" s="142">
        <v>0</v>
      </c>
      <c r="B147" s="68">
        <v>40316</v>
      </c>
      <c r="C147" s="198">
        <v>40316</v>
      </c>
      <c r="D147" s="69">
        <v>39588</v>
      </c>
      <c r="E147" s="70">
        <v>40316</v>
      </c>
      <c r="F147" s="71">
        <v>20</v>
      </c>
      <c r="G147" s="72"/>
      <c r="H147" s="82"/>
      <c r="I147" s="210"/>
      <c r="J147" s="210"/>
      <c r="K147" s="235">
        <v>284.23529411764707</v>
      </c>
      <c r="L147" s="235">
        <v>36.705882352941174</v>
      </c>
      <c r="M147" s="235">
        <v>320.94117647058823</v>
      </c>
      <c r="N147" s="235">
        <v>135.52941176470588</v>
      </c>
      <c r="O147" s="235">
        <v>18.823529411764707</v>
      </c>
      <c r="P147" s="235">
        <v>154.35294117647058</v>
      </c>
      <c r="Q147" s="235">
        <v>26.352941176470587</v>
      </c>
      <c r="R147" s="235">
        <v>0</v>
      </c>
      <c r="S147" s="235">
        <v>26.352941176470587</v>
      </c>
      <c r="T147" s="235">
        <v>39.529411764705884</v>
      </c>
      <c r="U147" s="235">
        <v>217.41176470588235</v>
      </c>
      <c r="V147" s="235">
        <v>256.94117647058823</v>
      </c>
      <c r="W147" s="235">
        <v>201.41176470588235</v>
      </c>
      <c r="X147" s="235">
        <v>236.23529411764707</v>
      </c>
      <c r="Y147" s="235">
        <v>437.64705882352939</v>
      </c>
      <c r="Z147" s="200">
        <v>758.58823529411768</v>
      </c>
      <c r="AA147" s="235">
        <v>36.752941176470586</v>
      </c>
      <c r="AB147" s="235">
        <v>8.2823529411764714</v>
      </c>
      <c r="AC147" s="235">
        <v>45.035294117647055</v>
      </c>
      <c r="AD147" s="235">
        <v>0</v>
      </c>
      <c r="AE147" s="235">
        <v>0</v>
      </c>
      <c r="AF147" s="235">
        <v>0</v>
      </c>
      <c r="AG147" s="235">
        <v>30.070588235294117</v>
      </c>
      <c r="AH147" s="235">
        <v>6.776470588235294</v>
      </c>
      <c r="AI147" s="235">
        <v>36.847058823529409</v>
      </c>
      <c r="AJ147" s="235">
        <v>14.117647058823529</v>
      </c>
      <c r="AK147" s="235">
        <v>14.117647058823529</v>
      </c>
      <c r="AL147" s="235">
        <v>28.235294117647058</v>
      </c>
      <c r="AM147" s="235">
        <v>44.188235294117646</v>
      </c>
      <c r="AN147" s="235">
        <v>20.894117647058824</v>
      </c>
      <c r="AO147" s="235">
        <v>65.082352941176481</v>
      </c>
      <c r="AP147" s="200">
        <v>110.11764705882354</v>
      </c>
      <c r="AQ147" s="141">
        <v>0</v>
      </c>
      <c r="AR147" s="200">
        <v>365.97647058823532</v>
      </c>
      <c r="AS147" s="200">
        <v>502.7294117647059</v>
      </c>
      <c r="AT147" s="66">
        <v>868.70588235294122</v>
      </c>
      <c r="AU147" s="235">
        <v>47.058823529411768</v>
      </c>
      <c r="AV147" s="235">
        <v>14.117647058823529</v>
      </c>
      <c r="AW147" s="75">
        <v>28.235294117647058</v>
      </c>
      <c r="AX147" s="235">
        <v>56.470588235294116</v>
      </c>
      <c r="AY147" s="66">
        <v>145.88235294117646</v>
      </c>
      <c r="AZ147" s="202">
        <v>0</v>
      </c>
      <c r="BA147" s="87">
        <v>35.764705882352942</v>
      </c>
      <c r="BB147" s="87">
        <v>0</v>
      </c>
      <c r="BC147" s="87">
        <v>101.64705882352941</v>
      </c>
      <c r="BD147" s="87">
        <v>0</v>
      </c>
      <c r="BE147" s="87">
        <v>101.64705882352941</v>
      </c>
      <c r="BF147" s="87">
        <v>1308.2352941176471</v>
      </c>
      <c r="BG147" s="66">
        <v>1409.8823529411766</v>
      </c>
      <c r="BH147" s="67">
        <v>2424.4705882352946</v>
      </c>
      <c r="BI147" s="67">
        <v>518933.10730006278</v>
      </c>
      <c r="FE147" s="39">
        <v>40316</v>
      </c>
      <c r="FF147" s="39">
        <v>284.23529411764707</v>
      </c>
      <c r="FG147" s="39">
        <v>135.52941176470588</v>
      </c>
      <c r="FH147" s="39">
        <v>419.76470588235293</v>
      </c>
      <c r="FI147" s="39">
        <v>35.764705882352942</v>
      </c>
      <c r="FJ147" s="39" t="e">
        <v>#REF!</v>
      </c>
      <c r="FK147" s="39" t="e">
        <v>#REF!</v>
      </c>
      <c r="FL147" s="39">
        <v>47.058823529411768</v>
      </c>
      <c r="FM147" s="39">
        <v>14.117647058823529</v>
      </c>
      <c r="FN147" s="39" t="e">
        <v>#REF!</v>
      </c>
      <c r="FO147" s="39">
        <v>56.470588235294116</v>
      </c>
      <c r="FP147" s="39" t="e">
        <v>#REF!</v>
      </c>
      <c r="FR147" s="39" t="e">
        <v>#REF!</v>
      </c>
      <c r="FT147" s="39" t="e">
        <v>#REF!</v>
      </c>
      <c r="FU147" s="39" t="e">
        <v>#REF!</v>
      </c>
      <c r="FV147" s="39" t="e">
        <v>#REF!</v>
      </c>
      <c r="FW147" s="39" t="e">
        <v>#REF!</v>
      </c>
    </row>
    <row r="148" spans="1:179" x14ac:dyDescent="0.25">
      <c r="A148" s="142">
        <v>0</v>
      </c>
      <c r="B148" s="68">
        <v>40317</v>
      </c>
      <c r="C148" s="198">
        <v>40317</v>
      </c>
      <c r="D148" s="69">
        <v>39589</v>
      </c>
      <c r="E148" s="70">
        <v>40317</v>
      </c>
      <c r="F148" s="71">
        <v>20</v>
      </c>
      <c r="G148" s="72"/>
      <c r="H148" s="82"/>
      <c r="I148" s="210"/>
      <c r="J148" s="210"/>
      <c r="K148" s="235">
        <v>325.64705882352939</v>
      </c>
      <c r="L148" s="235">
        <v>44.235294117647058</v>
      </c>
      <c r="M148" s="235">
        <v>369.88235294117646</v>
      </c>
      <c r="N148" s="235">
        <v>158.11764705882354</v>
      </c>
      <c r="O148" s="235">
        <v>22.588235294117649</v>
      </c>
      <c r="P148" s="235">
        <v>180.70588235294119</v>
      </c>
      <c r="Q148" s="235">
        <v>34.823529411764703</v>
      </c>
      <c r="R148" s="235">
        <v>0</v>
      </c>
      <c r="S148" s="235">
        <v>34.823529411764703</v>
      </c>
      <c r="T148" s="235">
        <v>49.882352941176471</v>
      </c>
      <c r="U148" s="235">
        <v>188.23529411764707</v>
      </c>
      <c r="V148" s="235">
        <v>238.11764705882354</v>
      </c>
      <c r="W148" s="235">
        <v>242.8235294117647</v>
      </c>
      <c r="X148" s="235">
        <v>210.8235294117647</v>
      </c>
      <c r="Y148" s="235">
        <v>453.64705882352939</v>
      </c>
      <c r="Z148" s="200">
        <v>823.52941176470586</v>
      </c>
      <c r="AA148" s="235">
        <v>31.576470588235292</v>
      </c>
      <c r="AB148" s="235">
        <v>4.658823529411765</v>
      </c>
      <c r="AC148" s="235">
        <v>36.235294117647058</v>
      </c>
      <c r="AD148" s="235">
        <v>0</v>
      </c>
      <c r="AE148" s="235">
        <v>0</v>
      </c>
      <c r="AF148" s="235">
        <v>0</v>
      </c>
      <c r="AG148" s="235">
        <v>25.835294117647059</v>
      </c>
      <c r="AH148" s="235">
        <v>3.8117647058823527</v>
      </c>
      <c r="AI148" s="235">
        <v>29.647058823529413</v>
      </c>
      <c r="AJ148" s="235">
        <v>0</v>
      </c>
      <c r="AK148" s="235">
        <v>14.117647058823529</v>
      </c>
      <c r="AL148" s="235">
        <v>14.117647058823529</v>
      </c>
      <c r="AM148" s="235">
        <v>25.835294117647059</v>
      </c>
      <c r="AN148" s="235">
        <v>17.929411764705883</v>
      </c>
      <c r="AO148" s="235">
        <v>43.764705882352942</v>
      </c>
      <c r="AP148" s="200">
        <v>80</v>
      </c>
      <c r="AQ148" s="141">
        <v>0</v>
      </c>
      <c r="AR148" s="200">
        <v>406.11764705882354</v>
      </c>
      <c r="AS148" s="200">
        <v>497.41176470588232</v>
      </c>
      <c r="AT148" s="66">
        <v>903.52941176470586</v>
      </c>
      <c r="AU148" s="235">
        <v>47.058823529411768</v>
      </c>
      <c r="AV148" s="235">
        <v>14.117647058823529</v>
      </c>
      <c r="AW148" s="75">
        <v>37.647058823529413</v>
      </c>
      <c r="AX148" s="235">
        <v>51.764705882352942</v>
      </c>
      <c r="AY148" s="66">
        <v>150.58823529411765</v>
      </c>
      <c r="AZ148" s="202">
        <v>0</v>
      </c>
      <c r="BA148" s="87">
        <v>244.70588235294119</v>
      </c>
      <c r="BB148" s="87">
        <v>64</v>
      </c>
      <c r="BC148" s="87">
        <v>244.70588235294119</v>
      </c>
      <c r="BD148" s="87">
        <v>64</v>
      </c>
      <c r="BE148" s="87">
        <v>308.70588235294116</v>
      </c>
      <c r="BF148" s="87">
        <v>1768.4705882352941</v>
      </c>
      <c r="BG148" s="66">
        <v>2077.1764705882351</v>
      </c>
      <c r="BH148" s="67">
        <v>3131.2941176470586</v>
      </c>
      <c r="BI148" s="67">
        <v>522064.40141770983</v>
      </c>
      <c r="FE148" s="39">
        <v>40317</v>
      </c>
      <c r="FF148" s="39">
        <v>325.64705882352939</v>
      </c>
      <c r="FG148" s="39">
        <v>158.11764705882354</v>
      </c>
      <c r="FH148" s="39">
        <v>483.76470588235293</v>
      </c>
      <c r="FI148" s="39">
        <v>244.70588235294119</v>
      </c>
      <c r="FJ148" s="39" t="e">
        <v>#REF!</v>
      </c>
      <c r="FK148" s="39" t="e">
        <v>#REF!</v>
      </c>
      <c r="FL148" s="39">
        <v>47.058823529411768</v>
      </c>
      <c r="FM148" s="39">
        <v>14.117647058823529</v>
      </c>
      <c r="FN148" s="39" t="e">
        <v>#REF!</v>
      </c>
      <c r="FO148" s="39">
        <v>51.764705882352942</v>
      </c>
      <c r="FP148" s="39" t="e">
        <v>#REF!</v>
      </c>
      <c r="FR148" s="39" t="e">
        <v>#REF!</v>
      </c>
      <c r="FT148" s="39" t="e">
        <v>#REF!</v>
      </c>
      <c r="FU148" s="39" t="e">
        <v>#REF!</v>
      </c>
      <c r="FV148" s="39" t="e">
        <v>#REF!</v>
      </c>
      <c r="FW148" s="39" t="e">
        <v>#REF!</v>
      </c>
    </row>
    <row r="149" spans="1:179" x14ac:dyDescent="0.25">
      <c r="A149" s="142">
        <v>0</v>
      </c>
      <c r="B149" s="68">
        <v>40318</v>
      </c>
      <c r="C149" s="198">
        <v>40318</v>
      </c>
      <c r="D149" s="69">
        <v>39590</v>
      </c>
      <c r="E149" s="70">
        <v>40318</v>
      </c>
      <c r="F149" s="71">
        <v>20</v>
      </c>
      <c r="G149" s="72"/>
      <c r="H149" s="82"/>
      <c r="I149" s="210"/>
      <c r="J149" s="210"/>
      <c r="K149" s="235">
        <v>305.88235294117646</v>
      </c>
      <c r="L149" s="235">
        <v>48.941176470588232</v>
      </c>
      <c r="M149" s="235">
        <v>354.8235294117647</v>
      </c>
      <c r="N149" s="235">
        <v>136.47058823529412</v>
      </c>
      <c r="O149" s="235">
        <v>27.294117647058822</v>
      </c>
      <c r="P149" s="235">
        <v>163.76470588235293</v>
      </c>
      <c r="Q149" s="235">
        <v>6.5882352941176467</v>
      </c>
      <c r="R149" s="235">
        <v>0</v>
      </c>
      <c r="S149" s="235">
        <v>6.5882352941176467</v>
      </c>
      <c r="T149" s="235">
        <v>40.470588235294116</v>
      </c>
      <c r="U149" s="235">
        <v>170.35294117647058</v>
      </c>
      <c r="V149" s="235">
        <v>210.8235294117647</v>
      </c>
      <c r="W149" s="235">
        <v>183.52941176470588</v>
      </c>
      <c r="X149" s="235">
        <v>197.64705882352942</v>
      </c>
      <c r="Y149" s="235">
        <v>381.1764705882353</v>
      </c>
      <c r="Z149" s="200">
        <v>736</v>
      </c>
      <c r="AA149" s="235">
        <v>30.023529411764706</v>
      </c>
      <c r="AB149" s="235">
        <v>6.2117647058823522</v>
      </c>
      <c r="AC149" s="235">
        <v>36.235294117647058</v>
      </c>
      <c r="AD149" s="235">
        <v>0</v>
      </c>
      <c r="AE149" s="235">
        <v>0</v>
      </c>
      <c r="AF149" s="235">
        <v>0</v>
      </c>
      <c r="AG149" s="235">
        <v>24.564705882352943</v>
      </c>
      <c r="AH149" s="235">
        <v>5.0823529411764712</v>
      </c>
      <c r="AI149" s="235">
        <v>29.647058823529413</v>
      </c>
      <c r="AJ149" s="235">
        <v>9.4117647058823533</v>
      </c>
      <c r="AK149" s="235">
        <v>15.058823529411764</v>
      </c>
      <c r="AL149" s="235">
        <v>24.470588235294116</v>
      </c>
      <c r="AM149" s="235">
        <v>33.976470588235294</v>
      </c>
      <c r="AN149" s="235">
        <v>20.141176470588235</v>
      </c>
      <c r="AO149" s="235">
        <v>54.117647058823529</v>
      </c>
      <c r="AP149" s="200">
        <v>90.352941176470594</v>
      </c>
      <c r="AQ149" s="141">
        <v>0</v>
      </c>
      <c r="AR149" s="200">
        <v>391.05882352941177</v>
      </c>
      <c r="AS149" s="200">
        <v>435.29411764705884</v>
      </c>
      <c r="AT149" s="66">
        <v>826.35294117647061</v>
      </c>
      <c r="AU149" s="235">
        <v>47.058823529411768</v>
      </c>
      <c r="AV149" s="235">
        <v>14.117647058823529</v>
      </c>
      <c r="AW149" s="75">
        <v>141.1764705882353</v>
      </c>
      <c r="AX149" s="235">
        <v>47.058823529411768</v>
      </c>
      <c r="AY149" s="66">
        <v>249.41176470588238</v>
      </c>
      <c r="AZ149" s="202">
        <v>0</v>
      </c>
      <c r="BA149" s="87">
        <v>120.47058823529412</v>
      </c>
      <c r="BB149" s="87">
        <v>96.941176470588232</v>
      </c>
      <c r="BC149" s="87">
        <v>200.47058823529412</v>
      </c>
      <c r="BD149" s="87">
        <v>96.941176470588232</v>
      </c>
      <c r="BE149" s="87">
        <v>297.41176470588238</v>
      </c>
      <c r="BF149" s="87">
        <v>1075.7647058823529</v>
      </c>
      <c r="BG149" s="66">
        <v>1373.1764705882354</v>
      </c>
      <c r="BH149" s="67">
        <v>2448.9411764705883</v>
      </c>
      <c r="BI149" s="67">
        <v>524513.34259418037</v>
      </c>
      <c r="FE149" s="39">
        <v>40318</v>
      </c>
      <c r="FF149" s="39">
        <v>305.88235294117646</v>
      </c>
      <c r="FG149" s="39">
        <v>136.47058823529412</v>
      </c>
      <c r="FH149" s="39">
        <v>442.35294117647061</v>
      </c>
      <c r="FI149" s="39">
        <v>120.47058823529412</v>
      </c>
      <c r="FJ149" s="39" t="e">
        <v>#REF!</v>
      </c>
      <c r="FK149" s="39" t="e">
        <v>#REF!</v>
      </c>
      <c r="FL149" s="39">
        <v>47.058823529411768</v>
      </c>
      <c r="FM149" s="39">
        <v>14.117647058823529</v>
      </c>
      <c r="FN149" s="39" t="e">
        <v>#REF!</v>
      </c>
      <c r="FO149" s="39">
        <v>47.058823529411768</v>
      </c>
      <c r="FP149" s="39" t="e">
        <v>#REF!</v>
      </c>
      <c r="FR149" s="39" t="e">
        <v>#REF!</v>
      </c>
      <c r="FT149" s="39" t="e">
        <v>#REF!</v>
      </c>
      <c r="FU149" s="39" t="e">
        <v>#REF!</v>
      </c>
      <c r="FV149" s="39" t="e">
        <v>#REF!</v>
      </c>
      <c r="FW149" s="39" t="e">
        <v>#REF!</v>
      </c>
    </row>
    <row r="150" spans="1:179" ht="13.8" thickBot="1" x14ac:dyDescent="0.3">
      <c r="A150" s="142">
        <v>0</v>
      </c>
      <c r="B150" s="88">
        <v>40319</v>
      </c>
      <c r="C150" s="236">
        <v>40319</v>
      </c>
      <c r="D150" s="89">
        <v>39591</v>
      </c>
      <c r="E150" s="90">
        <v>40319</v>
      </c>
      <c r="F150" s="91">
        <v>20</v>
      </c>
      <c r="G150" s="92"/>
      <c r="H150" s="93"/>
      <c r="I150" s="210"/>
      <c r="J150" s="210"/>
      <c r="K150" s="238">
        <v>291.76470588235293</v>
      </c>
      <c r="L150" s="238">
        <v>32</v>
      </c>
      <c r="M150" s="238">
        <v>323.76470588235293</v>
      </c>
      <c r="N150" s="238">
        <v>172.23529411764707</v>
      </c>
      <c r="O150" s="238">
        <v>25.411764705882351</v>
      </c>
      <c r="P150" s="238">
        <v>197.64705882352942</v>
      </c>
      <c r="Q150" s="238">
        <v>5.6470588235294121</v>
      </c>
      <c r="R150" s="238">
        <v>0</v>
      </c>
      <c r="S150" s="238">
        <v>5.6470588235294121</v>
      </c>
      <c r="T150" s="238">
        <v>59.294117647058826</v>
      </c>
      <c r="U150" s="238">
        <v>212.70588235294119</v>
      </c>
      <c r="V150" s="238">
        <v>272</v>
      </c>
      <c r="W150" s="238">
        <v>237.1764705882353</v>
      </c>
      <c r="X150" s="238">
        <v>238.11764705882354</v>
      </c>
      <c r="Y150" s="238">
        <v>475.29411764705884</v>
      </c>
      <c r="Z150" s="239">
        <v>799.05882352941171</v>
      </c>
      <c r="AA150" s="238">
        <v>35.200000000000003</v>
      </c>
      <c r="AB150" s="238">
        <v>9.3176470588235301</v>
      </c>
      <c r="AC150" s="238">
        <v>44.517647058823528</v>
      </c>
      <c r="AD150" s="238">
        <v>0</v>
      </c>
      <c r="AE150" s="238">
        <v>0</v>
      </c>
      <c r="AF150" s="238">
        <v>0</v>
      </c>
      <c r="AG150" s="238">
        <v>28.8</v>
      </c>
      <c r="AH150" s="238">
        <v>7.6235294117647054</v>
      </c>
      <c r="AI150" s="238">
        <v>36.423529411764711</v>
      </c>
      <c r="AJ150" s="238">
        <v>6.5882352941176467</v>
      </c>
      <c r="AK150" s="238">
        <v>17.882352941176471</v>
      </c>
      <c r="AL150" s="238">
        <v>24.470588235294116</v>
      </c>
      <c r="AM150" s="238">
        <v>35.388235294117649</v>
      </c>
      <c r="AN150" s="238">
        <v>25.505882352941178</v>
      </c>
      <c r="AO150" s="238">
        <v>60.894117647058827</v>
      </c>
      <c r="AP150" s="239">
        <v>105.41176470588235</v>
      </c>
      <c r="AQ150" s="240">
        <v>0</v>
      </c>
      <c r="AR150" s="200">
        <v>368.28235294117644</v>
      </c>
      <c r="AS150" s="200">
        <v>536.1882352941177</v>
      </c>
      <c r="AT150" s="66">
        <v>904.47058823529414</v>
      </c>
      <c r="AU150" s="238">
        <v>37.647058823529413</v>
      </c>
      <c r="AV150" s="238">
        <v>14.117647058823529</v>
      </c>
      <c r="AW150" s="75">
        <v>94.117647058823536</v>
      </c>
      <c r="AX150" s="238">
        <v>47.058823529411768</v>
      </c>
      <c r="AY150" s="66">
        <v>192.94117647058823</v>
      </c>
      <c r="AZ150" s="241">
        <v>0</v>
      </c>
      <c r="BA150" s="94">
        <v>202.35294117647058</v>
      </c>
      <c r="BB150" s="94">
        <v>81.882352941176464</v>
      </c>
      <c r="BC150" s="94">
        <v>202.35294117647058</v>
      </c>
      <c r="BD150" s="94">
        <v>81.882352941176464</v>
      </c>
      <c r="BE150" s="94">
        <v>284.23529411764707</v>
      </c>
      <c r="BF150" s="94">
        <v>2164.705882352941</v>
      </c>
      <c r="BG150" s="66">
        <v>2448.9411764705883</v>
      </c>
      <c r="BH150" s="67">
        <v>3546.3529411764707</v>
      </c>
      <c r="BI150" s="67">
        <v>528059.69553535688</v>
      </c>
      <c r="FE150" s="39">
        <v>40319</v>
      </c>
      <c r="FF150" s="39">
        <v>291.76470588235293</v>
      </c>
      <c r="FG150" s="39">
        <v>172.23529411764707</v>
      </c>
      <c r="FH150" s="39">
        <v>464</v>
      </c>
      <c r="FI150" s="39">
        <v>202.35294117647058</v>
      </c>
      <c r="FJ150" s="39" t="e">
        <v>#REF!</v>
      </c>
      <c r="FK150" s="39" t="e">
        <v>#REF!</v>
      </c>
      <c r="FL150" s="39">
        <v>37.647058823529413</v>
      </c>
      <c r="FM150" s="39">
        <v>14.117647058823529</v>
      </c>
      <c r="FN150" s="39" t="e">
        <v>#REF!</v>
      </c>
      <c r="FO150" s="39">
        <v>47.058823529411768</v>
      </c>
      <c r="FP150" s="39" t="e">
        <v>#REF!</v>
      </c>
      <c r="FR150" s="39" t="e">
        <v>#REF!</v>
      </c>
      <c r="FT150" s="39" t="e">
        <v>#REF!</v>
      </c>
      <c r="FU150" s="39" t="e">
        <v>#REF!</v>
      </c>
      <c r="FV150" s="39" t="e">
        <v>#REF!</v>
      </c>
      <c r="FW150" s="39" t="e">
        <v>#REF!</v>
      </c>
    </row>
    <row r="151" spans="1:179" x14ac:dyDescent="0.25">
      <c r="A151" s="142">
        <v>0</v>
      </c>
      <c r="B151" s="244">
        <v>40320</v>
      </c>
      <c r="C151" s="245">
        <v>40320</v>
      </c>
      <c r="D151" s="246">
        <v>39592</v>
      </c>
      <c r="E151" s="247">
        <v>40320</v>
      </c>
      <c r="F151" s="248">
        <v>20</v>
      </c>
      <c r="G151" s="249"/>
      <c r="H151" s="250"/>
      <c r="I151" s="212"/>
      <c r="J151" s="212"/>
      <c r="K151" s="252">
        <v>1788.2352941176471</v>
      </c>
      <c r="L151" s="252">
        <v>404.70588235294116</v>
      </c>
      <c r="M151" s="252">
        <v>2192.9411764705883</v>
      </c>
      <c r="N151" s="252">
        <v>1129.4117647058824</v>
      </c>
      <c r="O151" s="252">
        <v>188.23529411764707</v>
      </c>
      <c r="P151" s="252">
        <v>1317.6470588235295</v>
      </c>
      <c r="Q151" s="252">
        <v>80</v>
      </c>
      <c r="R151" s="252">
        <v>0</v>
      </c>
      <c r="S151" s="252">
        <v>80</v>
      </c>
      <c r="T151" s="252">
        <v>176.94117647058823</v>
      </c>
      <c r="U151" s="252">
        <v>1882.3529411764705</v>
      </c>
      <c r="V151" s="252">
        <v>2059.294117647059</v>
      </c>
      <c r="W151" s="252">
        <v>1386.3529411764705</v>
      </c>
      <c r="X151" s="252">
        <v>2070.5882352941176</v>
      </c>
      <c r="Y151" s="252">
        <v>3456.9411764705883</v>
      </c>
      <c r="Z151" s="253">
        <v>5649.8823529411766</v>
      </c>
      <c r="AA151" s="252">
        <v>10.870588235294118</v>
      </c>
      <c r="AB151" s="252">
        <v>9.8352941176470576</v>
      </c>
      <c r="AC151" s="252">
        <v>20.705882352941178</v>
      </c>
      <c r="AD151" s="252">
        <v>0</v>
      </c>
      <c r="AE151" s="252">
        <v>0</v>
      </c>
      <c r="AF151" s="252">
        <v>0</v>
      </c>
      <c r="AG151" s="252">
        <v>8.8941176470588221</v>
      </c>
      <c r="AH151" s="252">
        <v>8.0470588235294116</v>
      </c>
      <c r="AI151" s="252">
        <v>16.941176470588236</v>
      </c>
      <c r="AJ151" s="252">
        <v>0</v>
      </c>
      <c r="AK151" s="252">
        <v>9.4117647058823533</v>
      </c>
      <c r="AL151" s="252">
        <v>9.4117647058823533</v>
      </c>
      <c r="AM151" s="252">
        <v>8.8941176470588221</v>
      </c>
      <c r="AN151" s="252">
        <v>17.458823529411767</v>
      </c>
      <c r="AO151" s="252">
        <v>26.352941176470587</v>
      </c>
      <c r="AP151" s="253">
        <v>47.058823529411768</v>
      </c>
      <c r="AQ151" s="254">
        <v>0</v>
      </c>
      <c r="AR151" s="200">
        <v>2213.6470588235293</v>
      </c>
      <c r="AS151" s="200">
        <v>3483.294117647059</v>
      </c>
      <c r="AT151" s="66">
        <v>5696.9411764705883</v>
      </c>
      <c r="AU151" s="252">
        <v>70.588235294117652</v>
      </c>
      <c r="AV151" s="252">
        <v>47.058823529411768</v>
      </c>
      <c r="AW151" s="75">
        <v>0</v>
      </c>
      <c r="AX151" s="252">
        <v>79.058823529411768</v>
      </c>
      <c r="AY151" s="66">
        <v>196.70588235294119</v>
      </c>
      <c r="AZ151" s="256">
        <v>0</v>
      </c>
      <c r="BA151" s="257">
        <v>517.64705882352939</v>
      </c>
      <c r="BB151" s="257">
        <v>847.05882352941171</v>
      </c>
      <c r="BC151" s="257">
        <v>560.94117647058829</v>
      </c>
      <c r="BD151" s="257">
        <v>847.05882352941171</v>
      </c>
      <c r="BE151" s="257">
        <v>1408</v>
      </c>
      <c r="BF151" s="376">
        <v>1472.9411764705883</v>
      </c>
      <c r="BG151" s="367">
        <v>2880.9411764705883</v>
      </c>
      <c r="BH151" s="67">
        <v>8774.5882352941171</v>
      </c>
      <c r="BI151" s="67">
        <v>536834.28377065097</v>
      </c>
      <c r="FE151" s="39">
        <v>40320</v>
      </c>
      <c r="FF151" s="39">
        <v>1788.2352941176471</v>
      </c>
      <c r="FG151" s="39">
        <v>1129.4117647058824</v>
      </c>
      <c r="FH151" s="39">
        <v>2917.6470588235297</v>
      </c>
      <c r="FI151" s="39">
        <v>517.64705882352939</v>
      </c>
      <c r="FJ151" s="39" t="e">
        <v>#REF!</v>
      </c>
      <c r="FK151" s="39" t="e">
        <v>#REF!</v>
      </c>
      <c r="FL151" s="39">
        <v>70.588235294117652</v>
      </c>
      <c r="FM151" s="39">
        <v>47.058823529411768</v>
      </c>
      <c r="FN151" s="39" t="e">
        <v>#REF!</v>
      </c>
      <c r="FO151" s="39">
        <v>79.058823529411768</v>
      </c>
      <c r="FP151" s="39" t="e">
        <v>#REF!</v>
      </c>
      <c r="FR151" s="39" t="e">
        <v>#REF!</v>
      </c>
      <c r="FT151" s="39" t="e">
        <v>#REF!</v>
      </c>
      <c r="FU151" s="39" t="e">
        <v>#REF!</v>
      </c>
      <c r="FV151" s="39" t="e">
        <v>#REF!</v>
      </c>
      <c r="FW151" s="39" t="e">
        <v>#REF!</v>
      </c>
    </row>
    <row r="152" spans="1:179" x14ac:dyDescent="0.25">
      <c r="A152" s="142">
        <v>0</v>
      </c>
      <c r="B152" s="85">
        <v>40321</v>
      </c>
      <c r="C152" s="203">
        <v>40321</v>
      </c>
      <c r="D152" s="76">
        <v>39593</v>
      </c>
      <c r="E152" s="77">
        <v>40321</v>
      </c>
      <c r="F152" s="78">
        <v>20</v>
      </c>
      <c r="G152" s="79"/>
      <c r="H152" s="80"/>
      <c r="I152" s="212"/>
      <c r="J152" s="364"/>
      <c r="K152" s="365">
        <v>2729.4117647058824</v>
      </c>
      <c r="L152" s="365">
        <v>519.52941176470586</v>
      </c>
      <c r="M152" s="231">
        <v>3248.9411764705883</v>
      </c>
      <c r="N152" s="231">
        <v>2448</v>
      </c>
      <c r="O152" s="231">
        <v>188.23529411764707</v>
      </c>
      <c r="P152" s="231">
        <v>2636.2352941176468</v>
      </c>
      <c r="Q152" s="231">
        <v>141.1764705882353</v>
      </c>
      <c r="R152" s="231">
        <v>0</v>
      </c>
      <c r="S152" s="231">
        <v>141.1764705882353</v>
      </c>
      <c r="T152" s="231">
        <v>258.8235294117647</v>
      </c>
      <c r="U152" s="231">
        <v>1411.7647058823529</v>
      </c>
      <c r="V152" s="231">
        <v>1670.5882352941176</v>
      </c>
      <c r="W152" s="231">
        <v>2848</v>
      </c>
      <c r="X152" s="231">
        <v>1600</v>
      </c>
      <c r="Y152" s="231">
        <v>4448</v>
      </c>
      <c r="Z152" s="205">
        <v>7696.9411764705883</v>
      </c>
      <c r="AA152" s="231">
        <v>49.694117647058818</v>
      </c>
      <c r="AB152" s="231">
        <v>28.470588235294116</v>
      </c>
      <c r="AC152" s="231">
        <v>78.164705882352933</v>
      </c>
      <c r="AD152" s="231">
        <v>0</v>
      </c>
      <c r="AE152" s="231">
        <v>0</v>
      </c>
      <c r="AF152" s="231">
        <v>0</v>
      </c>
      <c r="AG152" s="231">
        <v>40.658823529411769</v>
      </c>
      <c r="AH152" s="231">
        <v>23.294117647058822</v>
      </c>
      <c r="AI152" s="231">
        <v>63.952941176470588</v>
      </c>
      <c r="AJ152" s="231">
        <v>7.5294117647058822</v>
      </c>
      <c r="AK152" s="231">
        <v>15.058823529411764</v>
      </c>
      <c r="AL152" s="231">
        <v>22.588235294117649</v>
      </c>
      <c r="AM152" s="231">
        <v>48.188235294117646</v>
      </c>
      <c r="AN152" s="231">
        <v>38.352941176470587</v>
      </c>
      <c r="AO152" s="231">
        <v>86.54117647058824</v>
      </c>
      <c r="AP152" s="205">
        <v>164.70588235294119</v>
      </c>
      <c r="AQ152" s="232">
        <v>0</v>
      </c>
      <c r="AR152" s="200">
        <v>3327.1058823529411</v>
      </c>
      <c r="AS152" s="200">
        <v>4534.5411764705887</v>
      </c>
      <c r="AT152" s="66">
        <v>7861.6470588235297</v>
      </c>
      <c r="AU152" s="231">
        <v>103.52941176470588</v>
      </c>
      <c r="AV152" s="231">
        <v>47.058823529411768</v>
      </c>
      <c r="AW152" s="75">
        <v>282.35294117647061</v>
      </c>
      <c r="AX152" s="231">
        <v>141.1764705882353</v>
      </c>
      <c r="AY152" s="66">
        <v>574.11764705882365</v>
      </c>
      <c r="AZ152" s="208">
        <v>0</v>
      </c>
      <c r="BA152" s="86">
        <v>461.1764705882353</v>
      </c>
      <c r="BB152" s="86">
        <v>1241.4117647058824</v>
      </c>
      <c r="BC152" s="86">
        <v>461.1764705882353</v>
      </c>
      <c r="BD152" s="86">
        <v>1241.4117647058824</v>
      </c>
      <c r="BE152" s="86">
        <v>1702.5882352941176</v>
      </c>
      <c r="BF152" s="366">
        <v>357.64705882352939</v>
      </c>
      <c r="BG152" s="367">
        <v>2060.2352941176468</v>
      </c>
      <c r="BH152" s="67">
        <v>10496</v>
      </c>
      <c r="BI152" s="67">
        <v>547330.28377065097</v>
      </c>
      <c r="FE152" s="39">
        <v>40321</v>
      </c>
      <c r="FF152" s="39">
        <v>2729.4117647058824</v>
      </c>
      <c r="FG152" s="39">
        <v>2448</v>
      </c>
      <c r="FH152" s="39">
        <v>5177.4117647058829</v>
      </c>
      <c r="FI152" s="39">
        <v>461.1764705882353</v>
      </c>
      <c r="FJ152" s="39" t="e">
        <v>#REF!</v>
      </c>
      <c r="FK152" s="39" t="e">
        <v>#REF!</v>
      </c>
      <c r="FL152" s="39">
        <v>103.52941176470588</v>
      </c>
      <c r="FM152" s="39">
        <v>47.058823529411768</v>
      </c>
      <c r="FN152" s="39" t="e">
        <v>#REF!</v>
      </c>
      <c r="FO152" s="39">
        <v>141.1764705882353</v>
      </c>
      <c r="FP152" s="39" t="e">
        <v>#REF!</v>
      </c>
      <c r="FR152" s="39" t="e">
        <v>#REF!</v>
      </c>
      <c r="FT152" s="39" t="e">
        <v>#REF!</v>
      </c>
      <c r="FU152" s="39" t="e">
        <v>#REF!</v>
      </c>
      <c r="FV152" s="39" t="e">
        <v>#REF!</v>
      </c>
      <c r="FW152" s="39" t="e">
        <v>#REF!</v>
      </c>
    </row>
    <row r="153" spans="1:179" ht="13.8" thickBot="1" x14ac:dyDescent="0.3">
      <c r="A153" s="142">
        <v>0</v>
      </c>
      <c r="B153" s="377">
        <v>40322</v>
      </c>
      <c r="C153" s="378">
        <v>40322</v>
      </c>
      <c r="D153" s="379">
        <v>39594</v>
      </c>
      <c r="E153" s="380">
        <v>40322</v>
      </c>
      <c r="F153" s="381">
        <v>21</v>
      </c>
      <c r="G153" s="382" t="s">
        <v>42</v>
      </c>
      <c r="H153" s="383"/>
      <c r="I153" s="272"/>
      <c r="J153" s="272"/>
      <c r="K153" s="384">
        <v>325.64705882352939</v>
      </c>
      <c r="L153" s="384">
        <v>44.235294117647058</v>
      </c>
      <c r="M153" s="384">
        <v>369.88235294117646</v>
      </c>
      <c r="N153" s="384">
        <v>158.11764705882354</v>
      </c>
      <c r="O153" s="384">
        <v>22.588235294117649</v>
      </c>
      <c r="P153" s="384">
        <v>180.70588235294119</v>
      </c>
      <c r="Q153" s="384">
        <v>34.823529411764703</v>
      </c>
      <c r="R153" s="384">
        <v>0</v>
      </c>
      <c r="S153" s="384">
        <v>34.823529411764703</v>
      </c>
      <c r="T153" s="384">
        <v>49.882352941176471</v>
      </c>
      <c r="U153" s="384">
        <v>188.23529411764707</v>
      </c>
      <c r="V153" s="384">
        <v>238.11764705882354</v>
      </c>
      <c r="W153" s="384">
        <v>242.8235294117647</v>
      </c>
      <c r="X153" s="384">
        <v>210.8235294117647</v>
      </c>
      <c r="Y153" s="384">
        <v>453.64705882352939</v>
      </c>
      <c r="Z153" s="265">
        <v>823.52941176470586</v>
      </c>
      <c r="AA153" s="384">
        <v>31.576470588235292</v>
      </c>
      <c r="AB153" s="384">
        <v>4.658823529411765</v>
      </c>
      <c r="AC153" s="384">
        <v>36.235294117647058</v>
      </c>
      <c r="AD153" s="384">
        <v>0</v>
      </c>
      <c r="AE153" s="384">
        <v>0</v>
      </c>
      <c r="AF153" s="384">
        <v>0</v>
      </c>
      <c r="AG153" s="384">
        <v>25.835294117647059</v>
      </c>
      <c r="AH153" s="384">
        <v>3.8117647058823527</v>
      </c>
      <c r="AI153" s="384">
        <v>29.647058823529413</v>
      </c>
      <c r="AJ153" s="384">
        <v>0</v>
      </c>
      <c r="AK153" s="384">
        <v>14.117647058823529</v>
      </c>
      <c r="AL153" s="384">
        <v>14.117647058823529</v>
      </c>
      <c r="AM153" s="384">
        <v>25.835294117647059</v>
      </c>
      <c r="AN153" s="384">
        <v>17.929411764705883</v>
      </c>
      <c r="AO153" s="384">
        <v>43.764705882352942</v>
      </c>
      <c r="AP153" s="265">
        <v>80</v>
      </c>
      <c r="AQ153" s="385">
        <v>0</v>
      </c>
      <c r="AR153" s="200">
        <v>406.11764705882354</v>
      </c>
      <c r="AS153" s="200">
        <v>497.41176470588232</v>
      </c>
      <c r="AT153" s="66">
        <v>903.52941176470586</v>
      </c>
      <c r="AU153" s="384">
        <v>47.058823529411768</v>
      </c>
      <c r="AV153" s="384">
        <v>14.117647058823529</v>
      </c>
      <c r="AW153" s="75">
        <v>37.647058823529413</v>
      </c>
      <c r="AX153" s="384">
        <v>51.764705882352942</v>
      </c>
      <c r="AY153" s="66">
        <v>150.58823529411765</v>
      </c>
      <c r="AZ153" s="386">
        <v>0</v>
      </c>
      <c r="BA153" s="387">
        <v>244.70588235294119</v>
      </c>
      <c r="BB153" s="387">
        <v>64</v>
      </c>
      <c r="BC153" s="387">
        <v>244.70588235294119</v>
      </c>
      <c r="BD153" s="387">
        <v>64</v>
      </c>
      <c r="BE153" s="387">
        <v>308.70588235294116</v>
      </c>
      <c r="BF153" s="388">
        <v>1865.4117647058824</v>
      </c>
      <c r="BG153" s="362">
        <v>2174.1176470588234</v>
      </c>
      <c r="BH153" s="67">
        <v>3228.2352941176468</v>
      </c>
      <c r="BI153" s="67">
        <v>550558.51906476857</v>
      </c>
      <c r="FE153" s="39">
        <v>40322</v>
      </c>
      <c r="FF153" s="39">
        <v>325.64705882352939</v>
      </c>
      <c r="FG153" s="39">
        <v>158.11764705882354</v>
      </c>
      <c r="FH153" s="39">
        <v>483.76470588235293</v>
      </c>
      <c r="FI153" s="39">
        <v>244.70588235294119</v>
      </c>
      <c r="FJ153" s="39" t="e">
        <v>#REF!</v>
      </c>
      <c r="FK153" s="39" t="e">
        <v>#REF!</v>
      </c>
      <c r="FL153" s="39">
        <v>47.058823529411768</v>
      </c>
      <c r="FM153" s="39">
        <v>14.117647058823529</v>
      </c>
      <c r="FN153" s="39" t="e">
        <v>#REF!</v>
      </c>
      <c r="FO153" s="39">
        <v>51.764705882352942</v>
      </c>
      <c r="FP153" s="39" t="e">
        <v>#REF!</v>
      </c>
      <c r="FR153" s="39" t="e">
        <v>#REF!</v>
      </c>
      <c r="FT153" s="39" t="e">
        <v>#REF!</v>
      </c>
      <c r="FU153" s="39" t="e">
        <v>#REF!</v>
      </c>
      <c r="FV153" s="39" t="e">
        <v>#REF!</v>
      </c>
      <c r="FW153" s="39" t="e">
        <v>#REF!</v>
      </c>
    </row>
    <row r="154" spans="1:179" x14ac:dyDescent="0.25">
      <c r="A154" s="142">
        <v>0</v>
      </c>
      <c r="B154" s="109">
        <v>40323</v>
      </c>
      <c r="C154" s="271">
        <v>40323</v>
      </c>
      <c r="D154" s="110">
        <v>39595</v>
      </c>
      <c r="E154" s="111">
        <v>40323</v>
      </c>
      <c r="F154" s="112">
        <v>21</v>
      </c>
      <c r="G154" s="113"/>
      <c r="H154" s="114"/>
      <c r="I154" s="210"/>
      <c r="J154" s="210"/>
      <c r="K154" s="273">
        <v>278.58823529411762</v>
      </c>
      <c r="L154" s="273">
        <v>64</v>
      </c>
      <c r="M154" s="273">
        <v>342.58823529411762</v>
      </c>
      <c r="N154" s="273">
        <v>150.58823529411765</v>
      </c>
      <c r="O154" s="273">
        <v>80</v>
      </c>
      <c r="P154" s="273">
        <v>230.58823529411765</v>
      </c>
      <c r="Q154" s="273">
        <v>5.6470588235294121</v>
      </c>
      <c r="R154" s="273">
        <v>0</v>
      </c>
      <c r="S154" s="273">
        <v>5.6470588235294121</v>
      </c>
      <c r="T154" s="273">
        <v>58.352941176470587</v>
      </c>
      <c r="U154" s="273">
        <v>258.8235294117647</v>
      </c>
      <c r="V154" s="273">
        <v>317.1764705882353</v>
      </c>
      <c r="W154" s="273">
        <v>214.58823529411765</v>
      </c>
      <c r="X154" s="273">
        <v>338.8235294117647</v>
      </c>
      <c r="Y154" s="273">
        <v>553.41176470588232</v>
      </c>
      <c r="Z154" s="200">
        <v>896</v>
      </c>
      <c r="AA154" s="273">
        <v>153.22352941176473</v>
      </c>
      <c r="AB154" s="273">
        <v>7.2470588235294118</v>
      </c>
      <c r="AC154" s="273">
        <v>160.47058823529412</v>
      </c>
      <c r="AD154" s="273">
        <v>0</v>
      </c>
      <c r="AE154" s="273">
        <v>0</v>
      </c>
      <c r="AF154" s="273">
        <v>0</v>
      </c>
      <c r="AG154" s="273">
        <v>125.36470588235294</v>
      </c>
      <c r="AH154" s="273">
        <v>5.9294117647058826</v>
      </c>
      <c r="AI154" s="273">
        <v>131.29411764705881</v>
      </c>
      <c r="AJ154" s="273">
        <v>3.7647058823529411</v>
      </c>
      <c r="AK154" s="273">
        <v>18.823529411764707</v>
      </c>
      <c r="AL154" s="273">
        <v>22.588235294117649</v>
      </c>
      <c r="AM154" s="273">
        <v>129.12941176470588</v>
      </c>
      <c r="AN154" s="273">
        <v>24.752941176470589</v>
      </c>
      <c r="AO154" s="273">
        <v>153.88235294117646</v>
      </c>
      <c r="AP154" s="200">
        <v>314.35294117647061</v>
      </c>
      <c r="AQ154" s="274">
        <v>0</v>
      </c>
      <c r="AR154" s="200">
        <v>503.05882352941171</v>
      </c>
      <c r="AS154" s="200">
        <v>707.29411764705878</v>
      </c>
      <c r="AT154" s="66">
        <v>1210.3529411764705</v>
      </c>
      <c r="AU154" s="273">
        <v>75.294117647058826</v>
      </c>
      <c r="AV154" s="273">
        <v>9.4117647058823533</v>
      </c>
      <c r="AW154" s="75">
        <v>0</v>
      </c>
      <c r="AX154" s="273">
        <v>37.647058823529413</v>
      </c>
      <c r="AY154" s="66">
        <v>122.35294117647058</v>
      </c>
      <c r="AZ154" s="275">
        <v>0</v>
      </c>
      <c r="BA154" s="115">
        <v>63.058823529411768</v>
      </c>
      <c r="BB154" s="115">
        <v>145.88235294117646</v>
      </c>
      <c r="BC154" s="115">
        <v>63.058823529411768</v>
      </c>
      <c r="BD154" s="115">
        <v>145.88235294117646</v>
      </c>
      <c r="BE154" s="115">
        <v>208.94117647058823</v>
      </c>
      <c r="BF154" s="115">
        <v>937.41176470588232</v>
      </c>
      <c r="BG154" s="66">
        <v>1146.3529411764705</v>
      </c>
      <c r="BH154" s="67">
        <v>2479.0588235294117</v>
      </c>
      <c r="BI154" s="67">
        <v>553037.57788829796</v>
      </c>
      <c r="FE154" s="39">
        <v>40323</v>
      </c>
      <c r="FF154" s="39">
        <v>278.58823529411762</v>
      </c>
      <c r="FG154" s="39">
        <v>150.58823529411765</v>
      </c>
      <c r="FH154" s="39">
        <v>429.17647058823525</v>
      </c>
      <c r="FI154" s="39">
        <v>63.058823529411768</v>
      </c>
      <c r="FJ154" s="39" t="e">
        <v>#REF!</v>
      </c>
      <c r="FK154" s="39" t="e">
        <v>#REF!</v>
      </c>
      <c r="FL154" s="39">
        <v>75.294117647058826</v>
      </c>
      <c r="FM154" s="39">
        <v>9.4117647058823533</v>
      </c>
      <c r="FN154" s="39" t="e">
        <v>#REF!</v>
      </c>
      <c r="FO154" s="39">
        <v>37.647058823529413</v>
      </c>
      <c r="FP154" s="39" t="e">
        <v>#REF!</v>
      </c>
      <c r="FR154" s="39" t="e">
        <v>#REF!</v>
      </c>
      <c r="FT154" s="39" t="e">
        <v>#REF!</v>
      </c>
      <c r="FU154" s="39" t="e">
        <v>#REF!</v>
      </c>
      <c r="FV154" s="39" t="e">
        <v>#REF!</v>
      </c>
      <c r="FW154" s="39" t="e">
        <v>#REF!</v>
      </c>
    </row>
    <row r="155" spans="1:179" x14ac:dyDescent="0.25">
      <c r="A155" s="142">
        <v>0</v>
      </c>
      <c r="B155" s="68">
        <v>40324</v>
      </c>
      <c r="C155" s="198">
        <v>40324</v>
      </c>
      <c r="D155" s="69">
        <v>39596</v>
      </c>
      <c r="E155" s="70">
        <v>40324</v>
      </c>
      <c r="F155" s="112">
        <v>21</v>
      </c>
      <c r="G155" s="72"/>
      <c r="H155" s="82"/>
      <c r="I155" s="210"/>
      <c r="J155" s="210"/>
      <c r="K155" s="235">
        <v>245.64705882352942</v>
      </c>
      <c r="L155" s="235">
        <v>64</v>
      </c>
      <c r="M155" s="235">
        <v>309.64705882352939</v>
      </c>
      <c r="N155" s="235">
        <v>216.47058823529412</v>
      </c>
      <c r="O155" s="235">
        <v>65.882352941176464</v>
      </c>
      <c r="P155" s="235">
        <v>282.35294117647061</v>
      </c>
      <c r="Q155" s="235">
        <v>11.294117647058824</v>
      </c>
      <c r="R155" s="235">
        <v>0</v>
      </c>
      <c r="S155" s="235">
        <v>11.294117647058824</v>
      </c>
      <c r="T155" s="235">
        <v>54.588235294117645</v>
      </c>
      <c r="U155" s="235">
        <v>215.52941176470588</v>
      </c>
      <c r="V155" s="235">
        <v>270.11764705882354</v>
      </c>
      <c r="W155" s="235">
        <v>282.35294117647061</v>
      </c>
      <c r="X155" s="235">
        <v>281.41176470588238</v>
      </c>
      <c r="Y155" s="235">
        <v>563.76470588235293</v>
      </c>
      <c r="Z155" s="200">
        <v>873.41176470588232</v>
      </c>
      <c r="AA155" s="235">
        <v>88</v>
      </c>
      <c r="AB155" s="235">
        <v>12.941176470588236</v>
      </c>
      <c r="AC155" s="235">
        <v>100.94117647058823</v>
      </c>
      <c r="AD155" s="235">
        <v>0</v>
      </c>
      <c r="AE155" s="235">
        <v>0</v>
      </c>
      <c r="AF155" s="235">
        <v>0</v>
      </c>
      <c r="AG155" s="235">
        <v>72</v>
      </c>
      <c r="AH155" s="235">
        <v>10.588235294117647</v>
      </c>
      <c r="AI155" s="235">
        <v>82.588235294117652</v>
      </c>
      <c r="AJ155" s="235">
        <v>5.6470588235294121</v>
      </c>
      <c r="AK155" s="235">
        <v>25.411764705882351</v>
      </c>
      <c r="AL155" s="235">
        <v>31.058823529411764</v>
      </c>
      <c r="AM155" s="235">
        <v>77.647058823529406</v>
      </c>
      <c r="AN155" s="235">
        <v>36</v>
      </c>
      <c r="AO155" s="235">
        <v>113.64705882352941</v>
      </c>
      <c r="AP155" s="200">
        <v>214.58823529411765</v>
      </c>
      <c r="AQ155" s="141">
        <v>0</v>
      </c>
      <c r="AR155" s="200">
        <v>410.58823529411762</v>
      </c>
      <c r="AS155" s="200">
        <v>677.41176470588232</v>
      </c>
      <c r="AT155" s="66">
        <v>1088</v>
      </c>
      <c r="AU155" s="235">
        <v>61.176470588235297</v>
      </c>
      <c r="AV155" s="235">
        <v>9.4117647058823533</v>
      </c>
      <c r="AW155" s="75">
        <v>658.82352941176475</v>
      </c>
      <c r="AX155" s="235">
        <v>28.235294117647058</v>
      </c>
      <c r="AY155" s="66">
        <v>757.64705882352951</v>
      </c>
      <c r="AZ155" s="202">
        <v>0</v>
      </c>
      <c r="BA155" s="87">
        <v>70.588235294117652</v>
      </c>
      <c r="BB155" s="87">
        <v>146.8235294117647</v>
      </c>
      <c r="BC155" s="87">
        <v>70.588235294117652</v>
      </c>
      <c r="BD155" s="87">
        <v>146.8235294117647</v>
      </c>
      <c r="BE155" s="87">
        <v>217.41176470588235</v>
      </c>
      <c r="BF155" s="87">
        <v>2045.1764705882354</v>
      </c>
      <c r="BG155" s="66">
        <v>2262.5882352941176</v>
      </c>
      <c r="BH155" s="67">
        <v>4108.2352941176468</v>
      </c>
      <c r="BI155" s="67">
        <v>557145.81318241556</v>
      </c>
      <c r="FE155" s="39">
        <v>40324</v>
      </c>
      <c r="FF155" s="39">
        <v>245.64705882352942</v>
      </c>
      <c r="FG155" s="39">
        <v>216.47058823529412</v>
      </c>
      <c r="FH155" s="39">
        <v>462.11764705882354</v>
      </c>
      <c r="FI155" s="39">
        <v>70.588235294117652</v>
      </c>
      <c r="FJ155" s="39" t="e">
        <v>#REF!</v>
      </c>
      <c r="FK155" s="39" t="e">
        <v>#REF!</v>
      </c>
      <c r="FL155" s="39">
        <v>61.176470588235297</v>
      </c>
      <c r="FM155" s="39">
        <v>9.4117647058823533</v>
      </c>
      <c r="FN155" s="39" t="e">
        <v>#REF!</v>
      </c>
      <c r="FO155" s="39">
        <v>28.235294117647058</v>
      </c>
      <c r="FP155" s="39" t="e">
        <v>#REF!</v>
      </c>
      <c r="FR155" s="39" t="e">
        <v>#REF!</v>
      </c>
      <c r="FT155" s="39" t="e">
        <v>#REF!</v>
      </c>
      <c r="FU155" s="39" t="e">
        <v>#REF!</v>
      </c>
      <c r="FV155" s="39" t="e">
        <v>#REF!</v>
      </c>
      <c r="FW155" s="39" t="e">
        <v>#REF!</v>
      </c>
    </row>
    <row r="156" spans="1:179" x14ac:dyDescent="0.25">
      <c r="A156" s="142">
        <v>0</v>
      </c>
      <c r="B156" s="68">
        <v>40325</v>
      </c>
      <c r="C156" s="198">
        <v>40325</v>
      </c>
      <c r="D156" s="69">
        <v>39597</v>
      </c>
      <c r="E156" s="70">
        <v>40325</v>
      </c>
      <c r="F156" s="112">
        <v>21</v>
      </c>
      <c r="G156" s="72"/>
      <c r="H156" s="82"/>
      <c r="I156" s="210"/>
      <c r="J156" s="210"/>
      <c r="K156" s="235">
        <v>234.35294117647058</v>
      </c>
      <c r="L156" s="235">
        <v>47.058823529411768</v>
      </c>
      <c r="M156" s="235">
        <v>281.41176470588232</v>
      </c>
      <c r="N156" s="235">
        <v>153.41176470588235</v>
      </c>
      <c r="O156" s="235">
        <v>48.941176470588232</v>
      </c>
      <c r="P156" s="235">
        <v>202.35294117647058</v>
      </c>
      <c r="Q156" s="235">
        <v>15.058823529411764</v>
      </c>
      <c r="R156" s="235">
        <v>0</v>
      </c>
      <c r="S156" s="235">
        <v>15.058823529411764</v>
      </c>
      <c r="T156" s="235">
        <v>61.176470588235297</v>
      </c>
      <c r="U156" s="235">
        <v>224</v>
      </c>
      <c r="V156" s="235">
        <v>285.1764705882353</v>
      </c>
      <c r="W156" s="235">
        <v>229.64705882352942</v>
      </c>
      <c r="X156" s="235">
        <v>272.94117647058823</v>
      </c>
      <c r="Y156" s="235">
        <v>502.58823529411762</v>
      </c>
      <c r="Z156" s="200">
        <v>784</v>
      </c>
      <c r="AA156" s="235">
        <v>77.129411764705878</v>
      </c>
      <c r="AB156" s="235">
        <v>8.2823529411764714</v>
      </c>
      <c r="AC156" s="235">
        <v>85.411764705882348</v>
      </c>
      <c r="AD156" s="235">
        <v>0</v>
      </c>
      <c r="AE156" s="235">
        <v>0</v>
      </c>
      <c r="AF156" s="235">
        <v>0</v>
      </c>
      <c r="AG156" s="235">
        <v>63.105882352941173</v>
      </c>
      <c r="AH156" s="235">
        <v>6.776470588235294</v>
      </c>
      <c r="AI156" s="235">
        <v>69.882352941176464</v>
      </c>
      <c r="AJ156" s="235">
        <v>16</v>
      </c>
      <c r="AK156" s="235">
        <v>16.941176470588236</v>
      </c>
      <c r="AL156" s="235">
        <v>32.941176470588232</v>
      </c>
      <c r="AM156" s="235">
        <v>79.10588235294118</v>
      </c>
      <c r="AN156" s="235">
        <v>23.71764705882353</v>
      </c>
      <c r="AO156" s="235">
        <v>102.82352941176471</v>
      </c>
      <c r="AP156" s="200">
        <v>188.23529411764707</v>
      </c>
      <c r="AQ156" s="141">
        <v>0</v>
      </c>
      <c r="AR156" s="200">
        <v>366.82352941176464</v>
      </c>
      <c r="AS156" s="200">
        <v>605.41176470588232</v>
      </c>
      <c r="AT156" s="66">
        <v>972.23529411764696</v>
      </c>
      <c r="AU156" s="235">
        <v>61.176470588235297</v>
      </c>
      <c r="AV156" s="235">
        <v>18.823529411764707</v>
      </c>
      <c r="AW156" s="75">
        <v>602.35294117647061</v>
      </c>
      <c r="AX156" s="235">
        <v>47.058823529411768</v>
      </c>
      <c r="AY156" s="66">
        <v>729.41176470588243</v>
      </c>
      <c r="AZ156" s="202">
        <v>0</v>
      </c>
      <c r="BA156" s="87">
        <v>61.176470588235297</v>
      </c>
      <c r="BB156" s="87">
        <v>114.82352941176471</v>
      </c>
      <c r="BC156" s="87">
        <v>61.176470588235297</v>
      </c>
      <c r="BD156" s="87">
        <v>114.82352941176471</v>
      </c>
      <c r="BE156" s="87">
        <v>176</v>
      </c>
      <c r="BF156" s="87">
        <v>1468.2352941176471</v>
      </c>
      <c r="BG156" s="66">
        <v>1644.2352941176471</v>
      </c>
      <c r="BH156" s="67">
        <v>3345.8823529411766</v>
      </c>
      <c r="BI156" s="67">
        <v>560491.69553535676</v>
      </c>
      <c r="FE156" s="39">
        <v>40325</v>
      </c>
      <c r="FF156" s="39">
        <v>234.35294117647058</v>
      </c>
      <c r="FG156" s="39">
        <v>153.41176470588235</v>
      </c>
      <c r="FH156" s="39">
        <v>387.76470588235293</v>
      </c>
      <c r="FI156" s="39">
        <v>61.176470588235297</v>
      </c>
      <c r="FJ156" s="39" t="e">
        <v>#REF!</v>
      </c>
      <c r="FK156" s="39" t="e">
        <v>#REF!</v>
      </c>
      <c r="FL156" s="39">
        <v>61.176470588235297</v>
      </c>
      <c r="FM156" s="39">
        <v>18.823529411764707</v>
      </c>
      <c r="FN156" s="39" t="e">
        <v>#REF!</v>
      </c>
      <c r="FO156" s="39">
        <v>47.058823529411768</v>
      </c>
      <c r="FP156" s="39" t="e">
        <v>#REF!</v>
      </c>
      <c r="FR156" s="39" t="e">
        <v>#REF!</v>
      </c>
      <c r="FT156" s="39" t="e">
        <v>#REF!</v>
      </c>
      <c r="FU156" s="39" t="e">
        <v>#REF!</v>
      </c>
      <c r="FV156" s="39" t="e">
        <v>#REF!</v>
      </c>
      <c r="FW156" s="39" t="e">
        <v>#REF!</v>
      </c>
    </row>
    <row r="157" spans="1:179" x14ac:dyDescent="0.25">
      <c r="A157" s="142">
        <v>0</v>
      </c>
      <c r="B157" s="68">
        <v>40326</v>
      </c>
      <c r="C157" s="198">
        <v>40326</v>
      </c>
      <c r="D157" s="69">
        <v>39598</v>
      </c>
      <c r="E157" s="70">
        <v>40326</v>
      </c>
      <c r="F157" s="112">
        <v>21</v>
      </c>
      <c r="G157" s="72"/>
      <c r="H157" s="82"/>
      <c r="I157" s="210"/>
      <c r="J157" s="210"/>
      <c r="K157" s="235">
        <v>243.76470588235293</v>
      </c>
      <c r="L157" s="235">
        <v>47.058823529411768</v>
      </c>
      <c r="M157" s="235">
        <v>290.8235294117647</v>
      </c>
      <c r="N157" s="235">
        <v>169.41176470588235</v>
      </c>
      <c r="O157" s="235">
        <v>31.058823529411764</v>
      </c>
      <c r="P157" s="235">
        <v>200.47058823529412</v>
      </c>
      <c r="Q157" s="235">
        <v>10.352941176470589</v>
      </c>
      <c r="R157" s="235">
        <v>0</v>
      </c>
      <c r="S157" s="235">
        <v>10.352941176470589</v>
      </c>
      <c r="T157" s="235">
        <v>84.705882352941174</v>
      </c>
      <c r="U157" s="235">
        <v>216.47058823529412</v>
      </c>
      <c r="V157" s="235">
        <v>301.1764705882353</v>
      </c>
      <c r="W157" s="235">
        <v>264.47058823529414</v>
      </c>
      <c r="X157" s="235">
        <v>247.52941176470588</v>
      </c>
      <c r="Y157" s="235">
        <v>512</v>
      </c>
      <c r="Z157" s="200">
        <v>802.82352941176475</v>
      </c>
      <c r="AA157" s="235">
        <v>45.55294117647059</v>
      </c>
      <c r="AB157" s="235">
        <v>2.5882352941176472</v>
      </c>
      <c r="AC157" s="235">
        <v>48.141176470588235</v>
      </c>
      <c r="AD157" s="235">
        <v>0</v>
      </c>
      <c r="AE157" s="235">
        <v>0</v>
      </c>
      <c r="AF157" s="235">
        <v>0</v>
      </c>
      <c r="AG157" s="235">
        <v>37.27058823529412</v>
      </c>
      <c r="AH157" s="235">
        <v>2.1176470588235294</v>
      </c>
      <c r="AI157" s="235">
        <v>39.388235294117649</v>
      </c>
      <c r="AJ157" s="235">
        <v>5.6470588235294121</v>
      </c>
      <c r="AK157" s="235">
        <v>0</v>
      </c>
      <c r="AL157" s="235">
        <v>5.6470588235294121</v>
      </c>
      <c r="AM157" s="235">
        <v>42.917647058823533</v>
      </c>
      <c r="AN157" s="235">
        <v>2.1176470588235294</v>
      </c>
      <c r="AO157" s="235">
        <v>45.035294117647062</v>
      </c>
      <c r="AP157" s="200">
        <v>93.17647058823529</v>
      </c>
      <c r="AQ157" s="141">
        <v>0</v>
      </c>
      <c r="AR157" s="200">
        <v>338.96470588235292</v>
      </c>
      <c r="AS157" s="200">
        <v>557.03529411764703</v>
      </c>
      <c r="AT157" s="66">
        <v>896</v>
      </c>
      <c r="AU157" s="235">
        <v>61.176470588235297</v>
      </c>
      <c r="AV157" s="235">
        <v>18.823529411764707</v>
      </c>
      <c r="AW157" s="75">
        <v>18.823529411764707</v>
      </c>
      <c r="AX157" s="235">
        <v>47.058823529411768</v>
      </c>
      <c r="AY157" s="66">
        <v>145.88235294117646</v>
      </c>
      <c r="AZ157" s="202">
        <v>0</v>
      </c>
      <c r="BA157" s="87">
        <v>95.058823529411768</v>
      </c>
      <c r="BB157" s="87">
        <v>0</v>
      </c>
      <c r="BC157" s="87">
        <v>95.058823529411768</v>
      </c>
      <c r="BD157" s="87">
        <v>0</v>
      </c>
      <c r="BE157" s="87">
        <v>95.058823529411768</v>
      </c>
      <c r="BF157" s="87">
        <v>2224.9411764705883</v>
      </c>
      <c r="BG157" s="66">
        <v>2320</v>
      </c>
      <c r="BH157" s="67">
        <v>3361.8823529411766</v>
      </c>
      <c r="BI157" s="67">
        <v>563853.57788829796</v>
      </c>
      <c r="FE157" s="39">
        <v>40326</v>
      </c>
      <c r="FF157" s="39">
        <v>243.76470588235293</v>
      </c>
      <c r="FG157" s="39">
        <v>169.41176470588235</v>
      </c>
      <c r="FH157" s="39">
        <v>413.17647058823525</v>
      </c>
      <c r="FI157" s="39">
        <v>95.058823529411768</v>
      </c>
      <c r="FJ157" s="39" t="e">
        <v>#REF!</v>
      </c>
      <c r="FK157" s="39" t="e">
        <v>#REF!</v>
      </c>
      <c r="FL157" s="39">
        <v>61.176470588235297</v>
      </c>
      <c r="FM157" s="39">
        <v>18.823529411764707</v>
      </c>
      <c r="FN157" s="39" t="e">
        <v>#REF!</v>
      </c>
      <c r="FO157" s="39">
        <v>47.058823529411768</v>
      </c>
      <c r="FP157" s="39" t="e">
        <v>#REF!</v>
      </c>
      <c r="FR157" s="39" t="e">
        <v>#REF!</v>
      </c>
      <c r="FT157" s="39" t="e">
        <v>#REF!</v>
      </c>
      <c r="FU157" s="39" t="e">
        <v>#REF!</v>
      </c>
      <c r="FV157" s="39" t="e">
        <v>#REF!</v>
      </c>
      <c r="FW157" s="39" t="e">
        <v>#REF!</v>
      </c>
    </row>
    <row r="158" spans="1:179" x14ac:dyDescent="0.25">
      <c r="A158" s="142">
        <v>0</v>
      </c>
      <c r="B158" s="85">
        <v>40327</v>
      </c>
      <c r="C158" s="203">
        <v>40327</v>
      </c>
      <c r="D158" s="76">
        <v>39599</v>
      </c>
      <c r="E158" s="77">
        <v>40327</v>
      </c>
      <c r="F158" s="78">
        <v>21</v>
      </c>
      <c r="G158" s="79"/>
      <c r="H158" s="80"/>
      <c r="I158" s="212"/>
      <c r="J158" s="212"/>
      <c r="K158" s="231">
        <v>2164.705882352941</v>
      </c>
      <c r="L158" s="231">
        <v>145.88235294117646</v>
      </c>
      <c r="M158" s="231">
        <v>2310.5882352941176</v>
      </c>
      <c r="N158" s="231">
        <v>1487.0588235294117</v>
      </c>
      <c r="O158" s="231">
        <v>188.23529411764707</v>
      </c>
      <c r="P158" s="231">
        <v>1675.2941176470588</v>
      </c>
      <c r="Q158" s="231">
        <v>75.294117647058826</v>
      </c>
      <c r="R158" s="231">
        <v>0</v>
      </c>
      <c r="S158" s="231">
        <v>75.294117647058826</v>
      </c>
      <c r="T158" s="231">
        <v>127.05882352941177</v>
      </c>
      <c r="U158" s="231">
        <v>623.05882352941171</v>
      </c>
      <c r="V158" s="231">
        <v>750.11764705882354</v>
      </c>
      <c r="W158" s="231">
        <v>1689.4117647058824</v>
      </c>
      <c r="X158" s="231">
        <v>811.29411764705878</v>
      </c>
      <c r="Y158" s="231">
        <v>2500.705882352941</v>
      </c>
      <c r="Z158" s="205">
        <v>4811.2941176470586</v>
      </c>
      <c r="AA158" s="231">
        <v>25.882352941176471</v>
      </c>
      <c r="AB158" s="231">
        <v>20.705882352941178</v>
      </c>
      <c r="AC158" s="231">
        <v>46.588235294117645</v>
      </c>
      <c r="AD158" s="231">
        <v>0</v>
      </c>
      <c r="AE158" s="231">
        <v>0</v>
      </c>
      <c r="AF158" s="231">
        <v>0</v>
      </c>
      <c r="AG158" s="231">
        <v>21.176470588235293</v>
      </c>
      <c r="AH158" s="231">
        <v>16.941176470588236</v>
      </c>
      <c r="AI158" s="231">
        <v>38.117647058823529</v>
      </c>
      <c r="AJ158" s="231">
        <v>4.7058823529411766</v>
      </c>
      <c r="AK158" s="231">
        <v>8.4705882352941178</v>
      </c>
      <c r="AL158" s="231">
        <v>13.176470588235293</v>
      </c>
      <c r="AM158" s="231">
        <v>25.882352941176471</v>
      </c>
      <c r="AN158" s="231">
        <v>25.411764705882351</v>
      </c>
      <c r="AO158" s="231">
        <v>51.294117647058826</v>
      </c>
      <c r="AP158" s="205">
        <v>97.882352941176464</v>
      </c>
      <c r="AQ158" s="232">
        <v>0</v>
      </c>
      <c r="AR158" s="200">
        <v>2357.1764705882351</v>
      </c>
      <c r="AS158" s="200">
        <v>2552</v>
      </c>
      <c r="AT158" s="66">
        <v>4909.1764705882351</v>
      </c>
      <c r="AU158" s="231">
        <v>75.294117647058826</v>
      </c>
      <c r="AV158" s="231">
        <v>70.588235294117652</v>
      </c>
      <c r="AW158" s="75">
        <v>658.82352941176475</v>
      </c>
      <c r="AX158" s="231">
        <v>329.41176470588238</v>
      </c>
      <c r="AY158" s="66">
        <v>1134.1176470588236</v>
      </c>
      <c r="AZ158" s="208">
        <v>0</v>
      </c>
      <c r="BA158" s="86">
        <v>480</v>
      </c>
      <c r="BB158" s="86">
        <v>310.58823529411762</v>
      </c>
      <c r="BC158" s="86">
        <v>493.1764705882353</v>
      </c>
      <c r="BD158" s="86">
        <v>310.58823529411762</v>
      </c>
      <c r="BE158" s="86">
        <v>803.76470588235293</v>
      </c>
      <c r="BF158" s="86">
        <v>1287.5294117647059</v>
      </c>
      <c r="BG158" s="209">
        <v>2091.2941176470586</v>
      </c>
      <c r="BH158" s="67">
        <v>8134.5882352941171</v>
      </c>
      <c r="BI158" s="67">
        <v>571988.16612359206</v>
      </c>
      <c r="FE158" s="39">
        <v>40327</v>
      </c>
      <c r="FF158" s="39">
        <v>2164.705882352941</v>
      </c>
      <c r="FG158" s="39">
        <v>1487.0588235294117</v>
      </c>
      <c r="FH158" s="39">
        <v>3651.7647058823527</v>
      </c>
      <c r="FI158" s="39">
        <v>480</v>
      </c>
      <c r="FJ158" s="39" t="e">
        <v>#REF!</v>
      </c>
      <c r="FK158" s="39" t="e">
        <v>#REF!</v>
      </c>
      <c r="FL158" s="39">
        <v>75.294117647058826</v>
      </c>
      <c r="FM158" s="39">
        <v>70.588235294117652</v>
      </c>
      <c r="FN158" s="39" t="e">
        <v>#REF!</v>
      </c>
      <c r="FO158" s="39">
        <v>329.41176470588238</v>
      </c>
      <c r="FP158" s="39" t="e">
        <v>#REF!</v>
      </c>
      <c r="FR158" s="39" t="e">
        <v>#REF!</v>
      </c>
      <c r="FT158" s="39" t="e">
        <v>#REF!</v>
      </c>
      <c r="FU158" s="39" t="e">
        <v>#REF!</v>
      </c>
      <c r="FV158" s="39" t="e">
        <v>#REF!</v>
      </c>
      <c r="FW158" s="39" t="e">
        <v>#REF!</v>
      </c>
    </row>
    <row r="159" spans="1:179" x14ac:dyDescent="0.25">
      <c r="A159" s="142">
        <v>0</v>
      </c>
      <c r="B159" s="85">
        <v>40328</v>
      </c>
      <c r="C159" s="203">
        <v>40328</v>
      </c>
      <c r="D159" s="76">
        <v>39600</v>
      </c>
      <c r="E159" s="77">
        <v>40328</v>
      </c>
      <c r="F159" s="78">
        <v>21</v>
      </c>
      <c r="G159" s="79"/>
      <c r="H159" s="80"/>
      <c r="I159" s="212"/>
      <c r="J159" s="364"/>
      <c r="K159" s="365">
        <v>2604.2352941176468</v>
      </c>
      <c r="L159" s="365">
        <v>124.23529411764706</v>
      </c>
      <c r="M159" s="231">
        <v>2728.4705882352937</v>
      </c>
      <c r="N159" s="231">
        <v>2448</v>
      </c>
      <c r="O159" s="231">
        <v>188.23529411764707</v>
      </c>
      <c r="P159" s="231">
        <v>2636.2352941176468</v>
      </c>
      <c r="Q159" s="231">
        <v>141.1764705882353</v>
      </c>
      <c r="R159" s="231">
        <v>0</v>
      </c>
      <c r="S159" s="231">
        <v>141.1764705882353</v>
      </c>
      <c r="T159" s="231">
        <v>258.8235294117647</v>
      </c>
      <c r="U159" s="231">
        <v>1196.2352941176471</v>
      </c>
      <c r="V159" s="231">
        <v>1455.0588235294117</v>
      </c>
      <c r="W159" s="231">
        <v>2848</v>
      </c>
      <c r="X159" s="231">
        <v>1384.4705882352941</v>
      </c>
      <c r="Y159" s="231">
        <v>4232.4705882352937</v>
      </c>
      <c r="Z159" s="205">
        <v>6960.9411764705883</v>
      </c>
      <c r="AA159" s="231">
        <v>49.694117647058818</v>
      </c>
      <c r="AB159" s="231">
        <v>28.470588235294116</v>
      </c>
      <c r="AC159" s="231">
        <v>78.164705882352933</v>
      </c>
      <c r="AD159" s="231">
        <v>0</v>
      </c>
      <c r="AE159" s="231">
        <v>0</v>
      </c>
      <c r="AF159" s="231">
        <v>0</v>
      </c>
      <c r="AG159" s="231">
        <v>40.658823529411769</v>
      </c>
      <c r="AH159" s="231">
        <v>23.294117647058822</v>
      </c>
      <c r="AI159" s="231">
        <v>63.952941176470588</v>
      </c>
      <c r="AJ159" s="231">
        <v>7.5294117647058822</v>
      </c>
      <c r="AK159" s="231">
        <v>15.058823529411764</v>
      </c>
      <c r="AL159" s="231">
        <v>22.588235294117649</v>
      </c>
      <c r="AM159" s="231">
        <v>48.188235294117646</v>
      </c>
      <c r="AN159" s="231">
        <v>38.352941176470587</v>
      </c>
      <c r="AO159" s="231">
        <v>86.54117647058824</v>
      </c>
      <c r="AP159" s="205">
        <v>164.70588235294119</v>
      </c>
      <c r="AQ159" s="232">
        <v>0</v>
      </c>
      <c r="AR159" s="200">
        <v>2806.6352941176465</v>
      </c>
      <c r="AS159" s="200">
        <v>4319.0117647058823</v>
      </c>
      <c r="AT159" s="66">
        <v>7125.6470588235288</v>
      </c>
      <c r="AU159" s="231">
        <v>28.235294117647058</v>
      </c>
      <c r="AV159" s="231">
        <v>47.058823529411768</v>
      </c>
      <c r="AW159" s="75">
        <v>282.35294117647061</v>
      </c>
      <c r="AX159" s="231">
        <v>376.47058823529414</v>
      </c>
      <c r="AY159" s="66">
        <v>734.11764705882365</v>
      </c>
      <c r="AZ159" s="208">
        <v>0</v>
      </c>
      <c r="BA159" s="86">
        <v>461.1764705882353</v>
      </c>
      <c r="BB159" s="86">
        <v>1053.1764705882354</v>
      </c>
      <c r="BC159" s="86">
        <v>461.1764705882353</v>
      </c>
      <c r="BD159" s="86">
        <v>1053.1764705882354</v>
      </c>
      <c r="BE159" s="86">
        <v>1514.3529411764705</v>
      </c>
      <c r="BF159" s="86">
        <v>357.64705882352939</v>
      </c>
      <c r="BG159" s="209">
        <v>1872</v>
      </c>
      <c r="BH159" s="67">
        <v>9731.7647058823532</v>
      </c>
      <c r="BI159" s="67">
        <v>581719.93082947447</v>
      </c>
      <c r="FN159" s="39" t="e">
        <v>#REF!</v>
      </c>
    </row>
    <row r="160" spans="1:179" x14ac:dyDescent="0.25">
      <c r="A160" s="142">
        <v>0</v>
      </c>
      <c r="B160" s="68">
        <v>40329</v>
      </c>
      <c r="C160" s="198">
        <v>40329</v>
      </c>
      <c r="D160" s="69">
        <v>39601</v>
      </c>
      <c r="E160" s="70">
        <v>40329</v>
      </c>
      <c r="F160" s="71">
        <v>22</v>
      </c>
      <c r="G160" s="72"/>
      <c r="H160" s="82"/>
      <c r="I160" s="210"/>
      <c r="J160" s="210"/>
      <c r="K160" s="235">
        <v>927.05882352941171</v>
      </c>
      <c r="L160" s="235">
        <v>136.47058823529412</v>
      </c>
      <c r="M160" s="235">
        <v>1063.5294117647059</v>
      </c>
      <c r="N160" s="235">
        <v>357.64705882352939</v>
      </c>
      <c r="O160" s="235">
        <v>145.88235294117646</v>
      </c>
      <c r="P160" s="235">
        <v>503.52941176470586</v>
      </c>
      <c r="Q160" s="235">
        <v>3.7647058823529411</v>
      </c>
      <c r="R160" s="235">
        <v>0</v>
      </c>
      <c r="S160" s="235">
        <v>3.7647058823529411</v>
      </c>
      <c r="T160" s="235">
        <v>89.411764705882348</v>
      </c>
      <c r="U160" s="235">
        <v>752.94117647058829</v>
      </c>
      <c r="V160" s="235">
        <v>842.35294117647061</v>
      </c>
      <c r="W160" s="235">
        <v>450.8235294117647</v>
      </c>
      <c r="X160" s="235">
        <v>898.82352941176475</v>
      </c>
      <c r="Y160" s="235">
        <v>1349.6470588235295</v>
      </c>
      <c r="Z160" s="200">
        <v>2413.1764705882351</v>
      </c>
      <c r="AA160" s="235">
        <v>26.4</v>
      </c>
      <c r="AB160" s="235">
        <v>11.905882352941177</v>
      </c>
      <c r="AC160" s="235">
        <v>38.305882352941182</v>
      </c>
      <c r="AD160" s="235">
        <v>0</v>
      </c>
      <c r="AE160" s="235">
        <v>0</v>
      </c>
      <c r="AF160" s="235">
        <v>0</v>
      </c>
      <c r="AG160" s="235">
        <v>21.6</v>
      </c>
      <c r="AH160" s="235">
        <v>9.7411764705882344</v>
      </c>
      <c r="AI160" s="235">
        <v>31.341176470588234</v>
      </c>
      <c r="AJ160" s="235">
        <v>0</v>
      </c>
      <c r="AK160" s="235">
        <v>6.5882352941176467</v>
      </c>
      <c r="AL160" s="235">
        <v>6.5882352941176467</v>
      </c>
      <c r="AM160" s="235">
        <v>21.6</v>
      </c>
      <c r="AN160" s="235">
        <v>16.329411764705885</v>
      </c>
      <c r="AO160" s="235">
        <v>37.929411764705883</v>
      </c>
      <c r="AP160" s="200">
        <v>76.235294117647058</v>
      </c>
      <c r="AQ160" s="141">
        <v>0</v>
      </c>
      <c r="AR160" s="200">
        <v>1101.835294117647</v>
      </c>
      <c r="AS160" s="200">
        <v>1387.5764705882355</v>
      </c>
      <c r="AT160" s="66">
        <v>2489.4117647058824</v>
      </c>
      <c r="AU160" s="235">
        <v>47.058823529411768</v>
      </c>
      <c r="AV160" s="235">
        <v>14.117647058823529</v>
      </c>
      <c r="AW160" s="75">
        <v>216.47058823529412</v>
      </c>
      <c r="AX160" s="235">
        <v>117.64705882352941</v>
      </c>
      <c r="AY160" s="66">
        <v>395.29411764705878</v>
      </c>
      <c r="AZ160" s="202">
        <v>0</v>
      </c>
      <c r="BA160" s="87">
        <v>92.235294117647058</v>
      </c>
      <c r="BB160" s="87">
        <v>682.35294117647061</v>
      </c>
      <c r="BC160" s="87">
        <v>129.88235294117646</v>
      </c>
      <c r="BD160" s="87">
        <v>682.35294117647061</v>
      </c>
      <c r="BE160" s="87">
        <v>812.23529411764707</v>
      </c>
      <c r="BF160" s="87">
        <v>290.8235294117647</v>
      </c>
      <c r="BG160" s="66">
        <v>1103.0588235294117</v>
      </c>
      <c r="BH160" s="67">
        <v>3987.7647058823532</v>
      </c>
      <c r="BI160" s="67">
        <v>585707.69553535688</v>
      </c>
      <c r="FN160" s="39" t="e">
        <v>#REF!</v>
      </c>
    </row>
    <row r="161" spans="1:170" s="230" customFormat="1" x14ac:dyDescent="0.25">
      <c r="A161" s="215"/>
      <c r="B161" s="216"/>
      <c r="C161" s="217"/>
      <c r="D161" s="218"/>
      <c r="E161" s="219"/>
      <c r="F161" s="220"/>
      <c r="G161" s="221"/>
      <c r="H161" s="222"/>
      <c r="I161" s="223"/>
      <c r="J161" s="223"/>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224"/>
      <c r="AJ161" s="224"/>
      <c r="AK161" s="224"/>
      <c r="AL161" s="224"/>
      <c r="AM161" s="224"/>
      <c r="AN161" s="224"/>
      <c r="AO161" s="224"/>
      <c r="AP161" s="224"/>
      <c r="AQ161" s="225"/>
      <c r="AR161" s="226"/>
      <c r="AS161" s="226"/>
      <c r="AT161" s="66">
        <v>0</v>
      </c>
      <c r="AU161" s="224"/>
      <c r="AV161" s="224"/>
      <c r="AW161" s="227"/>
      <c r="AX161" s="224"/>
      <c r="AY161" s="66">
        <v>0</v>
      </c>
      <c r="AZ161" s="224"/>
      <c r="BA161" s="224"/>
      <c r="BB161" s="224"/>
      <c r="BC161" s="224"/>
      <c r="BD161" s="224"/>
      <c r="BE161" s="224"/>
      <c r="BF161" s="224"/>
      <c r="BG161" s="228"/>
      <c r="BH161" s="229"/>
      <c r="BI161" s="229"/>
    </row>
    <row r="162" spans="1:170" x14ac:dyDescent="0.25">
      <c r="A162" s="142">
        <v>0</v>
      </c>
      <c r="B162" s="68">
        <v>40330</v>
      </c>
      <c r="C162" s="198">
        <v>40330</v>
      </c>
      <c r="D162" s="69">
        <v>39602</v>
      </c>
      <c r="E162" s="70">
        <v>40330</v>
      </c>
      <c r="F162" s="71">
        <v>22</v>
      </c>
      <c r="G162" s="72"/>
      <c r="H162" s="82"/>
      <c r="I162" s="210"/>
      <c r="J162" s="210"/>
      <c r="K162" s="235">
        <v>272.94117647058823</v>
      </c>
      <c r="L162" s="235">
        <v>34.823529411764703</v>
      </c>
      <c r="M162" s="235">
        <v>307.76470588235293</v>
      </c>
      <c r="N162" s="235">
        <v>136.47058823529412</v>
      </c>
      <c r="O162" s="235">
        <v>46.117647058823529</v>
      </c>
      <c r="P162" s="235">
        <v>182.58823529411765</v>
      </c>
      <c r="Q162" s="235">
        <v>3.7647058823529411</v>
      </c>
      <c r="R162" s="235">
        <v>0</v>
      </c>
      <c r="S162" s="235">
        <v>3.7647058823529411</v>
      </c>
      <c r="T162" s="235">
        <v>65.882352941176464</v>
      </c>
      <c r="U162" s="235">
        <v>202.35294117647058</v>
      </c>
      <c r="V162" s="235">
        <v>268.23529411764707</v>
      </c>
      <c r="W162" s="235">
        <v>206.11764705882354</v>
      </c>
      <c r="X162" s="235">
        <v>248.47058823529412</v>
      </c>
      <c r="Y162" s="235">
        <v>454.58823529411762</v>
      </c>
      <c r="Z162" s="200">
        <v>762.35294117647061</v>
      </c>
      <c r="AA162" s="235">
        <v>38.823529411764703</v>
      </c>
      <c r="AB162" s="235">
        <v>4.658823529411765</v>
      </c>
      <c r="AC162" s="235">
        <v>43.482352941176472</v>
      </c>
      <c r="AD162" s="235">
        <v>0</v>
      </c>
      <c r="AE162" s="235">
        <v>0</v>
      </c>
      <c r="AF162" s="235">
        <v>0</v>
      </c>
      <c r="AG162" s="235">
        <v>31.764705882352942</v>
      </c>
      <c r="AH162" s="235">
        <v>3.8117647058823527</v>
      </c>
      <c r="AI162" s="235">
        <v>35.576470588235289</v>
      </c>
      <c r="AJ162" s="235">
        <v>3.7647058823529411</v>
      </c>
      <c r="AK162" s="235">
        <v>8.4705882352941178</v>
      </c>
      <c r="AL162" s="235">
        <v>12.235294117647058</v>
      </c>
      <c r="AM162" s="235">
        <v>35.529411764705884</v>
      </c>
      <c r="AN162" s="235">
        <v>12.282352941176471</v>
      </c>
      <c r="AO162" s="235">
        <v>47.811764705882354</v>
      </c>
      <c r="AP162" s="200">
        <v>91.294117647058826</v>
      </c>
      <c r="AQ162" s="141">
        <v>0</v>
      </c>
      <c r="AR162" s="200">
        <v>351.24705882352941</v>
      </c>
      <c r="AS162" s="200">
        <v>502.4</v>
      </c>
      <c r="AT162" s="66">
        <v>853.64705882352939</v>
      </c>
      <c r="AU162" s="235">
        <v>47.058823529411768</v>
      </c>
      <c r="AV162" s="235">
        <v>14.117647058823529</v>
      </c>
      <c r="AW162" s="75">
        <v>28.235294117647058</v>
      </c>
      <c r="AX162" s="235">
        <v>47.058823529411768</v>
      </c>
      <c r="AY162" s="66">
        <v>136.47058823529412</v>
      </c>
      <c r="AZ162" s="202">
        <v>0</v>
      </c>
      <c r="BA162" s="87">
        <v>127.05882352941177</v>
      </c>
      <c r="BB162" s="87">
        <v>73.411764705882348</v>
      </c>
      <c r="BC162" s="87">
        <v>127.05882352941177</v>
      </c>
      <c r="BD162" s="87">
        <v>73.411764705882348</v>
      </c>
      <c r="BE162" s="87">
        <v>200.47058823529412</v>
      </c>
      <c r="BF162" s="87">
        <v>240</v>
      </c>
      <c r="BG162" s="66">
        <v>440.47058823529414</v>
      </c>
      <c r="BH162" s="67">
        <v>1430.5882352941176</v>
      </c>
      <c r="BI162" s="67">
        <v>587138.28377065097</v>
      </c>
      <c r="FN162" s="39" t="e">
        <v>#REF!</v>
      </c>
    </row>
    <row r="163" spans="1:170" x14ac:dyDescent="0.25">
      <c r="A163" s="142">
        <v>0</v>
      </c>
      <c r="B163" s="68">
        <v>40331</v>
      </c>
      <c r="C163" s="198">
        <v>40331</v>
      </c>
      <c r="D163" s="69">
        <v>39603</v>
      </c>
      <c r="E163" s="70">
        <v>40331</v>
      </c>
      <c r="F163" s="71">
        <v>22</v>
      </c>
      <c r="G163" s="72"/>
      <c r="H163" s="82"/>
      <c r="I163" s="210"/>
      <c r="J163" s="210"/>
      <c r="K163" s="235">
        <v>189.1764705882353</v>
      </c>
      <c r="L163" s="235">
        <v>40.470588235294116</v>
      </c>
      <c r="M163" s="235">
        <v>229.64705882352942</v>
      </c>
      <c r="N163" s="235">
        <v>164.70588235294119</v>
      </c>
      <c r="O163" s="235">
        <v>42.352941176470587</v>
      </c>
      <c r="P163" s="235">
        <v>207.05882352941177</v>
      </c>
      <c r="Q163" s="235">
        <v>11.294117647058824</v>
      </c>
      <c r="R163" s="235">
        <v>0</v>
      </c>
      <c r="S163" s="235">
        <v>11.294117647058824</v>
      </c>
      <c r="T163" s="235">
        <v>52.705882352941174</v>
      </c>
      <c r="U163" s="235">
        <v>230.58823529411765</v>
      </c>
      <c r="V163" s="235">
        <v>283.29411764705884</v>
      </c>
      <c r="W163" s="235">
        <v>228.70588235294119</v>
      </c>
      <c r="X163" s="235">
        <v>272.94117647058823</v>
      </c>
      <c r="Y163" s="235">
        <v>501.64705882352939</v>
      </c>
      <c r="Z163" s="200">
        <v>731.29411764705878</v>
      </c>
      <c r="AA163" s="235">
        <v>37.27058823529412</v>
      </c>
      <c r="AB163" s="235">
        <v>4.658823529411765</v>
      </c>
      <c r="AC163" s="235">
        <v>41.92941176470589</v>
      </c>
      <c r="AD163" s="235">
        <v>0</v>
      </c>
      <c r="AE163" s="235">
        <v>0</v>
      </c>
      <c r="AF163" s="235">
        <v>0</v>
      </c>
      <c r="AG163" s="235">
        <v>30.494117647058822</v>
      </c>
      <c r="AH163" s="235">
        <v>3.8117647058823527</v>
      </c>
      <c r="AI163" s="235">
        <v>34.305882352941175</v>
      </c>
      <c r="AJ163" s="235">
        <v>10.352941176470589</v>
      </c>
      <c r="AK163" s="235">
        <v>20.705882352941178</v>
      </c>
      <c r="AL163" s="235">
        <v>31.058823529411764</v>
      </c>
      <c r="AM163" s="235">
        <v>40.847058823529409</v>
      </c>
      <c r="AN163" s="235">
        <v>24.517647058823531</v>
      </c>
      <c r="AO163" s="235">
        <v>65.364705882352951</v>
      </c>
      <c r="AP163" s="200">
        <v>107.29411764705883</v>
      </c>
      <c r="AQ163" s="141">
        <v>0</v>
      </c>
      <c r="AR163" s="200">
        <v>271.57647058823534</v>
      </c>
      <c r="AS163" s="200">
        <v>567.01176470588234</v>
      </c>
      <c r="AT163" s="66">
        <v>838.58823529411768</v>
      </c>
      <c r="AU163" s="235">
        <v>47.058823529411768</v>
      </c>
      <c r="AV163" s="235">
        <v>18.823529411764707</v>
      </c>
      <c r="AW163" s="75">
        <v>18.823529411764707</v>
      </c>
      <c r="AX163" s="235">
        <v>37.647058823529413</v>
      </c>
      <c r="AY163" s="66">
        <v>122.35294117647061</v>
      </c>
      <c r="AZ163" s="202">
        <v>0</v>
      </c>
      <c r="BA163" s="87">
        <v>186.35294117647058</v>
      </c>
      <c r="BB163" s="87">
        <v>94.117647058823536</v>
      </c>
      <c r="BC163" s="87">
        <v>186.35294117647058</v>
      </c>
      <c r="BD163" s="87">
        <v>94.117647058823536</v>
      </c>
      <c r="BE163" s="87">
        <v>280.47058823529414</v>
      </c>
      <c r="BF163" s="87">
        <v>1237.6470588235295</v>
      </c>
      <c r="BG163" s="66">
        <v>1518.1176470588236</v>
      </c>
      <c r="BH163" s="67">
        <v>2479.0588235294117</v>
      </c>
      <c r="BI163" s="67">
        <v>589617.34259418037</v>
      </c>
      <c r="FN163" s="39" t="e">
        <v>#REF!</v>
      </c>
    </row>
    <row r="164" spans="1:170" x14ac:dyDescent="0.25">
      <c r="A164" s="142">
        <v>0</v>
      </c>
      <c r="B164" s="68">
        <v>40332</v>
      </c>
      <c r="C164" s="198">
        <v>40332</v>
      </c>
      <c r="D164" s="69">
        <v>39604</v>
      </c>
      <c r="E164" s="70">
        <v>40332</v>
      </c>
      <c r="F164" s="71">
        <v>22</v>
      </c>
      <c r="G164" s="72"/>
      <c r="H164" s="82"/>
      <c r="I164" s="210"/>
      <c r="J164" s="210"/>
      <c r="K164" s="235">
        <v>207.05882352941177</v>
      </c>
      <c r="L164" s="235">
        <v>32.941176470588232</v>
      </c>
      <c r="M164" s="235">
        <v>240</v>
      </c>
      <c r="N164" s="235">
        <v>225.88235294117646</v>
      </c>
      <c r="O164" s="235">
        <v>42.352941176470587</v>
      </c>
      <c r="P164" s="235">
        <v>268.23529411764707</v>
      </c>
      <c r="Q164" s="235">
        <v>32.941176470588232</v>
      </c>
      <c r="R164" s="235">
        <v>0</v>
      </c>
      <c r="S164" s="235">
        <v>32.941176470588232</v>
      </c>
      <c r="T164" s="235">
        <v>47.058823529411768</v>
      </c>
      <c r="U164" s="235">
        <v>216.47058823529412</v>
      </c>
      <c r="V164" s="235">
        <v>263.52941176470586</v>
      </c>
      <c r="W164" s="235">
        <v>305.88235294117646</v>
      </c>
      <c r="X164" s="235">
        <v>258.8235294117647</v>
      </c>
      <c r="Y164" s="235">
        <v>564.70588235294122</v>
      </c>
      <c r="Z164" s="200">
        <v>804.70588235294122</v>
      </c>
      <c r="AA164" s="235">
        <v>33.647058823529413</v>
      </c>
      <c r="AB164" s="235">
        <v>3.1058823529411761</v>
      </c>
      <c r="AC164" s="235">
        <v>36.752941176470586</v>
      </c>
      <c r="AD164" s="235">
        <v>0</v>
      </c>
      <c r="AE164" s="235">
        <v>0</v>
      </c>
      <c r="AF164" s="235">
        <v>0</v>
      </c>
      <c r="AG164" s="235">
        <v>27.529411764705884</v>
      </c>
      <c r="AH164" s="235">
        <v>2.5411764705882356</v>
      </c>
      <c r="AI164" s="235">
        <v>30.070588235294117</v>
      </c>
      <c r="AJ164" s="235">
        <v>4.7058823529411766</v>
      </c>
      <c r="AK164" s="235">
        <v>22.588235294117649</v>
      </c>
      <c r="AL164" s="235">
        <v>27.294117647058822</v>
      </c>
      <c r="AM164" s="235">
        <v>32.235294117647058</v>
      </c>
      <c r="AN164" s="235">
        <v>25.129411764705882</v>
      </c>
      <c r="AO164" s="235">
        <v>57.364705882352943</v>
      </c>
      <c r="AP164" s="200">
        <v>94.117647058823536</v>
      </c>
      <c r="AQ164" s="141">
        <v>0</v>
      </c>
      <c r="AR164" s="200">
        <v>276.75294117647059</v>
      </c>
      <c r="AS164" s="200">
        <v>622.07058823529417</v>
      </c>
      <c r="AT164" s="66">
        <v>898.82352941176475</v>
      </c>
      <c r="AU164" s="235">
        <v>47.058823529411768</v>
      </c>
      <c r="AV164" s="235">
        <v>18.823529411764707</v>
      </c>
      <c r="AW164" s="75">
        <v>376.47058823529414</v>
      </c>
      <c r="AX164" s="235">
        <v>28.235294117647058</v>
      </c>
      <c r="AY164" s="66">
        <v>470.58823529411768</v>
      </c>
      <c r="AZ164" s="202">
        <v>0</v>
      </c>
      <c r="BA164" s="87">
        <v>223.05882352941177</v>
      </c>
      <c r="BB164" s="87">
        <v>189.1764705882353</v>
      </c>
      <c r="BC164" s="87">
        <v>245.64705882352942</v>
      </c>
      <c r="BD164" s="87">
        <v>189.1764705882353</v>
      </c>
      <c r="BE164" s="87">
        <v>434.8235294117647</v>
      </c>
      <c r="BF164" s="87">
        <v>1253.6470588235295</v>
      </c>
      <c r="BG164" s="66">
        <v>1688.4705882352941</v>
      </c>
      <c r="BH164" s="67">
        <v>3057.8823529411766</v>
      </c>
      <c r="BI164" s="67">
        <v>592675.22494712158</v>
      </c>
    </row>
    <row r="165" spans="1:170" x14ac:dyDescent="0.25">
      <c r="A165" s="142">
        <v>0</v>
      </c>
      <c r="B165" s="68">
        <v>40333</v>
      </c>
      <c r="C165" s="198">
        <v>40333</v>
      </c>
      <c r="D165" s="69">
        <v>39605</v>
      </c>
      <c r="E165" s="70">
        <v>40333</v>
      </c>
      <c r="F165" s="71">
        <v>22</v>
      </c>
      <c r="G165" s="72"/>
      <c r="H165" s="82"/>
      <c r="I165" s="210"/>
      <c r="J165" s="210"/>
      <c r="K165" s="235">
        <v>206.11764705882354</v>
      </c>
      <c r="L165" s="235">
        <v>47.058823529411768</v>
      </c>
      <c r="M165" s="235">
        <v>253.1764705882353</v>
      </c>
      <c r="N165" s="235">
        <v>225.88235294117646</v>
      </c>
      <c r="O165" s="235">
        <v>56.470588235294116</v>
      </c>
      <c r="P165" s="235">
        <v>282.35294117647061</v>
      </c>
      <c r="Q165" s="235">
        <v>0</v>
      </c>
      <c r="R165" s="235">
        <v>0</v>
      </c>
      <c r="S165" s="235">
        <v>0</v>
      </c>
      <c r="T165" s="235">
        <v>70.588235294117652</v>
      </c>
      <c r="U165" s="235">
        <v>141.1764705882353</v>
      </c>
      <c r="V165" s="235">
        <v>211.76470588235293</v>
      </c>
      <c r="W165" s="235">
        <v>296.47058823529414</v>
      </c>
      <c r="X165" s="235">
        <v>197.64705882352942</v>
      </c>
      <c r="Y165" s="235">
        <v>494.11764705882354</v>
      </c>
      <c r="Z165" s="200">
        <v>747.29411764705878</v>
      </c>
      <c r="AA165" s="235">
        <v>20.705882352941178</v>
      </c>
      <c r="AB165" s="235">
        <v>3.6235294117647059</v>
      </c>
      <c r="AC165" s="235">
        <v>24.329411764705885</v>
      </c>
      <c r="AD165" s="235">
        <v>0</v>
      </c>
      <c r="AE165" s="235">
        <v>0</v>
      </c>
      <c r="AF165" s="235">
        <v>0</v>
      </c>
      <c r="AG165" s="235">
        <v>16.941176470588236</v>
      </c>
      <c r="AH165" s="235">
        <v>2.9647058823529413</v>
      </c>
      <c r="AI165" s="235">
        <v>19.905882352941177</v>
      </c>
      <c r="AJ165" s="235">
        <v>4.7058823529411766</v>
      </c>
      <c r="AK165" s="235">
        <v>21.647058823529413</v>
      </c>
      <c r="AL165" s="235">
        <v>26.352941176470587</v>
      </c>
      <c r="AM165" s="235">
        <v>21.647058823529413</v>
      </c>
      <c r="AN165" s="235">
        <v>24.611764705882351</v>
      </c>
      <c r="AO165" s="235">
        <v>46.258823529411764</v>
      </c>
      <c r="AP165" s="200">
        <v>70.588235294117652</v>
      </c>
      <c r="AQ165" s="141">
        <v>0</v>
      </c>
      <c r="AR165" s="200">
        <v>277.50588235294117</v>
      </c>
      <c r="AS165" s="200">
        <v>540.37647058823529</v>
      </c>
      <c r="AT165" s="66">
        <v>817.88235294117646</v>
      </c>
      <c r="AU165" s="235">
        <v>56.470588235294116</v>
      </c>
      <c r="AV165" s="235">
        <v>9.4117647058823533</v>
      </c>
      <c r="AW165" s="75">
        <v>800</v>
      </c>
      <c r="AX165" s="235">
        <v>75.294117647058826</v>
      </c>
      <c r="AY165" s="66">
        <v>941.17647058823525</v>
      </c>
      <c r="AZ165" s="202">
        <v>0</v>
      </c>
      <c r="BA165" s="87">
        <v>98.82352941176471</v>
      </c>
      <c r="BB165" s="87">
        <v>114.82352941176471</v>
      </c>
      <c r="BC165" s="87">
        <v>98.82352941176471</v>
      </c>
      <c r="BD165" s="87">
        <v>114.82352941176471</v>
      </c>
      <c r="BE165" s="87">
        <v>213.64705882352942</v>
      </c>
      <c r="BF165" s="87">
        <v>2365.1764705882351</v>
      </c>
      <c r="BG165" s="66">
        <v>2578.8235294117644</v>
      </c>
      <c r="BH165" s="67">
        <v>4337.8823529411757</v>
      </c>
      <c r="BI165" s="67">
        <v>597013.10730006278</v>
      </c>
    </row>
    <row r="166" spans="1:170" x14ac:dyDescent="0.25">
      <c r="A166" s="142">
        <v>0</v>
      </c>
      <c r="B166" s="85">
        <v>40334</v>
      </c>
      <c r="C166" s="203">
        <v>40334</v>
      </c>
      <c r="D166" s="76">
        <v>39606</v>
      </c>
      <c r="E166" s="77">
        <v>40334</v>
      </c>
      <c r="F166" s="78">
        <v>22</v>
      </c>
      <c r="G166" s="79"/>
      <c r="H166" s="80"/>
      <c r="I166" s="212"/>
      <c r="J166" s="212"/>
      <c r="K166" s="231">
        <v>1076.7058823529412</v>
      </c>
      <c r="L166" s="231">
        <v>145.88235294117646</v>
      </c>
      <c r="M166" s="231">
        <v>1222.5882352941176</v>
      </c>
      <c r="N166" s="231">
        <v>941.17647058823525</v>
      </c>
      <c r="O166" s="231">
        <v>70.588235294117652</v>
      </c>
      <c r="P166" s="231">
        <v>1011.7647058823529</v>
      </c>
      <c r="Q166" s="231">
        <v>37.647058823529413</v>
      </c>
      <c r="R166" s="231">
        <v>0</v>
      </c>
      <c r="S166" s="231">
        <v>37.647058823529413</v>
      </c>
      <c r="T166" s="231">
        <v>95.058823529411768</v>
      </c>
      <c r="U166" s="231">
        <v>581.64705882352939</v>
      </c>
      <c r="V166" s="231">
        <v>676.70588235294122</v>
      </c>
      <c r="W166" s="231">
        <v>1073.8823529411766</v>
      </c>
      <c r="X166" s="231">
        <v>652.23529411764707</v>
      </c>
      <c r="Y166" s="231">
        <v>1726.1176470588234</v>
      </c>
      <c r="Z166" s="205">
        <v>2948.705882352941</v>
      </c>
      <c r="AA166" s="231">
        <v>34.682352941176475</v>
      </c>
      <c r="AB166" s="231">
        <v>5.6941176470588237</v>
      </c>
      <c r="AC166" s="231">
        <v>40.376470588235293</v>
      </c>
      <c r="AD166" s="231">
        <v>0</v>
      </c>
      <c r="AE166" s="231">
        <v>0</v>
      </c>
      <c r="AF166" s="231">
        <v>0</v>
      </c>
      <c r="AG166" s="231">
        <v>28.376470588235293</v>
      </c>
      <c r="AH166" s="231">
        <v>4.658823529411765</v>
      </c>
      <c r="AI166" s="231">
        <v>33.035294117647062</v>
      </c>
      <c r="AJ166" s="231">
        <v>15.058823529411764</v>
      </c>
      <c r="AK166" s="231">
        <v>20.705882352941178</v>
      </c>
      <c r="AL166" s="231">
        <v>35.764705882352942</v>
      </c>
      <c r="AM166" s="231">
        <v>43.435294117647061</v>
      </c>
      <c r="AN166" s="231">
        <v>25.36470588235294</v>
      </c>
      <c r="AO166" s="231">
        <v>68.8</v>
      </c>
      <c r="AP166" s="205">
        <v>109.17647058823529</v>
      </c>
      <c r="AQ166" s="232">
        <v>0</v>
      </c>
      <c r="AR166" s="200">
        <v>1262.964705882353</v>
      </c>
      <c r="AS166" s="200">
        <v>1794.9176470588234</v>
      </c>
      <c r="AT166" s="66">
        <v>3057.8823529411766</v>
      </c>
      <c r="AU166" s="231">
        <v>112.94117647058823</v>
      </c>
      <c r="AV166" s="231">
        <v>47.058823529411768</v>
      </c>
      <c r="AW166" s="75">
        <v>423.52941176470586</v>
      </c>
      <c r="AX166" s="452">
        <v>971</v>
      </c>
      <c r="AY166" s="66">
        <v>1554.5294117647059</v>
      </c>
      <c r="AZ166" s="208">
        <v>0</v>
      </c>
      <c r="BA166" s="86">
        <v>1488.9411764705883</v>
      </c>
      <c r="BB166" s="86">
        <v>531.76470588235293</v>
      </c>
      <c r="BC166" s="86">
        <v>1488.9411764705883</v>
      </c>
      <c r="BD166" s="86">
        <v>531.76470588235293</v>
      </c>
      <c r="BE166" s="86">
        <v>2020.7058823529412</v>
      </c>
      <c r="BF166" s="86">
        <v>1684.7058823529412</v>
      </c>
      <c r="BG166" s="209">
        <v>3705.4117647058824</v>
      </c>
      <c r="BH166" s="67">
        <v>8317.8235294117658</v>
      </c>
      <c r="BI166" s="67">
        <v>605330.93082947459</v>
      </c>
    </row>
    <row r="167" spans="1:170" x14ac:dyDescent="0.25">
      <c r="A167" s="142">
        <v>0</v>
      </c>
      <c r="B167" s="85">
        <v>40335</v>
      </c>
      <c r="C167" s="203">
        <v>40335</v>
      </c>
      <c r="D167" s="76">
        <v>39607</v>
      </c>
      <c r="E167" s="77">
        <v>40335</v>
      </c>
      <c r="F167" s="78">
        <v>22</v>
      </c>
      <c r="G167" s="79"/>
      <c r="H167" s="80"/>
      <c r="I167" s="212"/>
      <c r="J167" s="212"/>
      <c r="K167" s="231">
        <v>553.41176470588232</v>
      </c>
      <c r="L167" s="231">
        <v>124.23529411764706</v>
      </c>
      <c r="M167" s="231">
        <v>677.64705882352939</v>
      </c>
      <c r="N167" s="231">
        <v>376.47058823529414</v>
      </c>
      <c r="O167" s="231">
        <v>65.882352941176464</v>
      </c>
      <c r="P167" s="231">
        <v>442.35294117647061</v>
      </c>
      <c r="Q167" s="231">
        <v>3.7647058823529411</v>
      </c>
      <c r="R167" s="231">
        <v>0</v>
      </c>
      <c r="S167" s="231">
        <v>3.7647058823529411</v>
      </c>
      <c r="T167" s="231">
        <v>47.058823529411768</v>
      </c>
      <c r="U167" s="231">
        <v>565.64705882352939</v>
      </c>
      <c r="V167" s="231">
        <v>612.70588235294122</v>
      </c>
      <c r="W167" s="231">
        <v>427.29411764705884</v>
      </c>
      <c r="X167" s="231">
        <v>631.52941176470586</v>
      </c>
      <c r="Y167" s="231">
        <v>1058.8235294117646</v>
      </c>
      <c r="Z167" s="205">
        <v>1736.4705882352941</v>
      </c>
      <c r="AA167" s="231">
        <v>28.470588235294116</v>
      </c>
      <c r="AB167" s="231">
        <v>5.1764705882352944</v>
      </c>
      <c r="AC167" s="231">
        <v>33.647058823529413</v>
      </c>
      <c r="AD167" s="231">
        <v>0</v>
      </c>
      <c r="AE167" s="231">
        <v>0</v>
      </c>
      <c r="AF167" s="231">
        <v>0</v>
      </c>
      <c r="AG167" s="231">
        <v>23.294117647058822</v>
      </c>
      <c r="AH167" s="231">
        <v>4.2352941176470589</v>
      </c>
      <c r="AI167" s="231">
        <v>27.529411764705884</v>
      </c>
      <c r="AJ167" s="231">
        <v>2.8235294117647061</v>
      </c>
      <c r="AK167" s="231">
        <v>7.5294117647058822</v>
      </c>
      <c r="AL167" s="231">
        <v>10.352941176470589</v>
      </c>
      <c r="AM167" s="231">
        <v>26.117647058823529</v>
      </c>
      <c r="AN167" s="231">
        <v>11.764705882352942</v>
      </c>
      <c r="AO167" s="231">
        <v>37.882352941176471</v>
      </c>
      <c r="AP167" s="205">
        <v>71.529411764705884</v>
      </c>
      <c r="AQ167" s="232">
        <v>0</v>
      </c>
      <c r="AR167" s="200">
        <v>711.29411764705878</v>
      </c>
      <c r="AS167" s="200">
        <v>1096.7058823529412</v>
      </c>
      <c r="AT167" s="66">
        <v>1808</v>
      </c>
      <c r="AU167" s="231">
        <v>47.058823529411768</v>
      </c>
      <c r="AV167" s="231">
        <v>56.470588235294116</v>
      </c>
      <c r="AW167" s="75">
        <v>0</v>
      </c>
      <c r="AX167" s="231">
        <v>122.35294117647059</v>
      </c>
      <c r="AY167" s="66">
        <v>225.88235294117646</v>
      </c>
      <c r="AZ167" s="208">
        <v>0</v>
      </c>
      <c r="BA167" s="86">
        <v>395.29411764705884</v>
      </c>
      <c r="BB167" s="86">
        <v>1058.8235294117646</v>
      </c>
      <c r="BC167" s="86">
        <v>395.29411764705884</v>
      </c>
      <c r="BD167" s="86">
        <v>1058.8235294117646</v>
      </c>
      <c r="BE167" s="86">
        <v>1454.1176470588234</v>
      </c>
      <c r="BF167" s="86">
        <v>530.82352941176475</v>
      </c>
      <c r="BG167" s="209">
        <v>1984.9411764705883</v>
      </c>
      <c r="BH167" s="67">
        <v>4018.8235294117649</v>
      </c>
      <c r="BI167" s="67">
        <v>609349.75435888639</v>
      </c>
    </row>
    <row r="168" spans="1:170" x14ac:dyDescent="0.25">
      <c r="A168" s="142">
        <v>0</v>
      </c>
      <c r="B168" s="68">
        <v>40336</v>
      </c>
      <c r="C168" s="198">
        <v>40336</v>
      </c>
      <c r="D168" s="69">
        <v>39608</v>
      </c>
      <c r="E168" s="70">
        <v>40336</v>
      </c>
      <c r="F168" s="71">
        <v>23</v>
      </c>
      <c r="G168" s="72"/>
      <c r="H168" s="82"/>
      <c r="I168" s="210"/>
      <c r="J168" s="210"/>
      <c r="K168" s="235">
        <v>208.94117647058823</v>
      </c>
      <c r="L168" s="235">
        <v>27.294117647058822</v>
      </c>
      <c r="M168" s="235">
        <v>236.23529411764704</v>
      </c>
      <c r="N168" s="235">
        <v>119.52941176470588</v>
      </c>
      <c r="O168" s="235">
        <v>20.705882352941178</v>
      </c>
      <c r="P168" s="235">
        <v>140.23529411764707</v>
      </c>
      <c r="Q168" s="235">
        <v>12.235294117647058</v>
      </c>
      <c r="R168" s="235">
        <v>0</v>
      </c>
      <c r="S168" s="235">
        <v>12.235294117647058</v>
      </c>
      <c r="T168" s="235">
        <v>58.352941176470587</v>
      </c>
      <c r="U168" s="235">
        <v>149.64705882352942</v>
      </c>
      <c r="V168" s="235">
        <v>208</v>
      </c>
      <c r="W168" s="235">
        <v>190.11764705882354</v>
      </c>
      <c r="X168" s="235">
        <v>170.35294117647058</v>
      </c>
      <c r="Y168" s="235">
        <v>360.47058823529414</v>
      </c>
      <c r="Z168" s="200">
        <v>596.70588235294122</v>
      </c>
      <c r="AA168" s="235">
        <v>36.235294117647058</v>
      </c>
      <c r="AB168" s="235">
        <v>4.658823529411765</v>
      </c>
      <c r="AC168" s="235">
        <v>40.894117647058827</v>
      </c>
      <c r="AD168" s="235">
        <v>0</v>
      </c>
      <c r="AE168" s="235">
        <v>0</v>
      </c>
      <c r="AF168" s="235">
        <v>0</v>
      </c>
      <c r="AG168" s="235">
        <v>29.647058823529413</v>
      </c>
      <c r="AH168" s="235">
        <v>3.8117647058823527</v>
      </c>
      <c r="AI168" s="235">
        <v>33.45882352941176</v>
      </c>
      <c r="AJ168" s="235">
        <v>7.5294117647058822</v>
      </c>
      <c r="AK168" s="235">
        <v>12.235294117647058</v>
      </c>
      <c r="AL168" s="235">
        <v>19.764705882352942</v>
      </c>
      <c r="AM168" s="235">
        <v>37.176470588235297</v>
      </c>
      <c r="AN168" s="235">
        <v>16.047058823529412</v>
      </c>
      <c r="AO168" s="235">
        <v>53.223529411764702</v>
      </c>
      <c r="AP168" s="200">
        <v>94.117647058823536</v>
      </c>
      <c r="AQ168" s="141">
        <v>0</v>
      </c>
      <c r="AR168" s="200">
        <v>277.12941176470588</v>
      </c>
      <c r="AS168" s="200">
        <v>413.69411764705887</v>
      </c>
      <c r="AT168" s="66">
        <v>690.82352941176475</v>
      </c>
      <c r="AU168" s="235">
        <v>47.058823529411768</v>
      </c>
      <c r="AV168" s="235">
        <v>14.117647058823529</v>
      </c>
      <c r="AW168" s="75">
        <v>1129.4117647058824</v>
      </c>
      <c r="AX168" s="235">
        <v>32.941176470588232</v>
      </c>
      <c r="AY168" s="66">
        <v>1223.5294117647061</v>
      </c>
      <c r="AZ168" s="202">
        <v>0</v>
      </c>
      <c r="BA168" s="87">
        <v>53.647058823529413</v>
      </c>
      <c r="BB168" s="87">
        <v>0</v>
      </c>
      <c r="BC168" s="87">
        <v>76.235294117647058</v>
      </c>
      <c r="BD168" s="87">
        <v>0</v>
      </c>
      <c r="BE168" s="87">
        <v>76.235294117647058</v>
      </c>
      <c r="BF168" s="87">
        <v>150.58823529411765</v>
      </c>
      <c r="BG168" s="66">
        <v>226.8235294117647</v>
      </c>
      <c r="BH168" s="67">
        <v>2141.1764705882356</v>
      </c>
      <c r="BI168" s="67">
        <v>611490.93082947459</v>
      </c>
    </row>
    <row r="169" spans="1:170" x14ac:dyDescent="0.25">
      <c r="A169" s="142">
        <v>0</v>
      </c>
      <c r="B169" s="68">
        <v>40337</v>
      </c>
      <c r="C169" s="198">
        <v>40337</v>
      </c>
      <c r="D169" s="69">
        <v>39609</v>
      </c>
      <c r="E169" s="70">
        <v>40337</v>
      </c>
      <c r="F169" s="71">
        <v>23</v>
      </c>
      <c r="G169" s="72"/>
      <c r="H169" s="82"/>
      <c r="I169" s="210"/>
      <c r="J169" s="210"/>
      <c r="K169" s="235">
        <v>284.23529411764707</v>
      </c>
      <c r="L169" s="235">
        <v>36.705882352941174</v>
      </c>
      <c r="M169" s="235">
        <v>320.94117647058823</v>
      </c>
      <c r="N169" s="235">
        <v>135.52941176470588</v>
      </c>
      <c r="O169" s="235">
        <v>18.823529411764707</v>
      </c>
      <c r="P169" s="235">
        <v>154.35294117647058</v>
      </c>
      <c r="Q169" s="235">
        <v>26.352941176470587</v>
      </c>
      <c r="R169" s="235">
        <v>0</v>
      </c>
      <c r="S169" s="235">
        <v>26.352941176470587</v>
      </c>
      <c r="T169" s="235">
        <v>39.529411764705884</v>
      </c>
      <c r="U169" s="235">
        <v>217.41176470588235</v>
      </c>
      <c r="V169" s="235">
        <v>256.94117647058823</v>
      </c>
      <c r="W169" s="235">
        <v>201.41176470588235</v>
      </c>
      <c r="X169" s="235">
        <v>236.23529411764707</v>
      </c>
      <c r="Y169" s="235">
        <v>437.64705882352939</v>
      </c>
      <c r="Z169" s="200">
        <v>758.58823529411768</v>
      </c>
      <c r="AA169" s="235">
        <v>36.752941176470586</v>
      </c>
      <c r="AB169" s="235">
        <v>8.2823529411764714</v>
      </c>
      <c r="AC169" s="235">
        <v>45.035294117647055</v>
      </c>
      <c r="AD169" s="235">
        <v>0</v>
      </c>
      <c r="AE169" s="235">
        <v>0</v>
      </c>
      <c r="AF169" s="235">
        <v>0</v>
      </c>
      <c r="AG169" s="235">
        <v>30.070588235294117</v>
      </c>
      <c r="AH169" s="235">
        <v>6.776470588235294</v>
      </c>
      <c r="AI169" s="235">
        <v>36.847058823529409</v>
      </c>
      <c r="AJ169" s="235">
        <v>14.117647058823529</v>
      </c>
      <c r="AK169" s="235">
        <v>14.117647058823529</v>
      </c>
      <c r="AL169" s="235">
        <v>28.235294117647058</v>
      </c>
      <c r="AM169" s="235">
        <v>44.188235294117646</v>
      </c>
      <c r="AN169" s="235">
        <v>20.894117647058824</v>
      </c>
      <c r="AO169" s="235">
        <v>65.082352941176481</v>
      </c>
      <c r="AP169" s="200">
        <v>110.11764705882354</v>
      </c>
      <c r="AQ169" s="141">
        <v>0</v>
      </c>
      <c r="AR169" s="200">
        <v>365.97647058823532</v>
      </c>
      <c r="AS169" s="200">
        <v>502.7294117647059</v>
      </c>
      <c r="AT169" s="66">
        <v>868.70588235294122</v>
      </c>
      <c r="AU169" s="235">
        <v>47.058823529411768</v>
      </c>
      <c r="AV169" s="235">
        <v>14.117647058823529</v>
      </c>
      <c r="AW169" s="75">
        <v>28.235294117647058</v>
      </c>
      <c r="AX169" s="235">
        <v>56.470588235294116</v>
      </c>
      <c r="AY169" s="66">
        <v>145.88235294117646</v>
      </c>
      <c r="AZ169" s="202">
        <v>0</v>
      </c>
      <c r="BA169" s="87">
        <v>35.764705882352942</v>
      </c>
      <c r="BB169" s="87">
        <v>0</v>
      </c>
      <c r="BC169" s="87">
        <v>101.64705882352941</v>
      </c>
      <c r="BD169" s="87">
        <v>0</v>
      </c>
      <c r="BE169" s="87">
        <v>101.64705882352941</v>
      </c>
      <c r="BF169" s="87">
        <v>1308.2352941176471</v>
      </c>
      <c r="BG169" s="66">
        <v>1409.8823529411766</v>
      </c>
      <c r="BH169" s="67">
        <v>2424.4705882352946</v>
      </c>
      <c r="BI169" s="67">
        <v>613915.40141770989</v>
      </c>
    </row>
    <row r="170" spans="1:170" x14ac:dyDescent="0.25">
      <c r="A170" s="142">
        <v>0</v>
      </c>
      <c r="B170" s="68">
        <v>40338</v>
      </c>
      <c r="C170" s="198">
        <v>40338</v>
      </c>
      <c r="D170" s="69">
        <v>39610</v>
      </c>
      <c r="E170" s="70">
        <v>40338</v>
      </c>
      <c r="F170" s="71">
        <v>23</v>
      </c>
      <c r="G170" s="72"/>
      <c r="H170" s="82"/>
      <c r="I170" s="210"/>
      <c r="J170" s="210"/>
      <c r="K170" s="235">
        <v>325.64705882352939</v>
      </c>
      <c r="L170" s="235">
        <v>44.235294117647058</v>
      </c>
      <c r="M170" s="235">
        <v>369.88235294117646</v>
      </c>
      <c r="N170" s="235">
        <v>158.11764705882354</v>
      </c>
      <c r="O170" s="235">
        <v>22.588235294117649</v>
      </c>
      <c r="P170" s="235">
        <v>180.70588235294119</v>
      </c>
      <c r="Q170" s="235">
        <v>34.823529411764703</v>
      </c>
      <c r="R170" s="235">
        <v>0</v>
      </c>
      <c r="S170" s="235">
        <v>34.823529411764703</v>
      </c>
      <c r="T170" s="235">
        <v>49.882352941176471</v>
      </c>
      <c r="U170" s="235">
        <v>188.23529411764707</v>
      </c>
      <c r="V170" s="235">
        <v>238.11764705882354</v>
      </c>
      <c r="W170" s="235">
        <v>242.8235294117647</v>
      </c>
      <c r="X170" s="235">
        <v>210.8235294117647</v>
      </c>
      <c r="Y170" s="235">
        <v>453.64705882352939</v>
      </c>
      <c r="Z170" s="200">
        <v>823.52941176470586</v>
      </c>
      <c r="AA170" s="235">
        <v>31.576470588235292</v>
      </c>
      <c r="AB170" s="235">
        <v>4.658823529411765</v>
      </c>
      <c r="AC170" s="235">
        <v>36.235294117647058</v>
      </c>
      <c r="AD170" s="235">
        <v>0</v>
      </c>
      <c r="AE170" s="235">
        <v>0</v>
      </c>
      <c r="AF170" s="235">
        <v>0</v>
      </c>
      <c r="AG170" s="235">
        <v>25.835294117647059</v>
      </c>
      <c r="AH170" s="235">
        <v>3.8117647058823527</v>
      </c>
      <c r="AI170" s="235">
        <v>29.647058823529413</v>
      </c>
      <c r="AJ170" s="235">
        <v>0</v>
      </c>
      <c r="AK170" s="235">
        <v>14.117647058823529</v>
      </c>
      <c r="AL170" s="235">
        <v>14.117647058823529</v>
      </c>
      <c r="AM170" s="235">
        <v>25.835294117647059</v>
      </c>
      <c r="AN170" s="235">
        <v>17.929411764705883</v>
      </c>
      <c r="AO170" s="235">
        <v>43.764705882352942</v>
      </c>
      <c r="AP170" s="200">
        <v>80</v>
      </c>
      <c r="AQ170" s="141">
        <v>0</v>
      </c>
      <c r="AR170" s="200">
        <v>406.11764705882354</v>
      </c>
      <c r="AS170" s="200">
        <v>497.41176470588232</v>
      </c>
      <c r="AT170" s="66">
        <v>903.52941176470586</v>
      </c>
      <c r="AU170" s="235">
        <v>47.058823529411768</v>
      </c>
      <c r="AV170" s="235">
        <v>14.117647058823529</v>
      </c>
      <c r="AW170" s="75">
        <v>37.647058823529413</v>
      </c>
      <c r="AX170" s="235">
        <v>51.764705882352942</v>
      </c>
      <c r="AY170" s="66">
        <v>150.58823529411765</v>
      </c>
      <c r="AZ170" s="202">
        <v>0</v>
      </c>
      <c r="BA170" s="87">
        <v>244.70588235294119</v>
      </c>
      <c r="BB170" s="87">
        <v>64</v>
      </c>
      <c r="BC170" s="87">
        <v>244.70588235294119</v>
      </c>
      <c r="BD170" s="87">
        <v>64</v>
      </c>
      <c r="BE170" s="87">
        <v>308.70588235294116</v>
      </c>
      <c r="BF170" s="87">
        <v>1768.4705882352941</v>
      </c>
      <c r="BG170" s="66">
        <v>2077.1764705882351</v>
      </c>
      <c r="BH170" s="67">
        <v>3131.2941176470586</v>
      </c>
      <c r="BI170" s="67">
        <v>617046.69553535699</v>
      </c>
    </row>
    <row r="171" spans="1:170" x14ac:dyDescent="0.25">
      <c r="A171" s="142">
        <v>0</v>
      </c>
      <c r="B171" s="68">
        <v>40339</v>
      </c>
      <c r="C171" s="198">
        <v>40339</v>
      </c>
      <c r="D171" s="69">
        <v>39611</v>
      </c>
      <c r="E171" s="70">
        <v>40339</v>
      </c>
      <c r="F171" s="71">
        <v>23</v>
      </c>
      <c r="G171" s="72"/>
      <c r="H171" s="82"/>
      <c r="I171" s="210"/>
      <c r="J171" s="210"/>
      <c r="K171" s="235">
        <v>305.88235294117646</v>
      </c>
      <c r="L171" s="235">
        <v>48.941176470588232</v>
      </c>
      <c r="M171" s="235">
        <v>354.8235294117647</v>
      </c>
      <c r="N171" s="235">
        <v>136.47058823529412</v>
      </c>
      <c r="O171" s="235">
        <v>27.294117647058822</v>
      </c>
      <c r="P171" s="235">
        <v>163.76470588235293</v>
      </c>
      <c r="Q171" s="235">
        <v>6.5882352941176467</v>
      </c>
      <c r="R171" s="235">
        <v>0</v>
      </c>
      <c r="S171" s="235">
        <v>6.5882352941176467</v>
      </c>
      <c r="T171" s="235">
        <v>40.470588235294116</v>
      </c>
      <c r="U171" s="235">
        <v>170.35294117647058</v>
      </c>
      <c r="V171" s="235">
        <v>210.8235294117647</v>
      </c>
      <c r="W171" s="235">
        <v>183.52941176470588</v>
      </c>
      <c r="X171" s="235">
        <v>197.64705882352942</v>
      </c>
      <c r="Y171" s="235">
        <v>381.1764705882353</v>
      </c>
      <c r="Z171" s="200">
        <v>736</v>
      </c>
      <c r="AA171" s="235">
        <v>30.023529411764706</v>
      </c>
      <c r="AB171" s="235">
        <v>6.2117647058823522</v>
      </c>
      <c r="AC171" s="235">
        <v>36.235294117647058</v>
      </c>
      <c r="AD171" s="235">
        <v>0</v>
      </c>
      <c r="AE171" s="235">
        <v>0</v>
      </c>
      <c r="AF171" s="235">
        <v>0</v>
      </c>
      <c r="AG171" s="235">
        <v>24.564705882352943</v>
      </c>
      <c r="AH171" s="235">
        <v>5.0823529411764712</v>
      </c>
      <c r="AI171" s="235">
        <v>29.647058823529413</v>
      </c>
      <c r="AJ171" s="235">
        <v>9.4117647058823533</v>
      </c>
      <c r="AK171" s="235">
        <v>15.058823529411764</v>
      </c>
      <c r="AL171" s="235">
        <v>24.470588235294116</v>
      </c>
      <c r="AM171" s="235">
        <v>33.976470588235294</v>
      </c>
      <c r="AN171" s="235">
        <v>20.141176470588235</v>
      </c>
      <c r="AO171" s="235">
        <v>54.117647058823529</v>
      </c>
      <c r="AP171" s="200">
        <v>90.352941176470594</v>
      </c>
      <c r="AQ171" s="141">
        <v>0</v>
      </c>
      <c r="AR171" s="200">
        <v>391.05882352941177</v>
      </c>
      <c r="AS171" s="200">
        <v>435.29411764705884</v>
      </c>
      <c r="AT171" s="66">
        <v>826.35294117647061</v>
      </c>
      <c r="AU171" s="235">
        <v>47.058823529411768</v>
      </c>
      <c r="AV171" s="235">
        <v>14.117647058823529</v>
      </c>
      <c r="AW171" s="75">
        <v>141.1764705882353</v>
      </c>
      <c r="AX171" s="235">
        <v>117.64705882352941</v>
      </c>
      <c r="AY171" s="66">
        <v>320</v>
      </c>
      <c r="AZ171" s="202">
        <v>0</v>
      </c>
      <c r="BA171" s="87">
        <v>120.47058823529412</v>
      </c>
      <c r="BB171" s="87">
        <v>96.941176470588232</v>
      </c>
      <c r="BC171" s="87">
        <v>200.47058823529412</v>
      </c>
      <c r="BD171" s="87">
        <v>96.941176470588232</v>
      </c>
      <c r="BE171" s="87">
        <v>297.41176470588238</v>
      </c>
      <c r="BF171" s="87">
        <v>1075.7647058823529</v>
      </c>
      <c r="BG171" s="66">
        <v>1373.1764705882354</v>
      </c>
      <c r="BH171" s="67">
        <v>2519.5294117647059</v>
      </c>
      <c r="BI171" s="67">
        <v>619566.22494712169</v>
      </c>
    </row>
    <row r="172" spans="1:170" x14ac:dyDescent="0.25">
      <c r="A172" s="142">
        <v>0</v>
      </c>
      <c r="B172" s="68">
        <v>40340</v>
      </c>
      <c r="C172" s="198">
        <v>40340</v>
      </c>
      <c r="D172" s="69">
        <v>39612</v>
      </c>
      <c r="E172" s="70">
        <v>40340</v>
      </c>
      <c r="F172" s="71">
        <v>23</v>
      </c>
      <c r="G172" s="72"/>
      <c r="H172" s="82"/>
      <c r="I172" s="210"/>
      <c r="J172" s="210"/>
      <c r="K172" s="235">
        <v>291.76470588235293</v>
      </c>
      <c r="L172" s="235">
        <v>32</v>
      </c>
      <c r="M172" s="235">
        <v>323.76470588235293</v>
      </c>
      <c r="N172" s="235">
        <v>172.23529411764707</v>
      </c>
      <c r="O172" s="235">
        <v>25.411764705882351</v>
      </c>
      <c r="P172" s="235">
        <v>197.64705882352942</v>
      </c>
      <c r="Q172" s="235">
        <v>5.6470588235294121</v>
      </c>
      <c r="R172" s="235">
        <v>0</v>
      </c>
      <c r="S172" s="235">
        <v>5.6470588235294121</v>
      </c>
      <c r="T172" s="235">
        <v>59.294117647058826</v>
      </c>
      <c r="U172" s="235">
        <v>212.70588235294119</v>
      </c>
      <c r="V172" s="235">
        <v>272</v>
      </c>
      <c r="W172" s="235">
        <v>237.1764705882353</v>
      </c>
      <c r="X172" s="235">
        <v>238.11764705882354</v>
      </c>
      <c r="Y172" s="235">
        <v>475.29411764705884</v>
      </c>
      <c r="Z172" s="200">
        <v>799.05882352941171</v>
      </c>
      <c r="AA172" s="235">
        <v>35.200000000000003</v>
      </c>
      <c r="AB172" s="235">
        <v>9.3176470588235301</v>
      </c>
      <c r="AC172" s="235">
        <v>44.517647058823528</v>
      </c>
      <c r="AD172" s="235">
        <v>0</v>
      </c>
      <c r="AE172" s="235">
        <v>0</v>
      </c>
      <c r="AF172" s="235">
        <v>0</v>
      </c>
      <c r="AG172" s="235">
        <v>28.8</v>
      </c>
      <c r="AH172" s="235">
        <v>7.6235294117647054</v>
      </c>
      <c r="AI172" s="235">
        <v>36.423529411764711</v>
      </c>
      <c r="AJ172" s="235">
        <v>6.5882352941176467</v>
      </c>
      <c r="AK172" s="235">
        <v>17.882352941176471</v>
      </c>
      <c r="AL172" s="235">
        <v>24.470588235294116</v>
      </c>
      <c r="AM172" s="235">
        <v>35.388235294117649</v>
      </c>
      <c r="AN172" s="235">
        <v>25.505882352941178</v>
      </c>
      <c r="AO172" s="235">
        <v>60.894117647058827</v>
      </c>
      <c r="AP172" s="200">
        <v>105.41176470588235</v>
      </c>
      <c r="AQ172" s="141">
        <v>0</v>
      </c>
      <c r="AR172" s="200">
        <v>368.28235294117644</v>
      </c>
      <c r="AS172" s="200">
        <v>536.1882352941177</v>
      </c>
      <c r="AT172" s="66">
        <v>904.47058823529414</v>
      </c>
      <c r="AU172" s="235">
        <v>37.647058823529413</v>
      </c>
      <c r="AV172" s="235">
        <v>14.117647058823529</v>
      </c>
      <c r="AW172" s="75">
        <v>94.117647058823536</v>
      </c>
      <c r="AX172" s="235">
        <v>103.52941176470588</v>
      </c>
      <c r="AY172" s="66">
        <v>249.41176470588235</v>
      </c>
      <c r="AZ172" s="202">
        <v>0</v>
      </c>
      <c r="BA172" s="87">
        <v>202.35294117647058</v>
      </c>
      <c r="BB172" s="87">
        <v>81.882352941176464</v>
      </c>
      <c r="BC172" s="87">
        <v>202.35294117647058</v>
      </c>
      <c r="BD172" s="87">
        <v>81.882352941176464</v>
      </c>
      <c r="BE172" s="87">
        <v>284.23529411764707</v>
      </c>
      <c r="BF172" s="87">
        <v>2164.705882352941</v>
      </c>
      <c r="BG172" s="66">
        <v>2448.9411764705883</v>
      </c>
      <c r="BH172" s="67">
        <v>3602.8235294117649</v>
      </c>
      <c r="BI172" s="67">
        <v>623169.0484765335</v>
      </c>
    </row>
    <row r="173" spans="1:170" x14ac:dyDescent="0.25">
      <c r="A173" s="142">
        <v>0</v>
      </c>
      <c r="B173" s="85">
        <v>40341</v>
      </c>
      <c r="C173" s="203">
        <v>40341</v>
      </c>
      <c r="D173" s="76">
        <v>39613</v>
      </c>
      <c r="E173" s="77">
        <v>40341</v>
      </c>
      <c r="F173" s="78">
        <v>23</v>
      </c>
      <c r="G173" s="79"/>
      <c r="H173" s="80"/>
      <c r="I173" s="212"/>
      <c r="J173" s="212"/>
      <c r="K173" s="231">
        <v>1344</v>
      </c>
      <c r="L173" s="231">
        <v>108.23529411764706</v>
      </c>
      <c r="M173" s="231">
        <v>1452.2352941176471</v>
      </c>
      <c r="N173" s="231">
        <v>1482.3529411764705</v>
      </c>
      <c r="O173" s="231">
        <v>174.11764705882354</v>
      </c>
      <c r="P173" s="231">
        <v>1656.4705882352941</v>
      </c>
      <c r="Q173" s="231">
        <v>42.352941176470587</v>
      </c>
      <c r="R173" s="231">
        <v>0</v>
      </c>
      <c r="S173" s="231">
        <v>42.352941176470587</v>
      </c>
      <c r="T173" s="231">
        <v>208.94117647058823</v>
      </c>
      <c r="U173" s="231">
        <v>823.52941176470586</v>
      </c>
      <c r="V173" s="231">
        <v>1032.4705882352941</v>
      </c>
      <c r="W173" s="231">
        <v>1733.6470588235295</v>
      </c>
      <c r="X173" s="231">
        <v>997.64705882352939</v>
      </c>
      <c r="Y173" s="231">
        <v>2731.294117647059</v>
      </c>
      <c r="Z173" s="205">
        <v>4183.5294117647063</v>
      </c>
      <c r="AA173" s="231">
        <v>36.235294117647058</v>
      </c>
      <c r="AB173" s="231">
        <v>12.423529411764704</v>
      </c>
      <c r="AC173" s="231">
        <v>48.658823529411769</v>
      </c>
      <c r="AD173" s="231">
        <v>0</v>
      </c>
      <c r="AE173" s="231">
        <v>0</v>
      </c>
      <c r="AF173" s="231">
        <v>0</v>
      </c>
      <c r="AG173" s="231">
        <v>29.647058823529413</v>
      </c>
      <c r="AH173" s="231">
        <v>10.164705882352942</v>
      </c>
      <c r="AI173" s="231">
        <v>39.811764705882354</v>
      </c>
      <c r="AJ173" s="231">
        <v>14.117647058823529</v>
      </c>
      <c r="AK173" s="231">
        <v>22.588235294117649</v>
      </c>
      <c r="AL173" s="231">
        <v>36.705882352941174</v>
      </c>
      <c r="AM173" s="231">
        <v>43.764705882352942</v>
      </c>
      <c r="AN173" s="231">
        <v>32.752941176470586</v>
      </c>
      <c r="AO173" s="231">
        <v>76.517647058823528</v>
      </c>
      <c r="AP173" s="205">
        <v>125.17647058823529</v>
      </c>
      <c r="AQ173" s="232">
        <v>0</v>
      </c>
      <c r="AR173" s="200">
        <v>1500.8941176470589</v>
      </c>
      <c r="AS173" s="200">
        <v>2807.8117647058825</v>
      </c>
      <c r="AT173" s="66">
        <v>4308.7058823529414</v>
      </c>
      <c r="AU173" s="231">
        <v>94.117647058823536</v>
      </c>
      <c r="AV173" s="231">
        <v>56.470588235294116</v>
      </c>
      <c r="AW173" s="75">
        <v>282.35294117647061</v>
      </c>
      <c r="AX173" s="231">
        <v>254.11764705882354</v>
      </c>
      <c r="AY173" s="66">
        <v>687.05882352941182</v>
      </c>
      <c r="AZ173" s="208">
        <v>0</v>
      </c>
      <c r="BA173" s="86">
        <v>852.70588235294122</v>
      </c>
      <c r="BB173" s="86">
        <v>1659.2941176470588</v>
      </c>
      <c r="BC173" s="86">
        <v>852.70588235294122</v>
      </c>
      <c r="BD173" s="86">
        <v>1659.2941176470588</v>
      </c>
      <c r="BE173" s="86">
        <v>2512</v>
      </c>
      <c r="BF173" s="86">
        <v>2188.2352941176468</v>
      </c>
      <c r="BG173" s="209">
        <v>4700.2352941176468</v>
      </c>
      <c r="BH173" s="67">
        <v>9696</v>
      </c>
      <c r="BI173" s="67">
        <v>632865.0484765335</v>
      </c>
    </row>
    <row r="174" spans="1:170" x14ac:dyDescent="0.25">
      <c r="A174" s="142">
        <v>0</v>
      </c>
      <c r="B174" s="85">
        <v>40342</v>
      </c>
      <c r="C174" s="203">
        <v>40342</v>
      </c>
      <c r="D174" s="76">
        <v>39614</v>
      </c>
      <c r="E174" s="77">
        <v>40342</v>
      </c>
      <c r="F174" s="78">
        <v>23</v>
      </c>
      <c r="G174" s="79"/>
      <c r="H174" s="80"/>
      <c r="I174" s="212"/>
      <c r="J174" s="212"/>
      <c r="K174" s="231">
        <v>826.35294117647061</v>
      </c>
      <c r="L174" s="231">
        <v>117.64705882352941</v>
      </c>
      <c r="M174" s="231">
        <v>944</v>
      </c>
      <c r="N174" s="231">
        <v>814.11764705882354</v>
      </c>
      <c r="O174" s="231">
        <v>155.29411764705881</v>
      </c>
      <c r="P174" s="231">
        <v>969.41176470588232</v>
      </c>
      <c r="Q174" s="231">
        <v>51.764705882352942</v>
      </c>
      <c r="R174" s="231">
        <v>0</v>
      </c>
      <c r="S174" s="231">
        <v>51.764705882352942</v>
      </c>
      <c r="T174" s="231">
        <v>127.05882352941177</v>
      </c>
      <c r="U174" s="231">
        <v>748.23529411764707</v>
      </c>
      <c r="V174" s="231">
        <v>875.29411764705878</v>
      </c>
      <c r="W174" s="231">
        <v>992.94117647058829</v>
      </c>
      <c r="X174" s="231">
        <v>903.52941176470586</v>
      </c>
      <c r="Y174" s="231">
        <v>1896.4705882352941</v>
      </c>
      <c r="Z174" s="205">
        <v>2840.4705882352941</v>
      </c>
      <c r="AA174" s="231">
        <v>25.882352941176471</v>
      </c>
      <c r="AB174" s="231">
        <v>6.7294117647058824</v>
      </c>
      <c r="AC174" s="231">
        <v>32.611764705882351</v>
      </c>
      <c r="AD174" s="231">
        <v>0</v>
      </c>
      <c r="AE174" s="231">
        <v>0</v>
      </c>
      <c r="AF174" s="231">
        <v>0</v>
      </c>
      <c r="AG174" s="231">
        <v>21.176470588235293</v>
      </c>
      <c r="AH174" s="231">
        <v>5.5058823529411764</v>
      </c>
      <c r="AI174" s="231">
        <v>26.682352941176472</v>
      </c>
      <c r="AJ174" s="231">
        <v>3.7647058823529411</v>
      </c>
      <c r="AK174" s="231">
        <v>11.294117647058824</v>
      </c>
      <c r="AL174" s="231">
        <v>15.058823529411764</v>
      </c>
      <c r="AM174" s="231">
        <v>24.941176470588236</v>
      </c>
      <c r="AN174" s="231">
        <v>16.8</v>
      </c>
      <c r="AO174" s="231">
        <v>41.741176470588236</v>
      </c>
      <c r="AP174" s="205">
        <v>74.352941176470594</v>
      </c>
      <c r="AQ174" s="232">
        <v>0</v>
      </c>
      <c r="AR174" s="200">
        <v>976.61176470588236</v>
      </c>
      <c r="AS174" s="200">
        <v>1938.2117647058824</v>
      </c>
      <c r="AT174" s="66">
        <v>2914.8235294117649</v>
      </c>
      <c r="AU174" s="231">
        <v>65.882352941176464</v>
      </c>
      <c r="AV174" s="231">
        <v>37.647058823529413</v>
      </c>
      <c r="AW174" s="75">
        <v>75.294117647058826</v>
      </c>
      <c r="AX174" s="231">
        <v>178.8235294117647</v>
      </c>
      <c r="AY174" s="66">
        <v>357.64705882352939</v>
      </c>
      <c r="AZ174" s="208">
        <v>0</v>
      </c>
      <c r="BA174" s="86">
        <v>631.52941176470586</v>
      </c>
      <c r="BB174" s="86">
        <v>1808.9411764705883</v>
      </c>
      <c r="BC174" s="86">
        <v>631.52941176470586</v>
      </c>
      <c r="BD174" s="86">
        <v>1808.9411764705883</v>
      </c>
      <c r="BE174" s="86">
        <v>2440.4705882352941</v>
      </c>
      <c r="BF174" s="86">
        <v>724.70588235294122</v>
      </c>
      <c r="BG174" s="209">
        <v>3165.1764705882351</v>
      </c>
      <c r="BH174" s="67">
        <v>6437.6470588235297</v>
      </c>
      <c r="BI174" s="67">
        <v>639302.69553535699</v>
      </c>
    </row>
    <row r="175" spans="1:170" x14ac:dyDescent="0.25">
      <c r="A175" s="142">
        <v>0</v>
      </c>
      <c r="B175" s="68">
        <v>40343</v>
      </c>
      <c r="C175" s="198">
        <v>40343</v>
      </c>
      <c r="D175" s="69">
        <v>39615</v>
      </c>
      <c r="E175" s="70">
        <v>40343</v>
      </c>
      <c r="F175" s="71">
        <v>24</v>
      </c>
      <c r="G175" s="72"/>
      <c r="H175" s="82"/>
      <c r="I175" s="210"/>
      <c r="J175" s="210"/>
      <c r="K175" s="235">
        <v>343.52941176470586</v>
      </c>
      <c r="L175" s="235">
        <v>56.470588235294116</v>
      </c>
      <c r="M175" s="235">
        <v>400</v>
      </c>
      <c r="N175" s="235">
        <v>143.05882352941177</v>
      </c>
      <c r="O175" s="235">
        <v>28.235294117647058</v>
      </c>
      <c r="P175" s="235">
        <v>171.29411764705881</v>
      </c>
      <c r="Q175" s="235">
        <v>1.8823529411764706</v>
      </c>
      <c r="R175" s="235">
        <v>0</v>
      </c>
      <c r="S175" s="235">
        <v>1.8823529411764706</v>
      </c>
      <c r="T175" s="235">
        <v>50.823529411764703</v>
      </c>
      <c r="U175" s="235">
        <v>175.05882352941177</v>
      </c>
      <c r="V175" s="235">
        <v>225.88235294117646</v>
      </c>
      <c r="W175" s="235">
        <v>195.76470588235293</v>
      </c>
      <c r="X175" s="235">
        <v>203.29411764705881</v>
      </c>
      <c r="Y175" s="235">
        <v>399.05882352941177</v>
      </c>
      <c r="Z175" s="200">
        <v>799.05882352941171</v>
      </c>
      <c r="AA175" s="235">
        <v>25.882352941176471</v>
      </c>
      <c r="AB175" s="235">
        <v>3.6235294117647059</v>
      </c>
      <c r="AC175" s="235">
        <v>29.505882352941178</v>
      </c>
      <c r="AD175" s="235">
        <v>0</v>
      </c>
      <c r="AE175" s="235">
        <v>0</v>
      </c>
      <c r="AF175" s="235">
        <v>0</v>
      </c>
      <c r="AG175" s="235">
        <v>21.176470588235293</v>
      </c>
      <c r="AH175" s="235">
        <v>2.9647058823529413</v>
      </c>
      <c r="AI175" s="235">
        <v>24.141176470588235</v>
      </c>
      <c r="AJ175" s="235">
        <v>3.7647058823529411</v>
      </c>
      <c r="AK175" s="235">
        <v>12.235294117647058</v>
      </c>
      <c r="AL175" s="235">
        <v>16</v>
      </c>
      <c r="AM175" s="235">
        <v>24.941176470588236</v>
      </c>
      <c r="AN175" s="235">
        <v>15.2</v>
      </c>
      <c r="AO175" s="235">
        <v>40.141176470588235</v>
      </c>
      <c r="AP175" s="200">
        <v>69.647058823529406</v>
      </c>
      <c r="AQ175" s="141">
        <v>0</v>
      </c>
      <c r="AR175" s="200">
        <v>429.50588235294117</v>
      </c>
      <c r="AS175" s="200">
        <v>439.2</v>
      </c>
      <c r="AT175" s="66">
        <v>868.70588235294122</v>
      </c>
      <c r="AU175" s="235">
        <v>65.882352941176464</v>
      </c>
      <c r="AV175" s="235">
        <v>9.4117647058823533</v>
      </c>
      <c r="AW175" s="75">
        <v>14.117647058823529</v>
      </c>
      <c r="AX175" s="235">
        <v>51.764705882352942</v>
      </c>
      <c r="AY175" s="66">
        <v>141.1764705882353</v>
      </c>
      <c r="AZ175" s="202">
        <v>0</v>
      </c>
      <c r="BA175" s="87">
        <v>226.8235294117647</v>
      </c>
      <c r="BB175" s="87">
        <v>83.764705882352942</v>
      </c>
      <c r="BC175" s="87">
        <v>226.8235294117647</v>
      </c>
      <c r="BD175" s="87">
        <v>83.764705882352942</v>
      </c>
      <c r="BE175" s="87">
        <v>310.58823529411762</v>
      </c>
      <c r="BF175" s="87">
        <v>293.64705882352939</v>
      </c>
      <c r="BG175" s="66">
        <v>604.23529411764707</v>
      </c>
      <c r="BH175" s="67">
        <v>1614.1176470588236</v>
      </c>
      <c r="BI175" s="67">
        <v>640916.81318241579</v>
      </c>
    </row>
    <row r="176" spans="1:170" x14ac:dyDescent="0.25">
      <c r="A176" s="142">
        <v>0</v>
      </c>
      <c r="B176" s="68">
        <v>40344</v>
      </c>
      <c r="C176" s="198">
        <v>40344</v>
      </c>
      <c r="D176" s="69">
        <v>39616</v>
      </c>
      <c r="E176" s="70">
        <v>40344</v>
      </c>
      <c r="F176" s="71">
        <v>24</v>
      </c>
      <c r="G176" s="72"/>
      <c r="H176" s="82"/>
      <c r="I176" s="210"/>
      <c r="J176" s="210"/>
      <c r="K176" s="235">
        <v>230.58823529411765</v>
      </c>
      <c r="L176" s="235">
        <v>68.705882352941174</v>
      </c>
      <c r="M176" s="235">
        <v>299.29411764705884</v>
      </c>
      <c r="N176" s="235">
        <v>225.88235294117646</v>
      </c>
      <c r="O176" s="235">
        <v>33.882352941176471</v>
      </c>
      <c r="P176" s="235">
        <v>259.76470588235293</v>
      </c>
      <c r="Q176" s="235">
        <v>2.8235294117647061</v>
      </c>
      <c r="R176" s="235">
        <v>0</v>
      </c>
      <c r="S176" s="235">
        <v>2.8235294117647061</v>
      </c>
      <c r="T176" s="235">
        <v>65.882352941176464</v>
      </c>
      <c r="U176" s="235">
        <v>264.47058823529414</v>
      </c>
      <c r="V176" s="235">
        <v>330.35294117647061</v>
      </c>
      <c r="W176" s="235">
        <v>294.58823529411762</v>
      </c>
      <c r="X176" s="235">
        <v>298.35294117647061</v>
      </c>
      <c r="Y176" s="235">
        <v>592.94117647058829</v>
      </c>
      <c r="Z176" s="200">
        <v>892.23529411764707</v>
      </c>
      <c r="AA176" s="235">
        <v>27.952941176470588</v>
      </c>
      <c r="AB176" s="235">
        <v>1.552941176470588</v>
      </c>
      <c r="AC176" s="235">
        <v>29.505882352941175</v>
      </c>
      <c r="AD176" s="235">
        <v>0</v>
      </c>
      <c r="AE176" s="235">
        <v>0</v>
      </c>
      <c r="AF176" s="235">
        <v>0</v>
      </c>
      <c r="AG176" s="235">
        <v>22.870588235294118</v>
      </c>
      <c r="AH176" s="235">
        <v>1.2705882352941178</v>
      </c>
      <c r="AI176" s="235">
        <v>24.141176470588238</v>
      </c>
      <c r="AJ176" s="235">
        <v>7.5294117647058822</v>
      </c>
      <c r="AK176" s="235">
        <v>8.4705882352941178</v>
      </c>
      <c r="AL176" s="235">
        <v>16</v>
      </c>
      <c r="AM176" s="235">
        <v>30.4</v>
      </c>
      <c r="AN176" s="235">
        <v>9.7411764705882344</v>
      </c>
      <c r="AO176" s="235">
        <v>40.141176470588235</v>
      </c>
      <c r="AP176" s="200">
        <v>69.647058823529406</v>
      </c>
      <c r="AQ176" s="141">
        <v>0</v>
      </c>
      <c r="AR176" s="200">
        <v>328.8</v>
      </c>
      <c r="AS176" s="200">
        <v>633.08235294117651</v>
      </c>
      <c r="AT176" s="66">
        <v>961.88235294117658</v>
      </c>
      <c r="AU176" s="235">
        <v>65.882352941176464</v>
      </c>
      <c r="AV176" s="235">
        <v>9.4117647058823533</v>
      </c>
      <c r="AW176" s="75">
        <v>0</v>
      </c>
      <c r="AX176" s="235">
        <v>230.58823529411765</v>
      </c>
      <c r="AY176" s="66">
        <v>305.88235294117646</v>
      </c>
      <c r="AZ176" s="202">
        <v>0</v>
      </c>
      <c r="BA176" s="87">
        <v>85.647058823529406</v>
      </c>
      <c r="BB176" s="87">
        <v>115.76470588235294</v>
      </c>
      <c r="BC176" s="87">
        <v>85.647058823529406</v>
      </c>
      <c r="BD176" s="87">
        <v>115.76470588235294</v>
      </c>
      <c r="BE176" s="87">
        <v>201.41176470588235</v>
      </c>
      <c r="BF176" s="87">
        <v>800</v>
      </c>
      <c r="BG176" s="66">
        <v>1001.4117647058823</v>
      </c>
      <c r="BH176" s="67">
        <v>2269.1764705882351</v>
      </c>
      <c r="BI176" s="67">
        <v>643185.98965300398</v>
      </c>
    </row>
    <row r="177" spans="1:61" x14ac:dyDescent="0.25">
      <c r="A177" s="142">
        <v>0</v>
      </c>
      <c r="B177" s="68">
        <v>40345</v>
      </c>
      <c r="C177" s="198">
        <v>40345</v>
      </c>
      <c r="D177" s="69">
        <v>39617</v>
      </c>
      <c r="E177" s="70">
        <v>40345</v>
      </c>
      <c r="F177" s="71">
        <v>24</v>
      </c>
      <c r="G177" s="72"/>
      <c r="H177" s="82"/>
      <c r="I177" s="210"/>
      <c r="J177" s="210"/>
      <c r="K177" s="235">
        <v>414.11764705882354</v>
      </c>
      <c r="L177" s="235">
        <v>50.823529411764703</v>
      </c>
      <c r="M177" s="235">
        <v>464.94117647058823</v>
      </c>
      <c r="N177" s="235">
        <v>261.64705882352939</v>
      </c>
      <c r="O177" s="235">
        <v>31.058823529411764</v>
      </c>
      <c r="P177" s="235">
        <v>292.70588235294116</v>
      </c>
      <c r="Q177" s="235">
        <v>7.5294117647058822</v>
      </c>
      <c r="R177" s="235">
        <v>0</v>
      </c>
      <c r="S177" s="235">
        <v>7.5294117647058822</v>
      </c>
      <c r="T177" s="235">
        <v>47.058823529411768</v>
      </c>
      <c r="U177" s="235">
        <v>304.94117647058823</v>
      </c>
      <c r="V177" s="235">
        <v>352</v>
      </c>
      <c r="W177" s="235">
        <v>316.23529411764707</v>
      </c>
      <c r="X177" s="235">
        <v>336</v>
      </c>
      <c r="Y177" s="235">
        <v>652.23529411764707</v>
      </c>
      <c r="Z177" s="200">
        <v>1117.1764705882354</v>
      </c>
      <c r="AA177" s="235">
        <v>25.36470588235294</v>
      </c>
      <c r="AB177" s="235">
        <v>1.552941176470588</v>
      </c>
      <c r="AC177" s="235">
        <v>26.917647058823526</v>
      </c>
      <c r="AD177" s="235">
        <v>0</v>
      </c>
      <c r="AE177" s="235">
        <v>0</v>
      </c>
      <c r="AF177" s="235">
        <v>0</v>
      </c>
      <c r="AG177" s="235">
        <v>20.752941176470589</v>
      </c>
      <c r="AH177" s="235">
        <v>1.2705882352941178</v>
      </c>
      <c r="AI177" s="235">
        <v>22.023529411764709</v>
      </c>
      <c r="AJ177" s="235">
        <v>13.176470588235293</v>
      </c>
      <c r="AK177" s="235">
        <v>1.8823529411764706</v>
      </c>
      <c r="AL177" s="235">
        <v>15.058823529411764</v>
      </c>
      <c r="AM177" s="235">
        <v>33.929411764705883</v>
      </c>
      <c r="AN177" s="235">
        <v>3.1529411764705881</v>
      </c>
      <c r="AO177" s="235">
        <v>37.082352941176467</v>
      </c>
      <c r="AP177" s="200">
        <v>64</v>
      </c>
      <c r="AQ177" s="141">
        <v>0</v>
      </c>
      <c r="AR177" s="200">
        <v>491.85882352941178</v>
      </c>
      <c r="AS177" s="200">
        <v>689.31764705882358</v>
      </c>
      <c r="AT177" s="66">
        <v>1181.1764705882354</v>
      </c>
      <c r="AU177" s="235">
        <v>65.882352941176464</v>
      </c>
      <c r="AV177" s="235">
        <v>9.4117647058823533</v>
      </c>
      <c r="AW177" s="75">
        <v>207.05882352941177</v>
      </c>
      <c r="AX177" s="235">
        <v>94.117647058823536</v>
      </c>
      <c r="AY177" s="66">
        <v>376.47058823529414</v>
      </c>
      <c r="AZ177" s="202">
        <v>0</v>
      </c>
      <c r="BA177" s="87">
        <v>238.11764705882354</v>
      </c>
      <c r="BB177" s="87">
        <v>98.82352941176471</v>
      </c>
      <c r="BC177" s="87">
        <v>238.11764705882354</v>
      </c>
      <c r="BD177" s="87">
        <v>98.82352941176471</v>
      </c>
      <c r="BE177" s="87">
        <v>336.94117647058823</v>
      </c>
      <c r="BF177" s="87">
        <v>2349.1764705882351</v>
      </c>
      <c r="BG177" s="66">
        <v>2686.1176470588234</v>
      </c>
      <c r="BH177" s="67">
        <v>4243.7647058823532</v>
      </c>
      <c r="BI177" s="67">
        <v>647429.75435888639</v>
      </c>
    </row>
    <row r="178" spans="1:61" x14ac:dyDescent="0.25">
      <c r="A178" s="142">
        <v>0</v>
      </c>
      <c r="B178" s="68">
        <v>40346</v>
      </c>
      <c r="C178" s="198">
        <v>40346</v>
      </c>
      <c r="D178" s="69">
        <v>39618</v>
      </c>
      <c r="E178" s="70">
        <v>40346</v>
      </c>
      <c r="F178" s="71">
        <v>24</v>
      </c>
      <c r="G178" s="72"/>
      <c r="H178" s="82"/>
      <c r="I178" s="210"/>
      <c r="J178" s="210"/>
      <c r="K178" s="235">
        <v>301.1764705882353</v>
      </c>
      <c r="L178" s="235">
        <v>42.352941176470587</v>
      </c>
      <c r="M178" s="235">
        <v>343.52941176470591</v>
      </c>
      <c r="N178" s="235">
        <v>173.1764705882353</v>
      </c>
      <c r="O178" s="235">
        <v>41.411764705882355</v>
      </c>
      <c r="P178" s="235">
        <v>214.58823529411765</v>
      </c>
      <c r="Q178" s="235">
        <v>22.588235294117649</v>
      </c>
      <c r="R178" s="235">
        <v>0</v>
      </c>
      <c r="S178" s="235">
        <v>22.588235294117649</v>
      </c>
      <c r="T178" s="235">
        <v>55.529411764705884</v>
      </c>
      <c r="U178" s="235">
        <v>261.64705882352939</v>
      </c>
      <c r="V178" s="235">
        <v>317.1764705882353</v>
      </c>
      <c r="W178" s="235">
        <v>251.29411764705881</v>
      </c>
      <c r="X178" s="235">
        <v>303.05882352941177</v>
      </c>
      <c r="Y178" s="235">
        <v>554.35294117647061</v>
      </c>
      <c r="Z178" s="200">
        <v>897.88235294117646</v>
      </c>
      <c r="AA178" s="235">
        <v>28.470588235294116</v>
      </c>
      <c r="AB178" s="235">
        <v>3.1058823529411761</v>
      </c>
      <c r="AC178" s="235">
        <v>31.576470588235292</v>
      </c>
      <c r="AD178" s="235">
        <v>1.8823529411764706</v>
      </c>
      <c r="AE178" s="235">
        <v>0</v>
      </c>
      <c r="AF178" s="235">
        <v>1.8823529411764706</v>
      </c>
      <c r="AG178" s="235">
        <v>23.294117647058822</v>
      </c>
      <c r="AH178" s="235">
        <v>2.5411764705882356</v>
      </c>
      <c r="AI178" s="235">
        <v>25.835294117647059</v>
      </c>
      <c r="AJ178" s="235">
        <v>3.7647058823529411</v>
      </c>
      <c r="AK178" s="235">
        <v>5.6470588235294121</v>
      </c>
      <c r="AL178" s="235">
        <v>9.4117647058823533</v>
      </c>
      <c r="AM178" s="235">
        <v>28.941176470588236</v>
      </c>
      <c r="AN178" s="235">
        <v>8.1882352941176464</v>
      </c>
      <c r="AO178" s="235">
        <v>37.129411764705885</v>
      </c>
      <c r="AP178" s="200">
        <v>68.705882352941174</v>
      </c>
      <c r="AQ178" s="141">
        <v>0</v>
      </c>
      <c r="AR178" s="200">
        <v>375.10588235294119</v>
      </c>
      <c r="AS178" s="200">
        <v>591.48235294117649</v>
      </c>
      <c r="AT178" s="66">
        <v>966.58823529411768</v>
      </c>
      <c r="AU178" s="235">
        <v>65.882352941176464</v>
      </c>
      <c r="AV178" s="235">
        <v>9.4117647058823533</v>
      </c>
      <c r="AW178" s="75">
        <v>301.1764705882353</v>
      </c>
      <c r="AX178" s="235">
        <v>400</v>
      </c>
      <c r="AY178" s="66">
        <v>776.47058823529414</v>
      </c>
      <c r="AZ178" s="202">
        <v>0</v>
      </c>
      <c r="BA178" s="87">
        <v>80.941176470588232</v>
      </c>
      <c r="BB178" s="87">
        <v>20.705882352941178</v>
      </c>
      <c r="BC178" s="87">
        <v>113.88235294117646</v>
      </c>
      <c r="BD178" s="87">
        <v>20.705882352941178</v>
      </c>
      <c r="BE178" s="87">
        <v>134.58823529411765</v>
      </c>
      <c r="BF178" s="87">
        <v>1315.7647058823529</v>
      </c>
      <c r="BG178" s="66">
        <v>1450.3529411764705</v>
      </c>
      <c r="BH178" s="67">
        <v>3193.4117647058824</v>
      </c>
      <c r="BI178" s="67">
        <v>650623.16612359229</v>
      </c>
    </row>
    <row r="179" spans="1:61" x14ac:dyDescent="0.25">
      <c r="A179" s="142">
        <v>0</v>
      </c>
      <c r="B179" s="68">
        <v>40347</v>
      </c>
      <c r="C179" s="198">
        <v>40347</v>
      </c>
      <c r="D179" s="69">
        <v>39619</v>
      </c>
      <c r="E179" s="70">
        <v>40347</v>
      </c>
      <c r="F179" s="71">
        <v>24</v>
      </c>
      <c r="G179" s="72"/>
      <c r="H179" s="82"/>
      <c r="I179" s="210"/>
      <c r="J179" s="210"/>
      <c r="K179" s="235">
        <v>310.58823529411762</v>
      </c>
      <c r="L179" s="235">
        <v>41.411764705882355</v>
      </c>
      <c r="M179" s="235">
        <v>352</v>
      </c>
      <c r="N179" s="235">
        <v>171.29411764705881</v>
      </c>
      <c r="O179" s="235">
        <v>42.352941176470587</v>
      </c>
      <c r="P179" s="235">
        <v>213.64705882352942</v>
      </c>
      <c r="Q179" s="235">
        <v>30.117647058823529</v>
      </c>
      <c r="R179" s="235">
        <v>0</v>
      </c>
      <c r="S179" s="235">
        <v>30.117647058823529</v>
      </c>
      <c r="T179" s="235">
        <v>96.941176470588232</v>
      </c>
      <c r="U179" s="235">
        <v>256</v>
      </c>
      <c r="V179" s="235">
        <v>352.94117647058823</v>
      </c>
      <c r="W179" s="235">
        <v>298.35294117647061</v>
      </c>
      <c r="X179" s="235">
        <v>298.35294117647061</v>
      </c>
      <c r="Y179" s="235">
        <v>596.70588235294122</v>
      </c>
      <c r="Z179" s="200">
        <v>948.70588235294122</v>
      </c>
      <c r="AA179" s="235">
        <v>35.71764705882353</v>
      </c>
      <c r="AB179" s="235">
        <v>4.658823529411765</v>
      </c>
      <c r="AC179" s="235">
        <v>40.3764705882353</v>
      </c>
      <c r="AD179" s="235">
        <v>0</v>
      </c>
      <c r="AE179" s="235">
        <v>0</v>
      </c>
      <c r="AF179" s="235">
        <v>0</v>
      </c>
      <c r="AG179" s="235">
        <v>29.223529411764705</v>
      </c>
      <c r="AH179" s="235">
        <v>3.8117647058823527</v>
      </c>
      <c r="AI179" s="235">
        <v>33.035294117647062</v>
      </c>
      <c r="AJ179" s="235">
        <v>5.6470588235294121</v>
      </c>
      <c r="AK179" s="235">
        <v>10.352941176470589</v>
      </c>
      <c r="AL179" s="235">
        <v>16</v>
      </c>
      <c r="AM179" s="235">
        <v>34.870588235294115</v>
      </c>
      <c r="AN179" s="235">
        <v>14.164705882352942</v>
      </c>
      <c r="AO179" s="235">
        <v>49.035294117647055</v>
      </c>
      <c r="AP179" s="200">
        <v>89.411764705882348</v>
      </c>
      <c r="AQ179" s="141">
        <v>0</v>
      </c>
      <c r="AR179" s="200">
        <v>392.37647058823529</v>
      </c>
      <c r="AS179" s="200">
        <v>645.74117647058824</v>
      </c>
      <c r="AT179" s="66">
        <v>1038.1176470588234</v>
      </c>
      <c r="AU179" s="235">
        <v>65.882352941176464</v>
      </c>
      <c r="AV179" s="235">
        <v>9.4117647058823533</v>
      </c>
      <c r="AW179" s="75">
        <v>56.470588235294116</v>
      </c>
      <c r="AX179" s="235">
        <v>84.705882352941174</v>
      </c>
      <c r="AY179" s="66">
        <v>216.47058823529409</v>
      </c>
      <c r="AZ179" s="202">
        <v>0</v>
      </c>
      <c r="BA179" s="87">
        <v>165.64705882352942</v>
      </c>
      <c r="BB179" s="87">
        <v>35.764705882352942</v>
      </c>
      <c r="BC179" s="87">
        <v>165.64705882352942</v>
      </c>
      <c r="BD179" s="87">
        <v>35.764705882352942</v>
      </c>
      <c r="BE179" s="87">
        <v>201.41176470588235</v>
      </c>
      <c r="BF179" s="87">
        <v>2260.705882352941</v>
      </c>
      <c r="BG179" s="66">
        <v>2462.1176470588234</v>
      </c>
      <c r="BH179" s="67">
        <v>3716.705882352941</v>
      </c>
      <c r="BI179" s="67">
        <v>654339.87200594519</v>
      </c>
    </row>
    <row r="180" spans="1:61" x14ac:dyDescent="0.25">
      <c r="A180" s="142">
        <v>0</v>
      </c>
      <c r="B180" s="85">
        <v>40348</v>
      </c>
      <c r="C180" s="203">
        <v>40348</v>
      </c>
      <c r="D180" s="76">
        <v>39620</v>
      </c>
      <c r="E180" s="77">
        <v>40348</v>
      </c>
      <c r="F180" s="78">
        <v>24</v>
      </c>
      <c r="G180" s="79"/>
      <c r="H180" s="80"/>
      <c r="I180" s="212"/>
      <c r="J180" s="212"/>
      <c r="K180" s="231">
        <v>1824</v>
      </c>
      <c r="L180" s="231">
        <v>125.17647058823529</v>
      </c>
      <c r="M180" s="231">
        <v>1949.1764705882354</v>
      </c>
      <c r="N180" s="231">
        <v>1347.7647058823529</v>
      </c>
      <c r="O180" s="231">
        <v>188.23529411764707</v>
      </c>
      <c r="P180" s="231">
        <v>1536</v>
      </c>
      <c r="Q180" s="231">
        <v>51.764705882352942</v>
      </c>
      <c r="R180" s="231">
        <v>0</v>
      </c>
      <c r="S180" s="231">
        <v>51.764705882352942</v>
      </c>
      <c r="T180" s="231">
        <v>188.23529411764707</v>
      </c>
      <c r="U180" s="231">
        <v>748.23529411764707</v>
      </c>
      <c r="V180" s="231">
        <v>936.47058823529414</v>
      </c>
      <c r="W180" s="231">
        <v>1587.7647058823529</v>
      </c>
      <c r="X180" s="231">
        <v>936.47058823529414</v>
      </c>
      <c r="Y180" s="231">
        <v>2524.2352941176468</v>
      </c>
      <c r="Z180" s="205">
        <v>4473.411764705882</v>
      </c>
      <c r="AA180" s="231">
        <v>41.411764705882355</v>
      </c>
      <c r="AB180" s="231">
        <v>2.0705882352941178</v>
      </c>
      <c r="AC180" s="231">
        <v>43.482352941176472</v>
      </c>
      <c r="AD180" s="231">
        <v>0</v>
      </c>
      <c r="AE180" s="231">
        <v>0</v>
      </c>
      <c r="AF180" s="231">
        <v>0</v>
      </c>
      <c r="AG180" s="231">
        <v>33.882352941176471</v>
      </c>
      <c r="AH180" s="231">
        <v>1.6941176470588235</v>
      </c>
      <c r="AI180" s="231">
        <v>35.576470588235289</v>
      </c>
      <c r="AJ180" s="231">
        <v>3.7647058823529411</v>
      </c>
      <c r="AK180" s="231">
        <v>23.529411764705884</v>
      </c>
      <c r="AL180" s="231">
        <v>27.294117647058822</v>
      </c>
      <c r="AM180" s="231">
        <v>37.647058823529413</v>
      </c>
      <c r="AN180" s="231">
        <v>25.223529411764705</v>
      </c>
      <c r="AO180" s="231">
        <v>62.870588235294115</v>
      </c>
      <c r="AP180" s="205">
        <v>106.35294117647059</v>
      </c>
      <c r="AQ180" s="232">
        <v>0</v>
      </c>
      <c r="AR180" s="200">
        <v>1992.6588235294118</v>
      </c>
      <c r="AS180" s="200">
        <v>2587.1058823529411</v>
      </c>
      <c r="AT180" s="66">
        <v>4579.7647058823532</v>
      </c>
      <c r="AU180" s="231">
        <v>94.117647058823536</v>
      </c>
      <c r="AV180" s="231">
        <v>47.058823529411768</v>
      </c>
      <c r="AW180" s="75">
        <v>329.41176470588238</v>
      </c>
      <c r="AX180" s="452">
        <v>824</v>
      </c>
      <c r="AY180" s="66">
        <v>1294.5882352941176</v>
      </c>
      <c r="AZ180" s="208">
        <v>0</v>
      </c>
      <c r="BA180" s="86">
        <v>1187.7647058823529</v>
      </c>
      <c r="BB180" s="86">
        <v>1470.1176470588234</v>
      </c>
      <c r="BC180" s="86">
        <v>1187.7647058823529</v>
      </c>
      <c r="BD180" s="86">
        <v>1470.1176470588234</v>
      </c>
      <c r="BE180" s="86">
        <v>2657.8823529411766</v>
      </c>
      <c r="BF180" s="86">
        <v>1648.9411764705883</v>
      </c>
      <c r="BG180" s="209">
        <v>4306.8235294117649</v>
      </c>
      <c r="BH180" s="67">
        <v>10181.176470588236</v>
      </c>
      <c r="BI180" s="67">
        <v>664521.04847653338</v>
      </c>
    </row>
    <row r="181" spans="1:61" x14ac:dyDescent="0.25">
      <c r="A181" s="142">
        <v>0</v>
      </c>
      <c r="B181" s="85">
        <v>40349</v>
      </c>
      <c r="C181" s="203">
        <v>40349</v>
      </c>
      <c r="D181" s="76">
        <v>39621</v>
      </c>
      <c r="E181" s="77">
        <v>40349</v>
      </c>
      <c r="F181" s="78">
        <v>24</v>
      </c>
      <c r="G181" s="79"/>
      <c r="H181" s="80"/>
      <c r="I181" s="212"/>
      <c r="J181" s="212"/>
      <c r="K181" s="231">
        <v>851.76470588235293</v>
      </c>
      <c r="L181" s="231">
        <v>128</v>
      </c>
      <c r="M181" s="231">
        <v>979.76470588235293</v>
      </c>
      <c r="N181" s="231">
        <v>635.29411764705878</v>
      </c>
      <c r="O181" s="231">
        <v>164.70588235294119</v>
      </c>
      <c r="P181" s="231">
        <v>800</v>
      </c>
      <c r="Q181" s="231">
        <v>18.823529411764707</v>
      </c>
      <c r="R181" s="231">
        <v>0</v>
      </c>
      <c r="S181" s="231">
        <v>18.823529411764707</v>
      </c>
      <c r="T181" s="231">
        <v>127.05882352941177</v>
      </c>
      <c r="U181" s="231">
        <v>644.70588235294122</v>
      </c>
      <c r="V181" s="231">
        <v>771.76470588235293</v>
      </c>
      <c r="W181" s="231">
        <v>781.17647058823525</v>
      </c>
      <c r="X181" s="231">
        <v>809.41176470588232</v>
      </c>
      <c r="Y181" s="231">
        <v>1590.5882352941176</v>
      </c>
      <c r="Z181" s="205">
        <v>2570.3529411764707</v>
      </c>
      <c r="AA181" s="231">
        <v>51.247058823529414</v>
      </c>
      <c r="AB181" s="231">
        <v>3.1058823529411761</v>
      </c>
      <c r="AC181" s="231">
        <v>54.352941176470587</v>
      </c>
      <c r="AD181" s="231">
        <v>1.8823529411764706</v>
      </c>
      <c r="AE181" s="231">
        <v>0</v>
      </c>
      <c r="AF181" s="231">
        <v>1.8823529411764706</v>
      </c>
      <c r="AG181" s="231">
        <v>41.929411764705883</v>
      </c>
      <c r="AH181" s="231">
        <v>2.5411764705882356</v>
      </c>
      <c r="AI181" s="231">
        <v>44.470588235294116</v>
      </c>
      <c r="AJ181" s="231">
        <v>13.176470588235293</v>
      </c>
      <c r="AK181" s="231">
        <v>32.941176470588232</v>
      </c>
      <c r="AL181" s="231">
        <v>46.117647058823529</v>
      </c>
      <c r="AM181" s="231">
        <v>56.988235294117644</v>
      </c>
      <c r="AN181" s="231">
        <v>35.482352941176472</v>
      </c>
      <c r="AO181" s="231">
        <v>92.470588235294116</v>
      </c>
      <c r="AP181" s="205">
        <v>146.8235294117647</v>
      </c>
      <c r="AQ181" s="232">
        <v>0</v>
      </c>
      <c r="AR181" s="200">
        <v>1034.1176470588234</v>
      </c>
      <c r="AS181" s="200">
        <v>1683.0588235294117</v>
      </c>
      <c r="AT181" s="66">
        <v>2717.1764705882351</v>
      </c>
      <c r="AU181" s="231">
        <v>70.588235294117652</v>
      </c>
      <c r="AV181" s="231">
        <v>37.647058823529413</v>
      </c>
      <c r="AW181" s="75">
        <v>94.117647058823536</v>
      </c>
      <c r="AX181" s="231">
        <v>258.8235294117647</v>
      </c>
      <c r="AY181" s="66">
        <v>461.1764705882353</v>
      </c>
      <c r="AZ181" s="208">
        <v>0</v>
      </c>
      <c r="BA181" s="86">
        <v>560</v>
      </c>
      <c r="BB181" s="86">
        <v>1335.5294117647059</v>
      </c>
      <c r="BC181" s="86">
        <v>560</v>
      </c>
      <c r="BD181" s="86">
        <v>1335.5294117647059</v>
      </c>
      <c r="BE181" s="86">
        <v>1895.5294117647059</v>
      </c>
      <c r="BF181" s="86">
        <v>720</v>
      </c>
      <c r="BG181" s="209">
        <v>2615.5294117647059</v>
      </c>
      <c r="BH181" s="67">
        <v>5793.8823529411766</v>
      </c>
      <c r="BI181" s="67">
        <v>670314.93082947459</v>
      </c>
    </row>
    <row r="182" spans="1:61" x14ac:dyDescent="0.25">
      <c r="A182" s="142">
        <v>0</v>
      </c>
      <c r="B182" s="68">
        <v>40350</v>
      </c>
      <c r="C182" s="198">
        <v>40350</v>
      </c>
      <c r="D182" s="69">
        <v>39622</v>
      </c>
      <c r="E182" s="70">
        <v>40350</v>
      </c>
      <c r="F182" s="71">
        <v>25</v>
      </c>
      <c r="G182" s="72"/>
      <c r="H182" s="82"/>
      <c r="I182" s="210"/>
      <c r="J182" s="210"/>
      <c r="K182" s="235">
        <v>452.70588235294116</v>
      </c>
      <c r="L182" s="235">
        <v>65.882352941176464</v>
      </c>
      <c r="M182" s="235">
        <v>518.58823529411757</v>
      </c>
      <c r="N182" s="235">
        <v>191.05882352941177</v>
      </c>
      <c r="O182" s="235">
        <v>30.117647058823529</v>
      </c>
      <c r="P182" s="235">
        <v>221.1764705882353</v>
      </c>
      <c r="Q182" s="235">
        <v>12.235294117647058</v>
      </c>
      <c r="R182" s="235">
        <v>0</v>
      </c>
      <c r="S182" s="235">
        <v>12.235294117647058</v>
      </c>
      <c r="T182" s="235">
        <v>80</v>
      </c>
      <c r="U182" s="235">
        <v>251.29411764705881</v>
      </c>
      <c r="V182" s="235">
        <v>331.29411764705884</v>
      </c>
      <c r="W182" s="235">
        <v>283.29411764705884</v>
      </c>
      <c r="X182" s="235">
        <v>281.41176470588238</v>
      </c>
      <c r="Y182" s="235">
        <v>564.70588235294122</v>
      </c>
      <c r="Z182" s="200">
        <v>1083.2941176470588</v>
      </c>
      <c r="AA182" s="235">
        <v>62.117647058823529</v>
      </c>
      <c r="AB182" s="235">
        <v>8.2823529411764714</v>
      </c>
      <c r="AC182" s="235">
        <v>70.400000000000006</v>
      </c>
      <c r="AD182" s="235">
        <v>0</v>
      </c>
      <c r="AE182" s="235">
        <v>0</v>
      </c>
      <c r="AF182" s="235">
        <v>0</v>
      </c>
      <c r="AG182" s="235">
        <v>50.823529411764703</v>
      </c>
      <c r="AH182" s="235">
        <v>6.776470588235294</v>
      </c>
      <c r="AI182" s="235">
        <v>57.6</v>
      </c>
      <c r="AJ182" s="235">
        <v>25.411764705882351</v>
      </c>
      <c r="AK182" s="235">
        <v>38.588235294117645</v>
      </c>
      <c r="AL182" s="235">
        <v>64</v>
      </c>
      <c r="AM182" s="235">
        <v>76.235294117647058</v>
      </c>
      <c r="AN182" s="235">
        <v>45.364705882352943</v>
      </c>
      <c r="AO182" s="235">
        <v>121.6</v>
      </c>
      <c r="AP182" s="200">
        <v>192</v>
      </c>
      <c r="AQ182" s="141">
        <v>0</v>
      </c>
      <c r="AR182" s="200">
        <v>588.98823529411754</v>
      </c>
      <c r="AS182" s="200">
        <v>686.30588235294124</v>
      </c>
      <c r="AT182" s="66">
        <v>1275.2941176470588</v>
      </c>
      <c r="AU182" s="235">
        <v>70.588235294117652</v>
      </c>
      <c r="AV182" s="235">
        <v>14.117647058823529</v>
      </c>
      <c r="AW182" s="75">
        <v>18.823529411764707</v>
      </c>
      <c r="AX182" s="235">
        <v>70.588235294117652</v>
      </c>
      <c r="AY182" s="66">
        <v>174.11764705882354</v>
      </c>
      <c r="AZ182" s="208">
        <v>0</v>
      </c>
      <c r="BA182" s="87">
        <v>56.470588235294116</v>
      </c>
      <c r="BB182" s="87">
        <v>0</v>
      </c>
      <c r="BC182" s="87">
        <v>56.470588235294116</v>
      </c>
      <c r="BD182" s="87">
        <v>0</v>
      </c>
      <c r="BE182" s="87">
        <v>56.470588235294116</v>
      </c>
      <c r="BF182" s="87">
        <v>486.58823529411762</v>
      </c>
      <c r="BG182" s="66">
        <v>543.05882352941171</v>
      </c>
      <c r="BH182" s="67">
        <v>1992.4705882352941</v>
      </c>
      <c r="BI182" s="67">
        <v>672307.40141770989</v>
      </c>
    </row>
    <row r="183" spans="1:61" x14ac:dyDescent="0.25">
      <c r="A183" s="142">
        <v>0</v>
      </c>
      <c r="B183" s="68">
        <v>40351</v>
      </c>
      <c r="C183" s="198">
        <v>40351</v>
      </c>
      <c r="D183" s="69">
        <v>39623</v>
      </c>
      <c r="E183" s="70">
        <v>40351</v>
      </c>
      <c r="F183" s="71">
        <v>25</v>
      </c>
      <c r="G183" s="72"/>
      <c r="H183" s="82"/>
      <c r="I183" s="210"/>
      <c r="J183" s="210"/>
      <c r="K183" s="235">
        <v>736.94117647058829</v>
      </c>
      <c r="L183" s="235">
        <v>47.058823529411768</v>
      </c>
      <c r="M183" s="235">
        <v>784</v>
      </c>
      <c r="N183" s="235">
        <v>238.11764705882354</v>
      </c>
      <c r="O183" s="235">
        <v>46.117647058823529</v>
      </c>
      <c r="P183" s="235">
        <v>284.23529411764707</v>
      </c>
      <c r="Q183" s="235">
        <v>16</v>
      </c>
      <c r="R183" s="235">
        <v>8.4705882352941178</v>
      </c>
      <c r="S183" s="235">
        <v>24.470588235294116</v>
      </c>
      <c r="T183" s="235">
        <v>84.705882352941174</v>
      </c>
      <c r="U183" s="235">
        <v>400.94117647058823</v>
      </c>
      <c r="V183" s="235">
        <v>485.64705882352939</v>
      </c>
      <c r="W183" s="235">
        <v>338.8235294117647</v>
      </c>
      <c r="X183" s="235">
        <v>455.52941176470586</v>
      </c>
      <c r="Y183" s="235">
        <v>794.35294117647061</v>
      </c>
      <c r="Z183" s="200">
        <v>1578.3529411764705</v>
      </c>
      <c r="AA183" s="235">
        <v>56.941176470588232</v>
      </c>
      <c r="AB183" s="235">
        <v>12.423529411764704</v>
      </c>
      <c r="AC183" s="235">
        <v>69.364705882352951</v>
      </c>
      <c r="AD183" s="235">
        <v>0</v>
      </c>
      <c r="AE183" s="235">
        <v>0</v>
      </c>
      <c r="AF183" s="235">
        <v>0</v>
      </c>
      <c r="AG183" s="235">
        <v>46.588235294117645</v>
      </c>
      <c r="AH183" s="235">
        <v>10.164705882352942</v>
      </c>
      <c r="AI183" s="235">
        <v>56.752941176470586</v>
      </c>
      <c r="AJ183" s="235">
        <v>9.4117647058823533</v>
      </c>
      <c r="AK183" s="235">
        <v>32.941176470588232</v>
      </c>
      <c r="AL183" s="235">
        <v>42.352941176470587</v>
      </c>
      <c r="AM183" s="235">
        <v>56</v>
      </c>
      <c r="AN183" s="235">
        <v>43.105882352941173</v>
      </c>
      <c r="AO183" s="235">
        <v>99.10588235294118</v>
      </c>
      <c r="AP183" s="200">
        <v>168.47058823529412</v>
      </c>
      <c r="AQ183" s="141">
        <v>0</v>
      </c>
      <c r="AR183" s="200">
        <v>853.36470588235295</v>
      </c>
      <c r="AS183" s="200">
        <v>893.4588235294118</v>
      </c>
      <c r="AT183" s="66">
        <v>1746.8235294117649</v>
      </c>
      <c r="AU183" s="235">
        <v>70.588235294117652</v>
      </c>
      <c r="AV183" s="235">
        <v>9.4117647058823533</v>
      </c>
      <c r="AW183" s="75">
        <v>18.823529411764707</v>
      </c>
      <c r="AX183" s="235">
        <v>117.64705882352941</v>
      </c>
      <c r="AY183" s="66">
        <v>216.47058823529412</v>
      </c>
      <c r="AZ183" s="208">
        <v>0</v>
      </c>
      <c r="BA183" s="87">
        <v>148.70588235294119</v>
      </c>
      <c r="BB183" s="87">
        <v>0</v>
      </c>
      <c r="BC183" s="87">
        <v>148.70588235294119</v>
      </c>
      <c r="BD183" s="87">
        <v>0</v>
      </c>
      <c r="BE183" s="87">
        <v>148.70588235294119</v>
      </c>
      <c r="BF183" s="87">
        <v>1247.0588235294117</v>
      </c>
      <c r="BG183" s="66">
        <v>1395.7647058823529</v>
      </c>
      <c r="BH183" s="67">
        <v>3359.0588235294117</v>
      </c>
      <c r="BI183" s="67">
        <v>675666.46024123929</v>
      </c>
    </row>
    <row r="184" spans="1:61" x14ac:dyDescent="0.25">
      <c r="A184" s="142">
        <v>0</v>
      </c>
      <c r="B184" s="68">
        <v>40352</v>
      </c>
      <c r="C184" s="198">
        <v>40352</v>
      </c>
      <c r="D184" s="69">
        <v>39624</v>
      </c>
      <c r="E184" s="70">
        <v>40352</v>
      </c>
      <c r="F184" s="71">
        <v>25</v>
      </c>
      <c r="G184" s="72"/>
      <c r="H184" s="82"/>
      <c r="I184" s="210"/>
      <c r="J184" s="210"/>
      <c r="K184" s="235">
        <v>459.29411764705884</v>
      </c>
      <c r="L184" s="235">
        <v>46.117647058823529</v>
      </c>
      <c r="M184" s="235">
        <v>505.41176470588238</v>
      </c>
      <c r="N184" s="235">
        <v>197.64705882352942</v>
      </c>
      <c r="O184" s="235">
        <v>42.352941176470587</v>
      </c>
      <c r="P184" s="235">
        <v>240</v>
      </c>
      <c r="Q184" s="235">
        <v>7.5294117647058822</v>
      </c>
      <c r="R184" s="235">
        <v>8.4705882352941178</v>
      </c>
      <c r="S184" s="235">
        <v>16</v>
      </c>
      <c r="T184" s="235">
        <v>68.705882352941174</v>
      </c>
      <c r="U184" s="235">
        <v>364.23529411764707</v>
      </c>
      <c r="V184" s="235">
        <v>432.94117647058823</v>
      </c>
      <c r="W184" s="235">
        <v>273.88235294117646</v>
      </c>
      <c r="X184" s="235">
        <v>415.05882352941177</v>
      </c>
      <c r="Y184" s="235">
        <v>688.94117647058829</v>
      </c>
      <c r="Z184" s="200">
        <v>1194.3529411764705</v>
      </c>
      <c r="AA184" s="235">
        <v>54.352941176470587</v>
      </c>
      <c r="AB184" s="235">
        <v>7.2470588235294118</v>
      </c>
      <c r="AC184" s="235">
        <v>61.6</v>
      </c>
      <c r="AD184" s="235">
        <v>0</v>
      </c>
      <c r="AE184" s="235">
        <v>0</v>
      </c>
      <c r="AF184" s="235">
        <v>0</v>
      </c>
      <c r="AG184" s="235">
        <v>44.470588235294116</v>
      </c>
      <c r="AH184" s="235">
        <v>5.9294117647058826</v>
      </c>
      <c r="AI184" s="235">
        <v>50.4</v>
      </c>
      <c r="AJ184" s="235">
        <v>13.176470588235293</v>
      </c>
      <c r="AK184" s="235">
        <v>30.117647058823529</v>
      </c>
      <c r="AL184" s="235">
        <v>43.294117647058826</v>
      </c>
      <c r="AM184" s="235">
        <v>57.647058823529413</v>
      </c>
      <c r="AN184" s="235">
        <v>36.047058823529412</v>
      </c>
      <c r="AO184" s="235">
        <v>93.694117647058818</v>
      </c>
      <c r="AP184" s="200">
        <v>155.29411764705881</v>
      </c>
      <c r="AQ184" s="141">
        <v>0</v>
      </c>
      <c r="AR184" s="200">
        <v>567.01176470588234</v>
      </c>
      <c r="AS184" s="200">
        <v>782.63529411764716</v>
      </c>
      <c r="AT184" s="66">
        <v>1349.6470588235295</v>
      </c>
      <c r="AU184" s="235">
        <v>70.588235294117652</v>
      </c>
      <c r="AV184" s="235">
        <v>18.823529411764707</v>
      </c>
      <c r="AW184" s="75">
        <v>47.058823529411768</v>
      </c>
      <c r="AX184" s="235">
        <v>75.294117647058826</v>
      </c>
      <c r="AY184" s="66">
        <v>211.76470588235298</v>
      </c>
      <c r="AZ184" s="208">
        <v>0</v>
      </c>
      <c r="BA184" s="87">
        <v>196.70588235294119</v>
      </c>
      <c r="BB184" s="87">
        <v>0</v>
      </c>
      <c r="BC184" s="87">
        <v>196.70588235294119</v>
      </c>
      <c r="BD184" s="87">
        <v>0</v>
      </c>
      <c r="BE184" s="87">
        <v>196.70588235294119</v>
      </c>
      <c r="BF184" s="87">
        <v>2896.9411764705883</v>
      </c>
      <c r="BG184" s="66">
        <v>3093.6470588235293</v>
      </c>
      <c r="BH184" s="67">
        <v>4655.0588235294117</v>
      </c>
      <c r="BI184" s="67">
        <v>680321.51906476868</v>
      </c>
    </row>
    <row r="185" spans="1:61" x14ac:dyDescent="0.25">
      <c r="A185" s="142">
        <v>0</v>
      </c>
      <c r="B185" s="68">
        <v>40353</v>
      </c>
      <c r="C185" s="198">
        <v>40353</v>
      </c>
      <c r="D185" s="69">
        <v>39625</v>
      </c>
      <c r="E185" s="70">
        <v>40353</v>
      </c>
      <c r="F185" s="71">
        <v>25</v>
      </c>
      <c r="G185" s="72"/>
      <c r="H185" s="82"/>
      <c r="I185" s="210"/>
      <c r="J185" s="210"/>
      <c r="K185" s="235">
        <v>581.64705882352939</v>
      </c>
      <c r="L185" s="235">
        <v>51.764705882352942</v>
      </c>
      <c r="M185" s="235">
        <v>633.41176470588232</v>
      </c>
      <c r="N185" s="235">
        <v>201.41176470588235</v>
      </c>
      <c r="O185" s="235">
        <v>21.647058823529413</v>
      </c>
      <c r="P185" s="235">
        <v>223.05882352941177</v>
      </c>
      <c r="Q185" s="235">
        <v>29.176470588235293</v>
      </c>
      <c r="R185" s="235">
        <v>0</v>
      </c>
      <c r="S185" s="235">
        <v>29.176470588235293</v>
      </c>
      <c r="T185" s="235">
        <v>114.82352941176471</v>
      </c>
      <c r="U185" s="235">
        <v>334.11764705882354</v>
      </c>
      <c r="V185" s="235">
        <v>448.94117647058823</v>
      </c>
      <c r="W185" s="235">
        <v>345.41176470588238</v>
      </c>
      <c r="X185" s="235">
        <v>355.76470588235293</v>
      </c>
      <c r="Y185" s="235">
        <v>701.17647058823525</v>
      </c>
      <c r="Z185" s="200">
        <v>1334.5882352941176</v>
      </c>
      <c r="AA185" s="235">
        <v>89.035294117647055</v>
      </c>
      <c r="AB185" s="235">
        <v>15.011764705882353</v>
      </c>
      <c r="AC185" s="235">
        <v>104.04705882352941</v>
      </c>
      <c r="AD185" s="235">
        <v>3.7647058823529411</v>
      </c>
      <c r="AE185" s="235">
        <v>0</v>
      </c>
      <c r="AF185" s="235">
        <v>3.7647058823529411</v>
      </c>
      <c r="AG185" s="235">
        <v>72.847058823529423</v>
      </c>
      <c r="AH185" s="235">
        <v>12.282352941176471</v>
      </c>
      <c r="AI185" s="235">
        <v>85.129411764705878</v>
      </c>
      <c r="AJ185" s="235">
        <v>24.470588235294116</v>
      </c>
      <c r="AK185" s="235">
        <v>75.294117647058826</v>
      </c>
      <c r="AL185" s="235">
        <v>99.764705882352942</v>
      </c>
      <c r="AM185" s="235">
        <v>101.08235294117648</v>
      </c>
      <c r="AN185" s="235">
        <v>87.576470588235296</v>
      </c>
      <c r="AO185" s="235">
        <v>188.65882352941176</v>
      </c>
      <c r="AP185" s="200">
        <v>292.70588235294116</v>
      </c>
      <c r="AQ185" s="141">
        <v>0</v>
      </c>
      <c r="AR185" s="200">
        <v>737.45882352941169</v>
      </c>
      <c r="AS185" s="200">
        <v>889.83529411764698</v>
      </c>
      <c r="AT185" s="66">
        <v>1627.2941176470586</v>
      </c>
      <c r="AU185" s="235">
        <v>70.588235294117652</v>
      </c>
      <c r="AV185" s="235">
        <v>18.823529411764707</v>
      </c>
      <c r="AW185" s="75">
        <v>47.058823529411768</v>
      </c>
      <c r="AX185" s="235">
        <v>136.47058823529412</v>
      </c>
      <c r="AY185" s="66">
        <v>272.94117647058829</v>
      </c>
      <c r="AZ185" s="202">
        <v>0</v>
      </c>
      <c r="BA185" s="87">
        <v>153.41176470588235</v>
      </c>
      <c r="BB185" s="87">
        <v>39.529411764705884</v>
      </c>
      <c r="BC185" s="87">
        <v>153.41176470588235</v>
      </c>
      <c r="BD185" s="87">
        <v>39.529411764705884</v>
      </c>
      <c r="BE185" s="87">
        <v>192.94117647058823</v>
      </c>
      <c r="BF185" s="87">
        <v>1548.2352941176471</v>
      </c>
      <c r="BG185" s="66">
        <v>1741.1764705882354</v>
      </c>
      <c r="BH185" s="67">
        <v>3641.411764705882</v>
      </c>
      <c r="BI185" s="67">
        <v>683962.93082947459</v>
      </c>
    </row>
    <row r="186" spans="1:61" x14ac:dyDescent="0.25">
      <c r="A186" s="142">
        <v>0</v>
      </c>
      <c r="B186" s="68">
        <v>40354</v>
      </c>
      <c r="C186" s="198">
        <v>40354</v>
      </c>
      <c r="D186" s="69">
        <v>39626</v>
      </c>
      <c r="E186" s="70">
        <v>40354</v>
      </c>
      <c r="F186" s="71">
        <v>25</v>
      </c>
      <c r="G186" s="72"/>
      <c r="H186" s="82"/>
      <c r="I186" s="210"/>
      <c r="J186" s="210"/>
      <c r="K186" s="235">
        <v>477.1764705882353</v>
      </c>
      <c r="L186" s="235">
        <v>50.823529411764703</v>
      </c>
      <c r="M186" s="235">
        <v>528</v>
      </c>
      <c r="N186" s="235">
        <v>291.76470588235293</v>
      </c>
      <c r="O186" s="235">
        <v>28.235294117647058</v>
      </c>
      <c r="P186" s="235">
        <v>320</v>
      </c>
      <c r="Q186" s="235">
        <v>6.5882352941176467</v>
      </c>
      <c r="R186" s="235">
        <v>0</v>
      </c>
      <c r="S186" s="235">
        <v>6.5882352941176467</v>
      </c>
      <c r="T186" s="235">
        <v>127.05882352941177</v>
      </c>
      <c r="U186" s="235">
        <v>306.8235294117647</v>
      </c>
      <c r="V186" s="235">
        <v>433.88235294117646</v>
      </c>
      <c r="W186" s="235">
        <v>425.41176470588238</v>
      </c>
      <c r="X186" s="235">
        <v>335.05882352941177</v>
      </c>
      <c r="Y186" s="235">
        <v>760.47058823529414</v>
      </c>
      <c r="Z186" s="200">
        <v>1288.4705882352941</v>
      </c>
      <c r="AA186" s="235">
        <v>93.17647058823529</v>
      </c>
      <c r="AB186" s="235">
        <v>15.011764705882353</v>
      </c>
      <c r="AC186" s="235">
        <v>108.18823529411765</v>
      </c>
      <c r="AD186" s="235">
        <v>6.5882352941176467</v>
      </c>
      <c r="AE186" s="235">
        <v>0</v>
      </c>
      <c r="AF186" s="235">
        <v>6.5882352941176467</v>
      </c>
      <c r="AG186" s="235">
        <v>76.235294117647058</v>
      </c>
      <c r="AH186" s="235">
        <v>12.282352941176471</v>
      </c>
      <c r="AI186" s="235">
        <v>88.517647058823528</v>
      </c>
      <c r="AJ186" s="235">
        <v>17.882352941176471</v>
      </c>
      <c r="AK186" s="235">
        <v>89.411764705882348</v>
      </c>
      <c r="AL186" s="235">
        <v>107.29411764705883</v>
      </c>
      <c r="AM186" s="235">
        <v>100.70588235294117</v>
      </c>
      <c r="AN186" s="235">
        <v>101.69411764705882</v>
      </c>
      <c r="AO186" s="235">
        <v>202.4</v>
      </c>
      <c r="AP186" s="200">
        <v>310.58823529411762</v>
      </c>
      <c r="AQ186" s="141">
        <v>0</v>
      </c>
      <c r="AR186" s="200">
        <v>636.1882352941177</v>
      </c>
      <c r="AS186" s="200">
        <v>962.87058823529412</v>
      </c>
      <c r="AT186" s="66">
        <v>1599.0588235294117</v>
      </c>
      <c r="AU186" s="235">
        <v>70.588235294117652</v>
      </c>
      <c r="AV186" s="235">
        <v>14.117647058823529</v>
      </c>
      <c r="AW186" s="75">
        <v>188.23529411764707</v>
      </c>
      <c r="AX186" s="235">
        <v>141.1764705882353</v>
      </c>
      <c r="AY186" s="66">
        <v>414.11764705882359</v>
      </c>
      <c r="AZ186" s="202">
        <v>0</v>
      </c>
      <c r="BA186" s="87">
        <v>160</v>
      </c>
      <c r="BB186" s="87">
        <v>0</v>
      </c>
      <c r="BC186" s="87">
        <v>160</v>
      </c>
      <c r="BD186" s="87">
        <v>0</v>
      </c>
      <c r="BE186" s="87">
        <v>160</v>
      </c>
      <c r="BF186" s="87">
        <v>2442.3529411764707</v>
      </c>
      <c r="BG186" s="66">
        <v>2602.3529411764707</v>
      </c>
      <c r="BH186" s="67">
        <v>4615.5294117647063</v>
      </c>
      <c r="BI186" s="67">
        <v>688578.46024123929</v>
      </c>
    </row>
    <row r="187" spans="1:61" x14ac:dyDescent="0.25">
      <c r="A187" s="142">
        <v>0</v>
      </c>
      <c r="B187" s="85">
        <v>40355</v>
      </c>
      <c r="C187" s="203">
        <v>40355</v>
      </c>
      <c r="D187" s="76">
        <v>39627</v>
      </c>
      <c r="E187" s="77">
        <v>40355</v>
      </c>
      <c r="F187" s="78">
        <v>25</v>
      </c>
      <c r="G187" s="79"/>
      <c r="H187" s="80"/>
      <c r="I187" s="212"/>
      <c r="J187" s="212"/>
      <c r="K187" s="231">
        <v>1694.1176470588234</v>
      </c>
      <c r="L187" s="231">
        <v>174.11764705882354</v>
      </c>
      <c r="M187" s="231">
        <v>1868.2352941176468</v>
      </c>
      <c r="N187" s="231">
        <v>1394.8235294117646</v>
      </c>
      <c r="O187" s="231">
        <v>188.23529411764707</v>
      </c>
      <c r="P187" s="231">
        <v>1583.0588235294117</v>
      </c>
      <c r="Q187" s="231">
        <v>117.64705882352941</v>
      </c>
      <c r="R187" s="231">
        <v>0</v>
      </c>
      <c r="S187" s="231">
        <v>117.64705882352941</v>
      </c>
      <c r="T187" s="231">
        <v>197.64705882352942</v>
      </c>
      <c r="U187" s="231">
        <v>861.17647058823525</v>
      </c>
      <c r="V187" s="231">
        <v>1058.8235294117646</v>
      </c>
      <c r="W187" s="231">
        <v>1710.1176470588234</v>
      </c>
      <c r="X187" s="231">
        <v>1049.4117647058824</v>
      </c>
      <c r="Y187" s="231">
        <v>2759.5294117647059</v>
      </c>
      <c r="Z187" s="205">
        <v>4627.7647058823532</v>
      </c>
      <c r="AA187" s="231">
        <v>67.294117647058826</v>
      </c>
      <c r="AB187" s="231">
        <v>26.4</v>
      </c>
      <c r="AC187" s="231">
        <v>93.694117647058818</v>
      </c>
      <c r="AD187" s="231">
        <v>2.8235294117647061</v>
      </c>
      <c r="AE187" s="231">
        <v>0</v>
      </c>
      <c r="AF187" s="231">
        <v>2.8235294117647061</v>
      </c>
      <c r="AG187" s="231">
        <v>55.058823529411768</v>
      </c>
      <c r="AH187" s="231">
        <v>21.6</v>
      </c>
      <c r="AI187" s="231">
        <v>76.658823529411762</v>
      </c>
      <c r="AJ187" s="231">
        <v>16.941176470588236</v>
      </c>
      <c r="AK187" s="231">
        <v>51.764705882352942</v>
      </c>
      <c r="AL187" s="231">
        <v>68.705882352941174</v>
      </c>
      <c r="AM187" s="231">
        <v>74.82352941176471</v>
      </c>
      <c r="AN187" s="231">
        <v>73.364705882352951</v>
      </c>
      <c r="AO187" s="231">
        <v>148.18823529411765</v>
      </c>
      <c r="AP187" s="205">
        <v>241.88235294117646</v>
      </c>
      <c r="AQ187" s="232">
        <v>0</v>
      </c>
      <c r="AR187" s="200">
        <v>1961.9294117647057</v>
      </c>
      <c r="AS187" s="200">
        <v>2907.7176470588233</v>
      </c>
      <c r="AT187" s="66">
        <v>4869.6470588235288</v>
      </c>
      <c r="AU187" s="231">
        <v>94.117647058823536</v>
      </c>
      <c r="AV187" s="231">
        <v>37.647058823529413</v>
      </c>
      <c r="AW187" s="75">
        <v>94.117647058823536</v>
      </c>
      <c r="AX187" s="231">
        <v>320</v>
      </c>
      <c r="AY187" s="66">
        <v>545.88235294117646</v>
      </c>
      <c r="AZ187" s="208">
        <v>0</v>
      </c>
      <c r="BA187" s="86">
        <v>1195.2941176470588</v>
      </c>
      <c r="BB187" s="86">
        <v>1508.7058823529412</v>
      </c>
      <c r="BC187" s="86">
        <v>1237.6470588235295</v>
      </c>
      <c r="BD187" s="86">
        <v>1508.7058823529412</v>
      </c>
      <c r="BE187" s="86">
        <v>2746.3529411764707</v>
      </c>
      <c r="BF187" s="86">
        <v>2307.7647058823532</v>
      </c>
      <c r="BG187" s="209">
        <v>5054.1176470588234</v>
      </c>
      <c r="BH187" s="67">
        <v>10469.647058823528</v>
      </c>
      <c r="BI187" s="67">
        <v>699048.10730006278</v>
      </c>
    </row>
    <row r="188" spans="1:61" x14ac:dyDescent="0.25">
      <c r="A188" s="142">
        <v>0</v>
      </c>
      <c r="B188" s="85">
        <v>40356</v>
      </c>
      <c r="C188" s="203">
        <v>40356</v>
      </c>
      <c r="D188" s="76">
        <v>39628</v>
      </c>
      <c r="E188" s="77">
        <v>40356</v>
      </c>
      <c r="F188" s="78">
        <v>25</v>
      </c>
      <c r="G188" s="79"/>
      <c r="H188" s="80"/>
      <c r="I188" s="212"/>
      <c r="J188" s="212"/>
      <c r="K188" s="231">
        <v>1176.4705882352941</v>
      </c>
      <c r="L188" s="231">
        <v>169.41176470588235</v>
      </c>
      <c r="M188" s="231">
        <v>1345.8823529411766</v>
      </c>
      <c r="N188" s="231">
        <v>623.05882352941171</v>
      </c>
      <c r="O188" s="231">
        <v>178.8235294117647</v>
      </c>
      <c r="P188" s="231">
        <v>801.88235294117646</v>
      </c>
      <c r="Q188" s="231">
        <v>51.764705882352942</v>
      </c>
      <c r="R188" s="231">
        <v>0</v>
      </c>
      <c r="S188" s="231">
        <v>51.764705882352942</v>
      </c>
      <c r="T188" s="231">
        <v>131.76470588235293</v>
      </c>
      <c r="U188" s="231">
        <v>851.76470588235293</v>
      </c>
      <c r="V188" s="231">
        <v>983.52941176470586</v>
      </c>
      <c r="W188" s="231">
        <v>806.58823529411768</v>
      </c>
      <c r="X188" s="231">
        <v>1030.5882352941176</v>
      </c>
      <c r="Y188" s="231">
        <v>1837.1764705882354</v>
      </c>
      <c r="Z188" s="205">
        <v>3183.0588235294117</v>
      </c>
      <c r="AA188" s="231">
        <v>54.352941176470587</v>
      </c>
      <c r="AB188" s="231">
        <v>34.682352941176475</v>
      </c>
      <c r="AC188" s="231">
        <v>89.035294117647055</v>
      </c>
      <c r="AD188" s="231">
        <v>0</v>
      </c>
      <c r="AE188" s="231">
        <v>0</v>
      </c>
      <c r="AF188" s="231">
        <v>0</v>
      </c>
      <c r="AG188" s="231">
        <v>44.470588235294116</v>
      </c>
      <c r="AH188" s="231">
        <v>28.376470588235293</v>
      </c>
      <c r="AI188" s="231">
        <v>72.847058823529423</v>
      </c>
      <c r="AJ188" s="231">
        <v>16</v>
      </c>
      <c r="AK188" s="231">
        <v>37.647058823529413</v>
      </c>
      <c r="AL188" s="231">
        <v>53.647058823529413</v>
      </c>
      <c r="AM188" s="231">
        <v>60.470588235294116</v>
      </c>
      <c r="AN188" s="231">
        <v>66.023529411764713</v>
      </c>
      <c r="AO188" s="231">
        <v>126.49411764705883</v>
      </c>
      <c r="AP188" s="205">
        <v>215.52941176470588</v>
      </c>
      <c r="AQ188" s="232">
        <v>0</v>
      </c>
      <c r="AR188" s="200">
        <v>1434.9176470588236</v>
      </c>
      <c r="AS188" s="200">
        <v>1963.6705882352942</v>
      </c>
      <c r="AT188" s="66">
        <v>3398.588235294118</v>
      </c>
      <c r="AU188" s="231">
        <v>47.058823529411768</v>
      </c>
      <c r="AV188" s="231">
        <v>47.058823529411768</v>
      </c>
      <c r="AW188" s="75">
        <v>94.117647058823536</v>
      </c>
      <c r="AX188" s="231">
        <v>352.94117647058823</v>
      </c>
      <c r="AY188" s="66">
        <v>541.17647058823536</v>
      </c>
      <c r="AZ188" s="208">
        <v>0</v>
      </c>
      <c r="BA188" s="86">
        <v>688.94117647058829</v>
      </c>
      <c r="BB188" s="86">
        <v>1548.2352941176471</v>
      </c>
      <c r="BC188" s="86">
        <v>702.11764705882354</v>
      </c>
      <c r="BD188" s="86">
        <v>1548.2352941176471</v>
      </c>
      <c r="BE188" s="86">
        <v>2250.3529411764707</v>
      </c>
      <c r="BF188" s="86">
        <v>410.35294117647061</v>
      </c>
      <c r="BG188" s="209">
        <v>2660.7058823529414</v>
      </c>
      <c r="BH188" s="67">
        <v>6600.4705882352946</v>
      </c>
      <c r="BI188" s="67">
        <v>705648.57788829808</v>
      </c>
    </row>
    <row r="189" spans="1:61" x14ac:dyDescent="0.25">
      <c r="A189" s="142">
        <v>0</v>
      </c>
      <c r="B189" s="68">
        <v>40357</v>
      </c>
      <c r="C189" s="198">
        <v>40357</v>
      </c>
      <c r="D189" s="69">
        <v>39629</v>
      </c>
      <c r="E189" s="70">
        <v>40357</v>
      </c>
      <c r="F189" s="71">
        <v>26</v>
      </c>
      <c r="G189" s="72"/>
      <c r="H189" s="82"/>
      <c r="I189" s="210"/>
      <c r="J189" s="210"/>
      <c r="K189" s="235">
        <v>639.05882352941171</v>
      </c>
      <c r="L189" s="235">
        <v>80</v>
      </c>
      <c r="M189" s="235">
        <v>719.05882352941171</v>
      </c>
      <c r="N189" s="235">
        <v>314.35294117647061</v>
      </c>
      <c r="O189" s="235">
        <v>54.588235294117645</v>
      </c>
      <c r="P189" s="235">
        <v>368.94117647058823</v>
      </c>
      <c r="Q189" s="235">
        <v>14.117647058823529</v>
      </c>
      <c r="R189" s="235">
        <v>0</v>
      </c>
      <c r="S189" s="235">
        <v>14.117647058823529</v>
      </c>
      <c r="T189" s="235">
        <v>129.88235294117646</v>
      </c>
      <c r="U189" s="235">
        <v>484.70588235294116</v>
      </c>
      <c r="V189" s="235">
        <v>614.58823529411768</v>
      </c>
      <c r="W189" s="235">
        <v>458.35294117647061</v>
      </c>
      <c r="X189" s="235">
        <v>539.29411764705878</v>
      </c>
      <c r="Y189" s="235">
        <v>997.64705882352939</v>
      </c>
      <c r="Z189" s="200">
        <v>1716.7058823529412</v>
      </c>
      <c r="AA189" s="235">
        <v>69.882352941176464</v>
      </c>
      <c r="AB189" s="235">
        <v>25.882352941176471</v>
      </c>
      <c r="AC189" s="235">
        <v>95.764705882352942</v>
      </c>
      <c r="AD189" s="235">
        <v>2.8235294117647061</v>
      </c>
      <c r="AE189" s="235">
        <v>0</v>
      </c>
      <c r="AF189" s="235">
        <v>2.8235294117647061</v>
      </c>
      <c r="AG189" s="235">
        <v>57.176470588235297</v>
      </c>
      <c r="AH189" s="235">
        <v>21.176470588235293</v>
      </c>
      <c r="AI189" s="235">
        <v>78.352941176470594</v>
      </c>
      <c r="AJ189" s="235">
        <v>34.823529411764703</v>
      </c>
      <c r="AK189" s="235">
        <v>56.470588235294116</v>
      </c>
      <c r="AL189" s="235">
        <v>91.294117647058826</v>
      </c>
      <c r="AM189" s="235">
        <v>94.82352941176471</v>
      </c>
      <c r="AN189" s="235">
        <v>77.647058823529406</v>
      </c>
      <c r="AO189" s="235">
        <v>172.47058823529412</v>
      </c>
      <c r="AP189" s="200">
        <v>268.23529411764707</v>
      </c>
      <c r="AQ189" s="141">
        <v>0</v>
      </c>
      <c r="AR189" s="200">
        <v>814.82352941176464</v>
      </c>
      <c r="AS189" s="200">
        <v>1170.1176470588234</v>
      </c>
      <c r="AT189" s="66">
        <v>1984.9411764705881</v>
      </c>
      <c r="AU189" s="235">
        <v>70.588235294117652</v>
      </c>
      <c r="AV189" s="235">
        <v>37.647058823529413</v>
      </c>
      <c r="AW189" s="75">
        <v>28.235294117647058</v>
      </c>
      <c r="AX189" s="235">
        <v>225.88235294117646</v>
      </c>
      <c r="AY189" s="66">
        <v>362.35294117647061</v>
      </c>
      <c r="AZ189" s="202">
        <v>0</v>
      </c>
      <c r="BA189" s="87">
        <v>0</v>
      </c>
      <c r="BB189" s="87">
        <v>77.17647058823529</v>
      </c>
      <c r="BC189" s="87">
        <v>0</v>
      </c>
      <c r="BD189" s="87">
        <v>77.17647058823529</v>
      </c>
      <c r="BE189" s="87">
        <v>77.17647058823529</v>
      </c>
      <c r="BF189" s="87">
        <v>219.29411764705881</v>
      </c>
      <c r="BG189" s="66">
        <v>296.47058823529409</v>
      </c>
      <c r="BH189" s="67">
        <v>2643.7647058823527</v>
      </c>
      <c r="BI189" s="67">
        <v>708292.34259418049</v>
      </c>
    </row>
    <row r="190" spans="1:61" x14ac:dyDescent="0.25">
      <c r="A190" s="142">
        <v>0</v>
      </c>
      <c r="B190" s="68">
        <v>40358</v>
      </c>
      <c r="C190" s="198">
        <v>40358</v>
      </c>
      <c r="D190" s="69">
        <v>39630</v>
      </c>
      <c r="E190" s="70">
        <v>40358</v>
      </c>
      <c r="F190" s="71">
        <v>26</v>
      </c>
      <c r="G190" s="72"/>
      <c r="H190" s="82" t="s">
        <v>47</v>
      </c>
      <c r="I190" s="210"/>
      <c r="J190" s="210"/>
      <c r="K190" s="235">
        <v>772.70588235294122</v>
      </c>
      <c r="L190" s="235">
        <v>109.17647058823529</v>
      </c>
      <c r="M190" s="235">
        <v>881.88235294117646</v>
      </c>
      <c r="N190" s="235">
        <v>358.58823529411762</v>
      </c>
      <c r="O190" s="235">
        <v>76.235294117647058</v>
      </c>
      <c r="P190" s="235">
        <v>434.8235294117647</v>
      </c>
      <c r="Q190" s="235">
        <v>15.058823529411764</v>
      </c>
      <c r="R190" s="235">
        <v>0</v>
      </c>
      <c r="S190" s="235">
        <v>15.058823529411764</v>
      </c>
      <c r="T190" s="235">
        <v>115.76470588235294</v>
      </c>
      <c r="U190" s="235">
        <v>586.35294117647061</v>
      </c>
      <c r="V190" s="235">
        <v>702.11764705882354</v>
      </c>
      <c r="W190" s="235">
        <v>489.41176470588238</v>
      </c>
      <c r="X190" s="235">
        <v>662.58823529411768</v>
      </c>
      <c r="Y190" s="235">
        <v>1152</v>
      </c>
      <c r="Z190" s="200">
        <v>2033.8823529411766</v>
      </c>
      <c r="AA190" s="235">
        <v>56.941176470588232</v>
      </c>
      <c r="AB190" s="235">
        <v>26.4</v>
      </c>
      <c r="AC190" s="235">
        <v>83.341176470588238</v>
      </c>
      <c r="AD190" s="235">
        <v>0</v>
      </c>
      <c r="AE190" s="235">
        <v>0</v>
      </c>
      <c r="AF190" s="235">
        <v>0</v>
      </c>
      <c r="AG190" s="235">
        <v>46.588235294117645</v>
      </c>
      <c r="AH190" s="235">
        <v>21.6</v>
      </c>
      <c r="AI190" s="235">
        <v>68.188235294117646</v>
      </c>
      <c r="AJ190" s="235">
        <v>42.352941176470587</v>
      </c>
      <c r="AK190" s="235">
        <v>82.82352941176471</v>
      </c>
      <c r="AL190" s="235">
        <v>125.17647058823529</v>
      </c>
      <c r="AM190" s="235">
        <v>88.941176470588232</v>
      </c>
      <c r="AN190" s="235">
        <v>104.4235294117647</v>
      </c>
      <c r="AO190" s="235">
        <v>193.36470588235292</v>
      </c>
      <c r="AP190" s="200">
        <v>276.70588235294116</v>
      </c>
      <c r="AQ190" s="141">
        <v>0</v>
      </c>
      <c r="AR190" s="200">
        <v>965.22352941176473</v>
      </c>
      <c r="AS190" s="200">
        <v>1345.3647058823528</v>
      </c>
      <c r="AT190" s="66">
        <v>2310.5882352941176</v>
      </c>
      <c r="AU190" s="235">
        <v>70.588235294117652</v>
      </c>
      <c r="AV190" s="235">
        <v>23.529411764705884</v>
      </c>
      <c r="AW190" s="75">
        <v>65.882352941176464</v>
      </c>
      <c r="AX190" s="235">
        <v>150.58823529411765</v>
      </c>
      <c r="AY190" s="66">
        <v>310.58823529411768</v>
      </c>
      <c r="AZ190" s="202">
        <v>0</v>
      </c>
      <c r="BA190" s="87">
        <v>97.882352941176464</v>
      </c>
      <c r="BB190" s="87">
        <v>28.235294117647058</v>
      </c>
      <c r="BC190" s="87">
        <v>97.882352941176464</v>
      </c>
      <c r="BD190" s="87">
        <v>28.235294117647058</v>
      </c>
      <c r="BE190" s="87">
        <v>126.11764705882354</v>
      </c>
      <c r="BF190" s="87">
        <v>1096.4705882352941</v>
      </c>
      <c r="BG190" s="66">
        <v>1222.5882352941176</v>
      </c>
      <c r="BH190" s="67">
        <v>3843.7647058823527</v>
      </c>
      <c r="BI190" s="67">
        <v>712136.1073000629</v>
      </c>
    </row>
    <row r="191" spans="1:61" x14ac:dyDescent="0.25">
      <c r="A191" s="142">
        <v>0</v>
      </c>
      <c r="B191" s="68">
        <v>40359</v>
      </c>
      <c r="C191" s="198">
        <v>40359</v>
      </c>
      <c r="D191" s="69">
        <v>39631</v>
      </c>
      <c r="E191" s="70">
        <v>40359</v>
      </c>
      <c r="F191" s="71">
        <v>26</v>
      </c>
      <c r="G191" s="72"/>
      <c r="H191" s="82" t="s">
        <v>47</v>
      </c>
      <c r="I191" s="210"/>
      <c r="J191" s="210"/>
      <c r="K191" s="235">
        <v>608</v>
      </c>
      <c r="L191" s="235">
        <v>85.647058823529406</v>
      </c>
      <c r="M191" s="235">
        <v>693.64705882352939</v>
      </c>
      <c r="N191" s="235">
        <v>241.88235294117646</v>
      </c>
      <c r="O191" s="235">
        <v>63.058823529411768</v>
      </c>
      <c r="P191" s="235">
        <v>304.94117647058823</v>
      </c>
      <c r="Q191" s="235">
        <v>16</v>
      </c>
      <c r="R191" s="235">
        <v>0</v>
      </c>
      <c r="S191" s="235">
        <v>16</v>
      </c>
      <c r="T191" s="235">
        <v>112</v>
      </c>
      <c r="U191" s="235">
        <v>537.41176470588232</v>
      </c>
      <c r="V191" s="235">
        <v>649.41176470588232</v>
      </c>
      <c r="W191" s="235">
        <v>369.88235294117646</v>
      </c>
      <c r="X191" s="235">
        <v>600.47058823529414</v>
      </c>
      <c r="Y191" s="235">
        <v>970.35294117647061</v>
      </c>
      <c r="Z191" s="200">
        <v>1664</v>
      </c>
      <c r="AA191" s="235">
        <v>103.52941176470588</v>
      </c>
      <c r="AB191" s="235">
        <v>15.529411764705882</v>
      </c>
      <c r="AC191" s="235">
        <v>119.05882352941177</v>
      </c>
      <c r="AD191" s="235">
        <v>0</v>
      </c>
      <c r="AE191" s="235">
        <v>0</v>
      </c>
      <c r="AF191" s="235">
        <v>0</v>
      </c>
      <c r="AG191" s="235">
        <v>84.705882352941174</v>
      </c>
      <c r="AH191" s="235">
        <v>12.705882352941176</v>
      </c>
      <c r="AI191" s="235">
        <v>97.411764705882348</v>
      </c>
      <c r="AJ191" s="235">
        <v>14.117647058823529</v>
      </c>
      <c r="AK191" s="235">
        <v>54.588235294117645</v>
      </c>
      <c r="AL191" s="235">
        <v>68.705882352941174</v>
      </c>
      <c r="AM191" s="235">
        <v>98.82352941176471</v>
      </c>
      <c r="AN191" s="235">
        <v>67.294117647058826</v>
      </c>
      <c r="AO191" s="235">
        <v>166.11764705882354</v>
      </c>
      <c r="AP191" s="200">
        <v>285.1764705882353</v>
      </c>
      <c r="AQ191" s="141">
        <v>0</v>
      </c>
      <c r="AR191" s="200">
        <v>812.70588235294122</v>
      </c>
      <c r="AS191" s="200">
        <v>1136.4705882352941</v>
      </c>
      <c r="AT191" s="66">
        <v>1949.1764705882354</v>
      </c>
      <c r="AU191" s="235">
        <v>70.588235294117652</v>
      </c>
      <c r="AV191" s="235">
        <v>37.647058823529413</v>
      </c>
      <c r="AW191" s="75">
        <v>28.235294117647058</v>
      </c>
      <c r="AX191" s="235">
        <v>141.1764705882353</v>
      </c>
      <c r="AY191" s="66">
        <v>277.64705882352945</v>
      </c>
      <c r="AZ191" s="202">
        <v>0</v>
      </c>
      <c r="BA191" s="87">
        <v>121.41176470588235</v>
      </c>
      <c r="BB191" s="87">
        <v>0</v>
      </c>
      <c r="BC191" s="87">
        <v>144.94117647058823</v>
      </c>
      <c r="BD191" s="87">
        <v>0</v>
      </c>
      <c r="BE191" s="87">
        <v>144.94117647058823</v>
      </c>
      <c r="BF191" s="87">
        <v>1562.3529411764705</v>
      </c>
      <c r="BG191" s="66">
        <v>1707.2941176470588</v>
      </c>
      <c r="BH191" s="67">
        <v>3934.1176470588234</v>
      </c>
      <c r="BI191" s="67">
        <v>716070.22494712169</v>
      </c>
    </row>
    <row r="192" spans="1:61" s="230" customFormat="1" x14ac:dyDescent="0.25">
      <c r="A192" s="215"/>
      <c r="B192" s="216"/>
      <c r="C192" s="217"/>
      <c r="D192" s="218"/>
      <c r="E192" s="219"/>
      <c r="F192" s="220"/>
      <c r="G192" s="221"/>
      <c r="H192" s="222"/>
      <c r="I192" s="223"/>
      <c r="J192" s="223"/>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5"/>
      <c r="AR192" s="226"/>
      <c r="AS192" s="226"/>
      <c r="AT192" s="66">
        <v>0</v>
      </c>
      <c r="AU192" s="224"/>
      <c r="AV192" s="224"/>
      <c r="AW192" s="227"/>
      <c r="AX192" s="224"/>
      <c r="AY192" s="66">
        <v>0</v>
      </c>
      <c r="AZ192" s="224"/>
      <c r="BA192" s="224"/>
      <c r="BB192" s="224"/>
      <c r="BC192" s="224"/>
      <c r="BD192" s="224"/>
      <c r="BE192" s="224"/>
      <c r="BF192" s="224"/>
      <c r="BG192" s="228"/>
      <c r="BH192" s="229"/>
      <c r="BI192" s="229"/>
    </row>
    <row r="193" spans="1:61" x14ac:dyDescent="0.25">
      <c r="A193" s="142">
        <v>0</v>
      </c>
      <c r="B193" s="68">
        <v>40360</v>
      </c>
      <c r="C193" s="198">
        <v>40360</v>
      </c>
      <c r="D193" s="69">
        <v>39632</v>
      </c>
      <c r="E193" s="70">
        <v>40360</v>
      </c>
      <c r="F193" s="71">
        <v>26</v>
      </c>
      <c r="G193" s="72"/>
      <c r="H193" s="82"/>
      <c r="I193" s="210"/>
      <c r="J193" s="210"/>
      <c r="K193" s="235">
        <v>748.23529411764707</v>
      </c>
      <c r="L193" s="235">
        <v>91.294117647058826</v>
      </c>
      <c r="M193" s="235">
        <v>839.52941176470586</v>
      </c>
      <c r="N193" s="235">
        <v>310.58823529411762</v>
      </c>
      <c r="O193" s="235">
        <v>46.117647058823529</v>
      </c>
      <c r="P193" s="235">
        <v>356.70588235294116</v>
      </c>
      <c r="Q193" s="235">
        <v>16.941176470588236</v>
      </c>
      <c r="R193" s="235">
        <v>0</v>
      </c>
      <c r="S193" s="235">
        <v>16.941176470588236</v>
      </c>
      <c r="T193" s="235">
        <v>129.88235294117646</v>
      </c>
      <c r="U193" s="235">
        <v>630.58823529411768</v>
      </c>
      <c r="V193" s="235">
        <v>760.47058823529414</v>
      </c>
      <c r="W193" s="235">
        <v>457.41176470588238</v>
      </c>
      <c r="X193" s="235">
        <v>676.70588235294122</v>
      </c>
      <c r="Y193" s="235">
        <v>1134.1176470588234</v>
      </c>
      <c r="Z193" s="200">
        <v>1973.6470588235295</v>
      </c>
      <c r="AA193" s="235">
        <v>119.05882352941177</v>
      </c>
      <c r="AB193" s="235">
        <v>39.858823529411765</v>
      </c>
      <c r="AC193" s="235">
        <v>158.91764705882352</v>
      </c>
      <c r="AD193" s="235">
        <v>3.7647058823529411</v>
      </c>
      <c r="AE193" s="235">
        <v>0</v>
      </c>
      <c r="AF193" s="235">
        <v>3.7647058823529411</v>
      </c>
      <c r="AG193" s="235">
        <v>97.411764705882348</v>
      </c>
      <c r="AH193" s="235">
        <v>32.611764705882351</v>
      </c>
      <c r="AI193" s="235">
        <v>130.02352941176471</v>
      </c>
      <c r="AJ193" s="235">
        <v>47.058823529411768</v>
      </c>
      <c r="AK193" s="235">
        <v>88.470588235294116</v>
      </c>
      <c r="AL193" s="235">
        <v>135.52941176470588</v>
      </c>
      <c r="AM193" s="235">
        <v>148.23529411764707</v>
      </c>
      <c r="AN193" s="235">
        <v>121.08235294117648</v>
      </c>
      <c r="AO193" s="235">
        <v>269.31764705882352</v>
      </c>
      <c r="AP193" s="200">
        <v>428.23529411764707</v>
      </c>
      <c r="AQ193" s="141">
        <v>0</v>
      </c>
      <c r="AR193" s="200">
        <v>998.44705882352935</v>
      </c>
      <c r="AS193" s="200">
        <v>1403.4352941176469</v>
      </c>
      <c r="AT193" s="66">
        <v>2401.8823529411761</v>
      </c>
      <c r="AU193" s="235">
        <v>70.588235294117652</v>
      </c>
      <c r="AV193" s="235">
        <v>18.823529411764707</v>
      </c>
      <c r="AW193" s="75">
        <v>94.117647058823536</v>
      </c>
      <c r="AX193" s="235">
        <v>75.294117647058826</v>
      </c>
      <c r="AY193" s="66">
        <v>258.82352941176475</v>
      </c>
      <c r="AZ193" s="202">
        <v>0</v>
      </c>
      <c r="BA193" s="87">
        <v>50.823529411764703</v>
      </c>
      <c r="BB193" s="87">
        <v>0</v>
      </c>
      <c r="BC193" s="87">
        <v>50.823529411764703</v>
      </c>
      <c r="BD193" s="87">
        <v>0</v>
      </c>
      <c r="BE193" s="87">
        <v>50.823529411764703</v>
      </c>
      <c r="BF193" s="87">
        <v>658.82352941176475</v>
      </c>
      <c r="BG193" s="66">
        <v>709.64705882352951</v>
      </c>
      <c r="BH193" s="67">
        <v>3370.3529411764703</v>
      </c>
      <c r="BI193" s="67">
        <v>719440.5778882982</v>
      </c>
    </row>
    <row r="194" spans="1:61" x14ac:dyDescent="0.25">
      <c r="A194" s="142">
        <v>0</v>
      </c>
      <c r="B194" s="68">
        <v>40361</v>
      </c>
      <c r="C194" s="198">
        <v>40361</v>
      </c>
      <c r="D194" s="69">
        <v>39633</v>
      </c>
      <c r="E194" s="70">
        <v>40361</v>
      </c>
      <c r="F194" s="71">
        <v>26</v>
      </c>
      <c r="G194" s="72"/>
      <c r="H194" s="82"/>
      <c r="I194" s="210"/>
      <c r="J194" s="210"/>
      <c r="K194" s="235">
        <v>818.82352941176475</v>
      </c>
      <c r="L194" s="235">
        <v>95.058823529411768</v>
      </c>
      <c r="M194" s="235">
        <v>913.88235294117658</v>
      </c>
      <c r="N194" s="235">
        <v>461.1764705882353</v>
      </c>
      <c r="O194" s="235">
        <v>51.764705882352942</v>
      </c>
      <c r="P194" s="235">
        <v>512.94117647058829</v>
      </c>
      <c r="Q194" s="235">
        <v>16</v>
      </c>
      <c r="R194" s="235">
        <v>0</v>
      </c>
      <c r="S194" s="235">
        <v>16</v>
      </c>
      <c r="T194" s="235">
        <v>188.23529411764707</v>
      </c>
      <c r="U194" s="235">
        <v>555.29411764705878</v>
      </c>
      <c r="V194" s="235">
        <v>743.52941176470586</v>
      </c>
      <c r="W194" s="235">
        <v>665.41176470588232</v>
      </c>
      <c r="X194" s="235">
        <v>607.05882352941171</v>
      </c>
      <c r="Y194" s="235">
        <v>1272.4705882352941</v>
      </c>
      <c r="Z194" s="200">
        <v>2186.3529411764707</v>
      </c>
      <c r="AA194" s="235">
        <v>139.76470588235293</v>
      </c>
      <c r="AB194" s="235">
        <v>46.588235294117645</v>
      </c>
      <c r="AC194" s="235">
        <v>186.35294117647058</v>
      </c>
      <c r="AD194" s="235">
        <v>3.7647058823529411</v>
      </c>
      <c r="AE194" s="235">
        <v>0</v>
      </c>
      <c r="AF194" s="235">
        <v>3.7647058823529411</v>
      </c>
      <c r="AG194" s="235">
        <v>114.35294117647059</v>
      </c>
      <c r="AH194" s="235">
        <v>38.117647058823529</v>
      </c>
      <c r="AI194" s="235">
        <v>152.47058823529412</v>
      </c>
      <c r="AJ194" s="235">
        <v>80</v>
      </c>
      <c r="AK194" s="235">
        <v>108.23529411764706</v>
      </c>
      <c r="AL194" s="235">
        <v>188.23529411764707</v>
      </c>
      <c r="AM194" s="235">
        <v>198.11764705882354</v>
      </c>
      <c r="AN194" s="235">
        <v>146.35294117647058</v>
      </c>
      <c r="AO194" s="235">
        <v>344.47058823529414</v>
      </c>
      <c r="AP194" s="200">
        <v>530.82352941176475</v>
      </c>
      <c r="AQ194" s="141">
        <v>0</v>
      </c>
      <c r="AR194" s="200">
        <v>1100.2352941176471</v>
      </c>
      <c r="AS194" s="200">
        <v>1616.9411764705883</v>
      </c>
      <c r="AT194" s="66">
        <v>2717.1764705882351</v>
      </c>
      <c r="AU194" s="235">
        <v>70.588235294117652</v>
      </c>
      <c r="AV194" s="235">
        <v>14.117647058823529</v>
      </c>
      <c r="AW194" s="75">
        <v>1035.2941176470588</v>
      </c>
      <c r="AX194" s="235">
        <v>131.76470588235293</v>
      </c>
      <c r="AY194" s="66">
        <v>1251.7647058823529</v>
      </c>
      <c r="AZ194" s="202">
        <v>0</v>
      </c>
      <c r="BA194" s="87">
        <v>0</v>
      </c>
      <c r="BB194" s="87">
        <v>0</v>
      </c>
      <c r="BC194" s="87">
        <v>28.235294117647058</v>
      </c>
      <c r="BD194" s="87">
        <v>0</v>
      </c>
      <c r="BE194" s="87">
        <v>28.235294117647058</v>
      </c>
      <c r="BF194" s="87">
        <v>1181.1764705882354</v>
      </c>
      <c r="BG194" s="66">
        <v>1209.4117647058824</v>
      </c>
      <c r="BH194" s="67">
        <v>5178.3529411764703</v>
      </c>
      <c r="BI194" s="67">
        <v>724618.9308294747</v>
      </c>
    </row>
    <row r="195" spans="1:61" x14ac:dyDescent="0.25">
      <c r="A195" s="142">
        <v>0</v>
      </c>
      <c r="B195" s="85">
        <v>40362</v>
      </c>
      <c r="C195" s="203">
        <v>40362</v>
      </c>
      <c r="D195" s="76">
        <v>39634</v>
      </c>
      <c r="E195" s="77">
        <v>40362</v>
      </c>
      <c r="F195" s="78">
        <v>26</v>
      </c>
      <c r="G195" s="79"/>
      <c r="H195" s="80" t="s">
        <v>54</v>
      </c>
      <c r="I195" s="212"/>
      <c r="J195" s="212"/>
      <c r="K195" s="231">
        <v>1515.2941176470588</v>
      </c>
      <c r="L195" s="231">
        <v>192.94117647058823</v>
      </c>
      <c r="M195" s="231">
        <v>1708.2352941176471</v>
      </c>
      <c r="N195" s="231">
        <v>1308.2352941176471</v>
      </c>
      <c r="O195" s="231">
        <v>168.47058823529412</v>
      </c>
      <c r="P195" s="231">
        <v>1476.7058823529412</v>
      </c>
      <c r="Q195" s="231">
        <v>30.117647058823529</v>
      </c>
      <c r="R195" s="231">
        <v>0</v>
      </c>
      <c r="S195" s="231">
        <v>30.117647058823529</v>
      </c>
      <c r="T195" s="231">
        <v>221.1764705882353</v>
      </c>
      <c r="U195" s="231">
        <v>960</v>
      </c>
      <c r="V195" s="231">
        <v>1181.1764705882354</v>
      </c>
      <c r="W195" s="231">
        <v>1559.5294117647059</v>
      </c>
      <c r="X195" s="231">
        <v>1128.4705882352941</v>
      </c>
      <c r="Y195" s="231">
        <v>2688</v>
      </c>
      <c r="Z195" s="205">
        <v>4396.2352941176468</v>
      </c>
      <c r="AA195" s="231">
        <v>76.094117647058823</v>
      </c>
      <c r="AB195" s="231">
        <v>12.423529411764704</v>
      </c>
      <c r="AC195" s="231">
        <v>88.517647058823528</v>
      </c>
      <c r="AD195" s="231">
        <v>2.8235294117647061</v>
      </c>
      <c r="AE195" s="231">
        <v>0</v>
      </c>
      <c r="AF195" s="231">
        <v>2.8235294117647061</v>
      </c>
      <c r="AG195" s="231">
        <v>62.258823529411771</v>
      </c>
      <c r="AH195" s="231">
        <v>10.164705882352942</v>
      </c>
      <c r="AI195" s="231">
        <v>72.423529411764704</v>
      </c>
      <c r="AJ195" s="231">
        <v>18.823529411764707</v>
      </c>
      <c r="AK195" s="231">
        <v>72.470588235294116</v>
      </c>
      <c r="AL195" s="231">
        <v>91.294117647058826</v>
      </c>
      <c r="AM195" s="231">
        <v>83.905882352941177</v>
      </c>
      <c r="AN195" s="231">
        <v>82.635294117647049</v>
      </c>
      <c r="AO195" s="231">
        <v>166.54117647058823</v>
      </c>
      <c r="AP195" s="205">
        <v>255.05882352941177</v>
      </c>
      <c r="AQ195" s="232">
        <v>0</v>
      </c>
      <c r="AR195" s="200">
        <v>1796.7529411764706</v>
      </c>
      <c r="AS195" s="200">
        <v>2854.5411764705882</v>
      </c>
      <c r="AT195" s="66">
        <v>4651.2941176470586</v>
      </c>
      <c r="AU195" s="231">
        <v>112.94117647058823</v>
      </c>
      <c r="AV195" s="231">
        <v>37.647058823529413</v>
      </c>
      <c r="AW195" s="75">
        <v>141.1764705882353</v>
      </c>
      <c r="AX195" s="231">
        <v>197.64705882352942</v>
      </c>
      <c r="AY195" s="66">
        <v>489.41176470588232</v>
      </c>
      <c r="AZ195" s="208">
        <v>0</v>
      </c>
      <c r="BA195" s="86">
        <v>575.05882352941171</v>
      </c>
      <c r="BB195" s="86">
        <v>1045.6470588235295</v>
      </c>
      <c r="BC195" s="86">
        <v>575.05882352941171</v>
      </c>
      <c r="BD195" s="86">
        <v>1045.6470588235295</v>
      </c>
      <c r="BE195" s="86">
        <v>1620.7058823529412</v>
      </c>
      <c r="BF195" s="86">
        <v>774.58823529411768</v>
      </c>
      <c r="BG195" s="209">
        <v>2395.294117647059</v>
      </c>
      <c r="BH195" s="67">
        <v>7536</v>
      </c>
      <c r="BI195" s="67">
        <v>732154.9308294747</v>
      </c>
    </row>
    <row r="196" spans="1:61" x14ac:dyDescent="0.25">
      <c r="A196" s="142">
        <v>0</v>
      </c>
      <c r="B196" s="85">
        <v>40363</v>
      </c>
      <c r="C196" s="203">
        <v>40363</v>
      </c>
      <c r="D196" s="76">
        <v>39635</v>
      </c>
      <c r="E196" s="77">
        <v>40363</v>
      </c>
      <c r="F196" s="78">
        <v>26</v>
      </c>
      <c r="G196" s="79"/>
      <c r="H196" s="80" t="s">
        <v>54</v>
      </c>
      <c r="I196" s="212"/>
      <c r="J196" s="212"/>
      <c r="K196" s="231">
        <v>1312</v>
      </c>
      <c r="L196" s="231">
        <v>178.8235294117647</v>
      </c>
      <c r="M196" s="231">
        <v>1490.8235294117646</v>
      </c>
      <c r="N196" s="231">
        <v>715.29411764705878</v>
      </c>
      <c r="O196" s="231">
        <v>176.94117647058823</v>
      </c>
      <c r="P196" s="231">
        <v>892.23529411764707</v>
      </c>
      <c r="Q196" s="231">
        <v>25.411764705882351</v>
      </c>
      <c r="R196" s="231">
        <v>0</v>
      </c>
      <c r="S196" s="231">
        <v>25.411764705882351</v>
      </c>
      <c r="T196" s="231">
        <v>112.94117647058823</v>
      </c>
      <c r="U196" s="231">
        <v>931.76470588235293</v>
      </c>
      <c r="V196" s="231">
        <v>1044.7058823529412</v>
      </c>
      <c r="W196" s="231">
        <v>853.64705882352939</v>
      </c>
      <c r="X196" s="231">
        <v>1108.7058823529412</v>
      </c>
      <c r="Y196" s="231">
        <v>1962.3529411764705</v>
      </c>
      <c r="Z196" s="205">
        <v>3453.1764705882351</v>
      </c>
      <c r="AA196" s="231">
        <v>113.88235294117646</v>
      </c>
      <c r="AB196" s="231">
        <v>13.458823529411765</v>
      </c>
      <c r="AC196" s="231">
        <v>127.34117647058825</v>
      </c>
      <c r="AD196" s="231">
        <v>11.294117647058824</v>
      </c>
      <c r="AE196" s="231">
        <v>0</v>
      </c>
      <c r="AF196" s="231">
        <v>11.294117647058824</v>
      </c>
      <c r="AG196" s="231">
        <v>93.17647058823529</v>
      </c>
      <c r="AH196" s="231">
        <v>11.011764705882353</v>
      </c>
      <c r="AI196" s="231">
        <v>104.18823529411765</v>
      </c>
      <c r="AJ196" s="231">
        <v>47.058823529411768</v>
      </c>
      <c r="AK196" s="231">
        <v>67.764705882352942</v>
      </c>
      <c r="AL196" s="231">
        <v>114.82352941176471</v>
      </c>
      <c r="AM196" s="231">
        <v>151.52941176470588</v>
      </c>
      <c r="AN196" s="231">
        <v>78.776470588235298</v>
      </c>
      <c r="AO196" s="231">
        <v>230.30588235294115</v>
      </c>
      <c r="AP196" s="205">
        <v>357.64705882352939</v>
      </c>
      <c r="AQ196" s="232">
        <v>0</v>
      </c>
      <c r="AR196" s="200">
        <v>1618.1647058823528</v>
      </c>
      <c r="AS196" s="200">
        <v>2192.6588235294116</v>
      </c>
      <c r="AT196" s="66">
        <v>3810.8235294117644</v>
      </c>
      <c r="AU196" s="231">
        <v>141.1764705882353</v>
      </c>
      <c r="AV196" s="231">
        <v>32.941176470588232</v>
      </c>
      <c r="AW196" s="75">
        <v>141.1764705882353</v>
      </c>
      <c r="AX196" s="231">
        <v>141.1764705882353</v>
      </c>
      <c r="AY196" s="66">
        <v>456.47058823529414</v>
      </c>
      <c r="AZ196" s="208">
        <v>0</v>
      </c>
      <c r="BA196" s="86">
        <v>543.05882352941171</v>
      </c>
      <c r="BB196" s="86">
        <v>1040.9411764705883</v>
      </c>
      <c r="BC196" s="86">
        <v>556.23529411764707</v>
      </c>
      <c r="BD196" s="86">
        <v>1040.9411764705883</v>
      </c>
      <c r="BE196" s="86">
        <v>1597.1764705882354</v>
      </c>
      <c r="BF196" s="86">
        <v>452.70588235294116</v>
      </c>
      <c r="BG196" s="209">
        <v>2049.8823529411766</v>
      </c>
      <c r="BH196" s="67">
        <v>6317.1764705882351</v>
      </c>
      <c r="BI196" s="67">
        <v>738472.1073000629</v>
      </c>
    </row>
    <row r="197" spans="1:61" x14ac:dyDescent="0.25">
      <c r="A197" s="142">
        <v>0</v>
      </c>
      <c r="B197" s="68">
        <v>40364</v>
      </c>
      <c r="C197" s="198">
        <v>40364</v>
      </c>
      <c r="D197" s="69">
        <v>39636</v>
      </c>
      <c r="E197" s="70">
        <v>40364</v>
      </c>
      <c r="F197" s="71">
        <v>27</v>
      </c>
      <c r="G197" s="72"/>
      <c r="H197" s="82" t="s">
        <v>54</v>
      </c>
      <c r="I197" s="210"/>
      <c r="J197" s="210"/>
      <c r="K197" s="235">
        <v>1387.2941176470588</v>
      </c>
      <c r="L197" s="235">
        <v>136.47058823529412</v>
      </c>
      <c r="M197" s="235">
        <v>1523.7647058823529</v>
      </c>
      <c r="N197" s="235">
        <v>611.76470588235293</v>
      </c>
      <c r="O197" s="235">
        <v>141.1764705882353</v>
      </c>
      <c r="P197" s="235">
        <v>752.94117647058829</v>
      </c>
      <c r="Q197" s="235">
        <v>45.176470588235297</v>
      </c>
      <c r="R197" s="235">
        <v>0</v>
      </c>
      <c r="S197" s="235">
        <v>45.176470588235297</v>
      </c>
      <c r="T197" s="235">
        <v>249.41176470588235</v>
      </c>
      <c r="U197" s="235">
        <v>847.05882352941171</v>
      </c>
      <c r="V197" s="235">
        <v>1096.4705882352941</v>
      </c>
      <c r="W197" s="235">
        <v>906.35294117647061</v>
      </c>
      <c r="X197" s="235">
        <v>988.23529411764707</v>
      </c>
      <c r="Y197" s="235">
        <v>1894.5882352941176</v>
      </c>
      <c r="Z197" s="200">
        <v>3418.3529411764707</v>
      </c>
      <c r="AA197" s="235">
        <v>201.88235294117646</v>
      </c>
      <c r="AB197" s="235">
        <v>33.647058823529413</v>
      </c>
      <c r="AC197" s="235">
        <v>235.52941176470588</v>
      </c>
      <c r="AD197" s="235">
        <v>2.8235294117647061</v>
      </c>
      <c r="AE197" s="235">
        <v>0</v>
      </c>
      <c r="AF197" s="235">
        <v>2.8235294117647061</v>
      </c>
      <c r="AG197" s="235">
        <v>165.1764705882353</v>
      </c>
      <c r="AH197" s="235">
        <v>27.529411764705884</v>
      </c>
      <c r="AI197" s="235">
        <v>192.70588235294119</v>
      </c>
      <c r="AJ197" s="235">
        <v>41.411764705882355</v>
      </c>
      <c r="AK197" s="235">
        <v>91.294117647058826</v>
      </c>
      <c r="AL197" s="235">
        <v>132.70588235294119</v>
      </c>
      <c r="AM197" s="235">
        <v>209.41176470588235</v>
      </c>
      <c r="AN197" s="235">
        <v>118.82352941176471</v>
      </c>
      <c r="AO197" s="235">
        <v>328.23529411764707</v>
      </c>
      <c r="AP197" s="200">
        <v>563.76470588235293</v>
      </c>
      <c r="AQ197" s="141">
        <v>0</v>
      </c>
      <c r="AR197" s="200">
        <v>1759.2941176470588</v>
      </c>
      <c r="AS197" s="200">
        <v>2222.8235294117649</v>
      </c>
      <c r="AT197" s="66">
        <v>3982.1176470588234</v>
      </c>
      <c r="AU197" s="235">
        <v>169.41176470588235</v>
      </c>
      <c r="AV197" s="235">
        <v>23.529411764705884</v>
      </c>
      <c r="AW197" s="75">
        <v>117.64705882352941</v>
      </c>
      <c r="AX197" s="235">
        <v>169.41176470588235</v>
      </c>
      <c r="AY197" s="66">
        <v>480</v>
      </c>
      <c r="AZ197" s="202">
        <v>0</v>
      </c>
      <c r="BA197" s="87">
        <v>0</v>
      </c>
      <c r="BB197" s="87">
        <v>0</v>
      </c>
      <c r="BC197" s="87">
        <v>45.176470588235297</v>
      </c>
      <c r="BD197" s="87">
        <v>0</v>
      </c>
      <c r="BE197" s="87">
        <v>45.176470588235297</v>
      </c>
      <c r="BF197" s="87">
        <v>315.29411764705884</v>
      </c>
      <c r="BG197" s="66">
        <v>360.47058823529414</v>
      </c>
      <c r="BH197" s="67">
        <v>4822.5882352941171</v>
      </c>
      <c r="BI197" s="67">
        <v>743294.69553535699</v>
      </c>
    </row>
    <row r="198" spans="1:61" x14ac:dyDescent="0.25">
      <c r="A198" s="142">
        <v>0</v>
      </c>
      <c r="B198" s="68">
        <v>40365</v>
      </c>
      <c r="C198" s="198">
        <v>40365</v>
      </c>
      <c r="D198" s="69">
        <v>39637</v>
      </c>
      <c r="E198" s="70">
        <v>40365</v>
      </c>
      <c r="F198" s="71">
        <v>27</v>
      </c>
      <c r="G198" s="72"/>
      <c r="H198" s="82" t="s">
        <v>54</v>
      </c>
      <c r="I198" s="210"/>
      <c r="J198" s="210"/>
      <c r="K198" s="235">
        <v>1581.1764705882354</v>
      </c>
      <c r="L198" s="235">
        <v>235.29411764705881</v>
      </c>
      <c r="M198" s="235">
        <v>1816.4705882352941</v>
      </c>
      <c r="N198" s="235">
        <v>800</v>
      </c>
      <c r="O198" s="235">
        <v>336.94117647058823</v>
      </c>
      <c r="P198" s="235">
        <v>1136.9411764705883</v>
      </c>
      <c r="Q198" s="235">
        <v>60.235294117647058</v>
      </c>
      <c r="R198" s="235">
        <v>0</v>
      </c>
      <c r="S198" s="235">
        <v>60.235294117647058</v>
      </c>
      <c r="T198" s="235">
        <v>287.05882352941177</v>
      </c>
      <c r="U198" s="235">
        <v>1411.7647058823529</v>
      </c>
      <c r="V198" s="235">
        <v>1698.8235294117646</v>
      </c>
      <c r="W198" s="235">
        <v>1147.2941176470588</v>
      </c>
      <c r="X198" s="235">
        <v>1748.7058823529412</v>
      </c>
      <c r="Y198" s="235">
        <v>2896</v>
      </c>
      <c r="Z198" s="200">
        <v>4712.4705882352937</v>
      </c>
      <c r="AA198" s="235">
        <v>173.41176470588235</v>
      </c>
      <c r="AB198" s="235">
        <v>43.482352941176472</v>
      </c>
      <c r="AC198" s="235">
        <v>216.89411764705881</v>
      </c>
      <c r="AD198" s="235">
        <v>2.8235294117647061</v>
      </c>
      <c r="AE198" s="235">
        <v>0</v>
      </c>
      <c r="AF198" s="235">
        <v>2.8235294117647061</v>
      </c>
      <c r="AG198" s="235">
        <v>141.88235294117646</v>
      </c>
      <c r="AH198" s="235">
        <v>35.576470588235289</v>
      </c>
      <c r="AI198" s="235">
        <v>177.45882352941177</v>
      </c>
      <c r="AJ198" s="235">
        <v>56.470588235294116</v>
      </c>
      <c r="AK198" s="235">
        <v>155.29411764705881</v>
      </c>
      <c r="AL198" s="235">
        <v>211.76470588235293</v>
      </c>
      <c r="AM198" s="235">
        <v>201.1764705882353</v>
      </c>
      <c r="AN198" s="235">
        <v>190.87058823529412</v>
      </c>
      <c r="AO198" s="235">
        <v>392.04705882352943</v>
      </c>
      <c r="AP198" s="200">
        <v>608.94117647058829</v>
      </c>
      <c r="AQ198" s="141">
        <v>0</v>
      </c>
      <c r="AR198" s="200">
        <v>2033.3647058823531</v>
      </c>
      <c r="AS198" s="200">
        <v>3288.0470588235294</v>
      </c>
      <c r="AT198" s="66">
        <v>5321.4117647058829</v>
      </c>
      <c r="AU198" s="235">
        <v>122.35294117647059</v>
      </c>
      <c r="AV198" s="235">
        <v>47.058823529411768</v>
      </c>
      <c r="AW198" s="75">
        <v>70.588235294117652</v>
      </c>
      <c r="AX198" s="235">
        <v>70.588235294117652</v>
      </c>
      <c r="AY198" s="66">
        <v>310.58823529411768</v>
      </c>
      <c r="AZ198" s="202">
        <v>0</v>
      </c>
      <c r="BA198" s="87">
        <v>51.764705882352942</v>
      </c>
      <c r="BB198" s="87">
        <v>0</v>
      </c>
      <c r="BC198" s="87">
        <v>51.764705882352942</v>
      </c>
      <c r="BD198" s="87">
        <v>23.529411764705884</v>
      </c>
      <c r="BE198" s="87">
        <v>75.294117647058826</v>
      </c>
      <c r="BF198" s="87">
        <v>355.76470588235293</v>
      </c>
      <c r="BG198" s="66">
        <v>431.05882352941177</v>
      </c>
      <c r="BH198" s="67">
        <v>6063.0588235294126</v>
      </c>
      <c r="BI198" s="67">
        <v>749357.75435888639</v>
      </c>
    </row>
    <row r="199" spans="1:61" x14ac:dyDescent="0.25">
      <c r="A199" s="142">
        <v>0</v>
      </c>
      <c r="B199" s="68">
        <v>40366</v>
      </c>
      <c r="C199" s="198">
        <v>40366</v>
      </c>
      <c r="D199" s="69">
        <v>39638</v>
      </c>
      <c r="E199" s="70">
        <v>40366</v>
      </c>
      <c r="F199" s="71">
        <v>27</v>
      </c>
      <c r="G199" s="72"/>
      <c r="H199" s="82" t="s">
        <v>54</v>
      </c>
      <c r="I199" s="210"/>
      <c r="J199" s="210"/>
      <c r="K199" s="235">
        <v>1628.2352941176471</v>
      </c>
      <c r="L199" s="235">
        <v>248.47058823529412</v>
      </c>
      <c r="M199" s="235">
        <v>1876.7058823529412</v>
      </c>
      <c r="N199" s="235">
        <v>790.58823529411768</v>
      </c>
      <c r="O199" s="235">
        <v>259.76470588235293</v>
      </c>
      <c r="P199" s="235">
        <v>1050.3529411764705</v>
      </c>
      <c r="Q199" s="235">
        <v>79.058823529411768</v>
      </c>
      <c r="R199" s="235">
        <v>0</v>
      </c>
      <c r="S199" s="235">
        <v>79.058823529411768</v>
      </c>
      <c r="T199" s="235">
        <v>288</v>
      </c>
      <c r="U199" s="235">
        <v>1392.9411764705883</v>
      </c>
      <c r="V199" s="235">
        <v>1680.9411764705883</v>
      </c>
      <c r="W199" s="235">
        <v>1157.6470588235295</v>
      </c>
      <c r="X199" s="235">
        <v>1652.7058823529412</v>
      </c>
      <c r="Y199" s="235">
        <v>2810.3529411764707</v>
      </c>
      <c r="Z199" s="200">
        <v>4687.0588235294117</v>
      </c>
      <c r="AA199" s="235">
        <v>137.1764705882353</v>
      </c>
      <c r="AB199" s="235">
        <v>35.200000000000003</v>
      </c>
      <c r="AC199" s="235">
        <v>172.37647058823529</v>
      </c>
      <c r="AD199" s="235">
        <v>7.5294117647058822</v>
      </c>
      <c r="AE199" s="235">
        <v>0</v>
      </c>
      <c r="AF199" s="235">
        <v>7.5294117647058822</v>
      </c>
      <c r="AG199" s="235">
        <v>112.23529411764706</v>
      </c>
      <c r="AH199" s="235">
        <v>28.8</v>
      </c>
      <c r="AI199" s="235">
        <v>141.03529411764706</v>
      </c>
      <c r="AJ199" s="235">
        <v>37.647058823529413</v>
      </c>
      <c r="AK199" s="235">
        <v>133.64705882352942</v>
      </c>
      <c r="AL199" s="235">
        <v>171.29411764705881</v>
      </c>
      <c r="AM199" s="235">
        <v>157.41176470588235</v>
      </c>
      <c r="AN199" s="235">
        <v>162.4470588235294</v>
      </c>
      <c r="AO199" s="235">
        <v>319.85882352941178</v>
      </c>
      <c r="AP199" s="200">
        <v>492.23529411764707</v>
      </c>
      <c r="AQ199" s="141">
        <v>0</v>
      </c>
      <c r="AR199" s="200">
        <v>2049.0823529411764</v>
      </c>
      <c r="AS199" s="200">
        <v>3130.2117647058826</v>
      </c>
      <c r="AT199" s="66">
        <v>5179.2941176470595</v>
      </c>
      <c r="AU199" s="235">
        <v>112.94117647058823</v>
      </c>
      <c r="AV199" s="235">
        <v>18.77090071816238</v>
      </c>
      <c r="AW199" s="75">
        <v>70.588235294117652</v>
      </c>
      <c r="AX199" s="235">
        <v>131.76470588235293</v>
      </c>
      <c r="AY199" s="66">
        <v>334.06501836522119</v>
      </c>
      <c r="AZ199" s="202">
        <v>0</v>
      </c>
      <c r="BA199" s="87">
        <v>240</v>
      </c>
      <c r="BB199" s="87">
        <v>61.176470588235297</v>
      </c>
      <c r="BC199" s="87">
        <v>282.35294117647061</v>
      </c>
      <c r="BD199" s="87">
        <v>84.705882352941174</v>
      </c>
      <c r="BE199" s="87">
        <v>367.05882352941177</v>
      </c>
      <c r="BF199" s="87">
        <v>912</v>
      </c>
      <c r="BG199" s="66">
        <v>1279.0588235294117</v>
      </c>
      <c r="BH199" s="67">
        <v>6792.4179595416927</v>
      </c>
      <c r="BI199" s="67">
        <v>756150.17231842806</v>
      </c>
    </row>
    <row r="200" spans="1:61" x14ac:dyDescent="0.25">
      <c r="A200" s="142">
        <v>0</v>
      </c>
      <c r="B200" s="68">
        <v>40367</v>
      </c>
      <c r="C200" s="198">
        <v>40367</v>
      </c>
      <c r="D200" s="69">
        <v>39639</v>
      </c>
      <c r="E200" s="70">
        <v>40367</v>
      </c>
      <c r="F200" s="71">
        <v>27</v>
      </c>
      <c r="G200" s="72"/>
      <c r="H200" s="82" t="s">
        <v>54</v>
      </c>
      <c r="I200" s="210"/>
      <c r="J200" s="210"/>
      <c r="K200" s="235">
        <v>1908.7058823529412</v>
      </c>
      <c r="L200" s="235">
        <v>233.41176470588235</v>
      </c>
      <c r="M200" s="235">
        <v>2142.1176470588234</v>
      </c>
      <c r="N200" s="235">
        <v>884.70588235294122</v>
      </c>
      <c r="O200" s="235">
        <v>176.94117647058823</v>
      </c>
      <c r="P200" s="235">
        <v>1061.6470588235295</v>
      </c>
      <c r="Q200" s="235">
        <v>96.941176470588232</v>
      </c>
      <c r="R200" s="235">
        <v>4.7058823529411766</v>
      </c>
      <c r="S200" s="235">
        <v>101.64705882352941</v>
      </c>
      <c r="T200" s="235">
        <v>289.88235294117646</v>
      </c>
      <c r="U200" s="235">
        <v>1266.8235294117646</v>
      </c>
      <c r="V200" s="235">
        <v>1556.7058823529412</v>
      </c>
      <c r="W200" s="235">
        <v>1271.5294117647059</v>
      </c>
      <c r="X200" s="235">
        <v>1448.4705882352941</v>
      </c>
      <c r="Y200" s="235">
        <v>2720</v>
      </c>
      <c r="Z200" s="200">
        <v>4862.1176470588234</v>
      </c>
      <c r="AA200" s="235">
        <v>157.36470588235292</v>
      </c>
      <c r="AB200" s="235">
        <v>25.882352941176471</v>
      </c>
      <c r="AC200" s="235">
        <v>183.24705882352941</v>
      </c>
      <c r="AD200" s="235">
        <v>0</v>
      </c>
      <c r="AE200" s="235">
        <v>0</v>
      </c>
      <c r="AF200" s="235">
        <v>0</v>
      </c>
      <c r="AG200" s="235">
        <v>128.75294117647059</v>
      </c>
      <c r="AH200" s="235">
        <v>21.176470588235293</v>
      </c>
      <c r="AI200" s="235">
        <v>149.92941176470589</v>
      </c>
      <c r="AJ200" s="235">
        <v>28.235294117647058</v>
      </c>
      <c r="AK200" s="235">
        <v>142.11764705882354</v>
      </c>
      <c r="AL200" s="235">
        <v>170.35294117647058</v>
      </c>
      <c r="AM200" s="235">
        <v>156.98823529411766</v>
      </c>
      <c r="AN200" s="235">
        <v>163.29411764705881</v>
      </c>
      <c r="AO200" s="235">
        <v>320.2823529411765</v>
      </c>
      <c r="AP200" s="200">
        <v>503.52941176470586</v>
      </c>
      <c r="AQ200" s="141">
        <v>0</v>
      </c>
      <c r="AR200" s="200">
        <v>2325.3647058823526</v>
      </c>
      <c r="AS200" s="200">
        <v>3040.2823529411767</v>
      </c>
      <c r="AT200" s="66">
        <v>5365.6470588235297</v>
      </c>
      <c r="AU200" s="235">
        <v>141.1764705882353</v>
      </c>
      <c r="AV200" s="235">
        <v>28.235294117647058</v>
      </c>
      <c r="AW200" s="75">
        <v>112.94117647058823</v>
      </c>
      <c r="AX200" s="235">
        <v>291.76470588235293</v>
      </c>
      <c r="AY200" s="66">
        <v>574.11764705882354</v>
      </c>
      <c r="AZ200" s="202">
        <v>0</v>
      </c>
      <c r="BA200" s="87">
        <v>42.352941176470587</v>
      </c>
      <c r="BB200" s="87">
        <v>61.176470588235297</v>
      </c>
      <c r="BC200" s="87">
        <v>42.352941176470587</v>
      </c>
      <c r="BD200" s="87">
        <v>61.176470588235297</v>
      </c>
      <c r="BE200" s="87">
        <v>103.52941176470588</v>
      </c>
      <c r="BF200" s="87">
        <v>1038.1176470588234</v>
      </c>
      <c r="BG200" s="66">
        <v>1141.6470588235293</v>
      </c>
      <c r="BH200" s="67">
        <v>7081.4117647058829</v>
      </c>
      <c r="BI200" s="67">
        <v>763231.58408313396</v>
      </c>
    </row>
    <row r="201" spans="1:61" x14ac:dyDescent="0.25">
      <c r="A201" s="142">
        <v>0</v>
      </c>
      <c r="B201" s="68">
        <v>40368</v>
      </c>
      <c r="C201" s="198">
        <v>40368</v>
      </c>
      <c r="D201" s="69">
        <v>39640</v>
      </c>
      <c r="E201" s="70">
        <v>40368</v>
      </c>
      <c r="F201" s="71">
        <v>27</v>
      </c>
      <c r="G201" s="72"/>
      <c r="H201" s="82" t="s">
        <v>54</v>
      </c>
      <c r="I201" s="210"/>
      <c r="J201" s="210"/>
      <c r="K201" s="235">
        <v>1328.9411764705883</v>
      </c>
      <c r="L201" s="238">
        <v>176</v>
      </c>
      <c r="M201" s="238">
        <v>1504.9411764705883</v>
      </c>
      <c r="N201" s="238">
        <v>724.70588235294122</v>
      </c>
      <c r="O201" s="238">
        <v>112.94117647058823</v>
      </c>
      <c r="P201" s="238">
        <v>837.64705882352939</v>
      </c>
      <c r="Q201" s="238">
        <v>17.882352941176471</v>
      </c>
      <c r="R201" s="238">
        <v>4.7058823529411766</v>
      </c>
      <c r="S201" s="238">
        <v>22.588235294117649</v>
      </c>
      <c r="T201" s="238">
        <v>392.47058823529414</v>
      </c>
      <c r="U201" s="238">
        <v>936.47058823529414</v>
      </c>
      <c r="V201" s="238">
        <v>1328.9411764705883</v>
      </c>
      <c r="W201" s="238">
        <v>1135.0588235294117</v>
      </c>
      <c r="X201" s="238">
        <v>1054.1176470588234</v>
      </c>
      <c r="Y201" s="238">
        <v>2189.1764705882351</v>
      </c>
      <c r="Z201" s="200">
        <v>3694.1176470588234</v>
      </c>
      <c r="AA201" s="238">
        <v>186.35294117647058</v>
      </c>
      <c r="AB201" s="238">
        <v>10.352941176470589</v>
      </c>
      <c r="AC201" s="238">
        <v>196.70588235294119</v>
      </c>
      <c r="AD201" s="238">
        <v>23.529411764705884</v>
      </c>
      <c r="AE201" s="238">
        <v>0</v>
      </c>
      <c r="AF201" s="238">
        <v>23.529411764705884</v>
      </c>
      <c r="AG201" s="238">
        <v>152.47058823529412</v>
      </c>
      <c r="AH201" s="238">
        <v>8.4705882352941178</v>
      </c>
      <c r="AI201" s="238">
        <v>160.94117647058823</v>
      </c>
      <c r="AJ201" s="238">
        <v>65.882352941176464</v>
      </c>
      <c r="AK201" s="238">
        <v>139.29411764705881</v>
      </c>
      <c r="AL201" s="238">
        <v>205.1764705882353</v>
      </c>
      <c r="AM201" s="238">
        <v>241.88235294117646</v>
      </c>
      <c r="AN201" s="238">
        <v>147.76470588235293</v>
      </c>
      <c r="AO201" s="238">
        <v>389.64705882352939</v>
      </c>
      <c r="AP201" s="200">
        <v>586.35294117647061</v>
      </c>
      <c r="AQ201" s="141">
        <v>0</v>
      </c>
      <c r="AR201" s="200">
        <v>1701.6470588235295</v>
      </c>
      <c r="AS201" s="200">
        <v>2578.8235294117644</v>
      </c>
      <c r="AT201" s="66">
        <v>4280.4705882352937</v>
      </c>
      <c r="AU201" s="235">
        <v>178.8235294117647</v>
      </c>
      <c r="AV201" s="235">
        <v>42.352941176470587</v>
      </c>
      <c r="AW201" s="75">
        <v>94.117647058823536</v>
      </c>
      <c r="AX201" s="235">
        <v>127.05882352941177</v>
      </c>
      <c r="AY201" s="66">
        <v>442.35294117647055</v>
      </c>
      <c r="AZ201" s="202">
        <v>0</v>
      </c>
      <c r="BA201" s="87">
        <v>115.76470588235294</v>
      </c>
      <c r="BB201" s="87">
        <v>62.117647058823529</v>
      </c>
      <c r="BC201" s="87">
        <v>148.70588235294119</v>
      </c>
      <c r="BD201" s="87">
        <v>79.058823529411768</v>
      </c>
      <c r="BE201" s="87">
        <v>227.76470588235293</v>
      </c>
      <c r="BF201" s="87">
        <v>743.52941176470586</v>
      </c>
      <c r="BG201" s="66">
        <v>971.29411764705878</v>
      </c>
      <c r="BH201" s="67">
        <v>5694.1176470588234</v>
      </c>
      <c r="BI201" s="67">
        <v>768925.70173019276</v>
      </c>
    </row>
    <row r="202" spans="1:61" x14ac:dyDescent="0.25">
      <c r="A202" s="142">
        <v>0</v>
      </c>
      <c r="B202" s="85">
        <v>40369</v>
      </c>
      <c r="C202" s="203">
        <v>40369</v>
      </c>
      <c r="D202" s="76">
        <v>39641</v>
      </c>
      <c r="E202" s="77">
        <v>40369</v>
      </c>
      <c r="F202" s="78">
        <v>27</v>
      </c>
      <c r="G202" s="79"/>
      <c r="H202" s="80" t="s">
        <v>54</v>
      </c>
      <c r="I202" s="212"/>
      <c r="J202" s="212"/>
      <c r="K202" s="235">
        <v>1488</v>
      </c>
      <c r="L202" s="235">
        <v>178.8235294117647</v>
      </c>
      <c r="M202" s="389">
        <v>1666.8235294117646</v>
      </c>
      <c r="N202" s="235">
        <v>1317.6470588235295</v>
      </c>
      <c r="O202" s="389">
        <v>197.64705882352942</v>
      </c>
      <c r="P202" s="389">
        <v>1515.2941176470588</v>
      </c>
      <c r="Q202" s="389">
        <v>64</v>
      </c>
      <c r="R202" s="389">
        <v>0</v>
      </c>
      <c r="S202" s="389">
        <v>64</v>
      </c>
      <c r="T202" s="389">
        <v>374.58823529411762</v>
      </c>
      <c r="U202" s="389">
        <v>1477.6470588235295</v>
      </c>
      <c r="V202" s="389">
        <v>1852.2352941176471</v>
      </c>
      <c r="W202" s="389">
        <v>1756.2352941176471</v>
      </c>
      <c r="X202" s="389">
        <v>1675.2941176470588</v>
      </c>
      <c r="Y202" s="389">
        <v>3431.5294117647059</v>
      </c>
      <c r="Z202" s="200">
        <v>5098.3529411764703</v>
      </c>
      <c r="AA202" s="389">
        <v>124.23529411764706</v>
      </c>
      <c r="AB202" s="389">
        <v>18.117647058823529</v>
      </c>
      <c r="AC202" s="389">
        <v>142.35294117647058</v>
      </c>
      <c r="AD202" s="389">
        <v>17.882352941176471</v>
      </c>
      <c r="AE202" s="389">
        <v>0</v>
      </c>
      <c r="AF202" s="389">
        <v>17.882352941176471</v>
      </c>
      <c r="AG202" s="389">
        <v>101.64705882352941</v>
      </c>
      <c r="AH202" s="389">
        <v>14.823529411764707</v>
      </c>
      <c r="AI202" s="389">
        <v>116.47058823529412</v>
      </c>
      <c r="AJ202" s="389">
        <v>39.529411764705884</v>
      </c>
      <c r="AK202" s="389">
        <v>101.64705882352941</v>
      </c>
      <c r="AL202" s="389">
        <v>141.1764705882353</v>
      </c>
      <c r="AM202" s="389">
        <v>159.05882352941177</v>
      </c>
      <c r="AN202" s="389">
        <v>116.47058823529412</v>
      </c>
      <c r="AO202" s="389">
        <v>275.52941176470586</v>
      </c>
      <c r="AP202" s="200">
        <v>417.88235294117646</v>
      </c>
      <c r="AQ202" s="390">
        <v>0</v>
      </c>
      <c r="AR202" s="200">
        <v>1809.1764705882351</v>
      </c>
      <c r="AS202" s="200">
        <v>3707.0588235294117</v>
      </c>
      <c r="AT202" s="66">
        <v>5516.2352941176468</v>
      </c>
      <c r="AU202" s="231">
        <v>263.52941176470586</v>
      </c>
      <c r="AV202" s="231">
        <v>51.764705882352942</v>
      </c>
      <c r="AW202" s="75">
        <v>150.58823529411765</v>
      </c>
      <c r="AX202" s="231">
        <v>112.94117647058823</v>
      </c>
      <c r="AY202" s="66">
        <v>578.82352941176464</v>
      </c>
      <c r="AZ202" s="208">
        <v>0</v>
      </c>
      <c r="BA202" s="87">
        <v>91.294117647058826</v>
      </c>
      <c r="BB202" s="87">
        <v>336.94117647058823</v>
      </c>
      <c r="BC202" s="87">
        <v>91.294117647058826</v>
      </c>
      <c r="BD202" s="87">
        <v>354.8235294117647</v>
      </c>
      <c r="BE202" s="87">
        <v>446.11764705882354</v>
      </c>
      <c r="BF202" s="87">
        <v>877.17647058823525</v>
      </c>
      <c r="BG202" s="66">
        <v>1323.2941176470588</v>
      </c>
      <c r="BH202" s="67">
        <v>7418.3529411764703</v>
      </c>
      <c r="BI202" s="67">
        <v>776344.05467136926</v>
      </c>
    </row>
    <row r="203" spans="1:61" x14ac:dyDescent="0.25">
      <c r="A203" s="142">
        <v>0</v>
      </c>
      <c r="B203" s="85">
        <v>40370</v>
      </c>
      <c r="C203" s="203">
        <v>40370</v>
      </c>
      <c r="D203" s="76">
        <v>39642</v>
      </c>
      <c r="E203" s="77">
        <v>40370</v>
      </c>
      <c r="F203" s="78">
        <v>27</v>
      </c>
      <c r="G203" s="79"/>
      <c r="H203" s="80" t="s">
        <v>54</v>
      </c>
      <c r="I203" s="212"/>
      <c r="J203" s="212"/>
      <c r="K203" s="235">
        <v>2199.5294117647059</v>
      </c>
      <c r="L203" s="235">
        <v>365.1764705882353</v>
      </c>
      <c r="M203" s="389">
        <v>2564.705882352941</v>
      </c>
      <c r="N203" s="235">
        <v>1336.4705882352941</v>
      </c>
      <c r="O203" s="389">
        <v>320</v>
      </c>
      <c r="P203" s="389">
        <v>1656.4705882352941</v>
      </c>
      <c r="Q203" s="389">
        <v>106.35294117647059</v>
      </c>
      <c r="R203" s="389">
        <v>0</v>
      </c>
      <c r="S203" s="389">
        <v>106.35294117647059</v>
      </c>
      <c r="T203" s="389">
        <v>367.05882352941177</v>
      </c>
      <c r="U203" s="389">
        <v>2352.9411764705883</v>
      </c>
      <c r="V203" s="389">
        <v>2720</v>
      </c>
      <c r="W203" s="389">
        <v>1809.8823529411766</v>
      </c>
      <c r="X203" s="389">
        <v>2672.9411764705883</v>
      </c>
      <c r="Y203" s="389">
        <v>4482.8235294117649</v>
      </c>
      <c r="Z203" s="200">
        <v>7047.5294117647063</v>
      </c>
      <c r="AA203" s="389">
        <v>155.29411764705881</v>
      </c>
      <c r="AB203" s="389">
        <v>36.235294117647058</v>
      </c>
      <c r="AC203" s="389">
        <v>191.52941176470588</v>
      </c>
      <c r="AD203" s="389">
        <v>1.8823529411764706</v>
      </c>
      <c r="AE203" s="389">
        <v>0</v>
      </c>
      <c r="AF203" s="389">
        <v>1.8823529411764706</v>
      </c>
      <c r="AG203" s="389">
        <v>127.05882352941177</v>
      </c>
      <c r="AH203" s="389">
        <v>29.647058823529413</v>
      </c>
      <c r="AI203" s="389">
        <v>156.70588235294119</v>
      </c>
      <c r="AJ203" s="389">
        <v>41.411764705882355</v>
      </c>
      <c r="AK203" s="389">
        <v>109.17647058823529</v>
      </c>
      <c r="AL203" s="389">
        <v>150.58823529411765</v>
      </c>
      <c r="AM203" s="389">
        <v>170.35294117647058</v>
      </c>
      <c r="AN203" s="389">
        <v>138.8235294117647</v>
      </c>
      <c r="AO203" s="389">
        <v>309.1764705882353</v>
      </c>
      <c r="AP203" s="200">
        <v>500.70588235294116</v>
      </c>
      <c r="AQ203" s="390">
        <v>0</v>
      </c>
      <c r="AR203" s="200">
        <v>2756.2352941176468</v>
      </c>
      <c r="AS203" s="200">
        <v>4792</v>
      </c>
      <c r="AT203" s="66">
        <v>7548.2352941176468</v>
      </c>
      <c r="AU203" s="231">
        <v>258.8235294117647</v>
      </c>
      <c r="AV203" s="231">
        <v>42.352941176470587</v>
      </c>
      <c r="AW203" s="75">
        <v>216.47058823529412</v>
      </c>
      <c r="AX203" s="231">
        <v>160</v>
      </c>
      <c r="AY203" s="66">
        <v>677.64705882352939</v>
      </c>
      <c r="AZ203" s="208">
        <v>0</v>
      </c>
      <c r="BA203" s="87">
        <v>158.11764705882354</v>
      </c>
      <c r="BB203" s="87">
        <v>386.8235294117647</v>
      </c>
      <c r="BC203" s="87">
        <v>224</v>
      </c>
      <c r="BD203" s="87">
        <v>386.8235294117647</v>
      </c>
      <c r="BE203" s="87">
        <v>610.82352941176475</v>
      </c>
      <c r="BF203" s="87">
        <v>267.29411764705884</v>
      </c>
      <c r="BG203" s="66">
        <v>878.11764705882365</v>
      </c>
      <c r="BH203" s="67">
        <v>9104</v>
      </c>
      <c r="BI203" s="67">
        <v>785448.05467136926</v>
      </c>
    </row>
    <row r="204" spans="1:61" x14ac:dyDescent="0.25">
      <c r="A204" s="142">
        <v>0</v>
      </c>
      <c r="B204" s="68">
        <v>40371</v>
      </c>
      <c r="C204" s="198">
        <v>40371</v>
      </c>
      <c r="D204" s="69">
        <v>39643</v>
      </c>
      <c r="E204" s="70">
        <v>40371</v>
      </c>
      <c r="F204" s="71">
        <v>28</v>
      </c>
      <c r="G204" s="72"/>
      <c r="H204" s="82" t="s">
        <v>54</v>
      </c>
      <c r="I204" s="210"/>
      <c r="J204" s="210"/>
      <c r="K204" s="235">
        <v>2867.7647058823532</v>
      </c>
      <c r="L204" s="235">
        <v>399.05882352941177</v>
      </c>
      <c r="M204" s="389">
        <v>3266.8235294117649</v>
      </c>
      <c r="N204" s="235">
        <v>1136</v>
      </c>
      <c r="O204" s="389">
        <v>318.11764705882354</v>
      </c>
      <c r="P204" s="389">
        <v>1454.1176470588234</v>
      </c>
      <c r="Q204" s="389">
        <v>61.176470588235297</v>
      </c>
      <c r="R204" s="389">
        <v>0</v>
      </c>
      <c r="S204" s="389">
        <v>61.176470588235297</v>
      </c>
      <c r="T204" s="389">
        <v>468.70588235294116</v>
      </c>
      <c r="U204" s="389">
        <v>1827.7647058823529</v>
      </c>
      <c r="V204" s="389">
        <v>2296.4705882352941</v>
      </c>
      <c r="W204" s="389">
        <v>1665.8823529411766</v>
      </c>
      <c r="X204" s="389">
        <v>2145.8823529411766</v>
      </c>
      <c r="Y204" s="389">
        <v>3811.7647058823532</v>
      </c>
      <c r="Z204" s="200">
        <v>7078.588235294118</v>
      </c>
      <c r="AA204" s="389">
        <v>207.05882352941177</v>
      </c>
      <c r="AB204" s="389">
        <v>26.91764705882353</v>
      </c>
      <c r="AC204" s="389">
        <v>233.97647058823529</v>
      </c>
      <c r="AD204" s="389">
        <v>11.294117647058824</v>
      </c>
      <c r="AE204" s="389">
        <v>1.8823529411764706</v>
      </c>
      <c r="AF204" s="389">
        <v>13.176470588235293</v>
      </c>
      <c r="AG204" s="389">
        <v>169.41176470588235</v>
      </c>
      <c r="AH204" s="389">
        <v>22.023529411764706</v>
      </c>
      <c r="AI204" s="389">
        <v>191.43529411764706</v>
      </c>
      <c r="AJ204" s="389">
        <v>51.764705882352942</v>
      </c>
      <c r="AK204" s="389">
        <v>122.35294117647059</v>
      </c>
      <c r="AL204" s="389">
        <v>174.11764705882354</v>
      </c>
      <c r="AM204" s="389">
        <v>232.47058823529412</v>
      </c>
      <c r="AN204" s="389">
        <v>146.25882352941176</v>
      </c>
      <c r="AO204" s="389">
        <v>378.72941176470584</v>
      </c>
      <c r="AP204" s="200">
        <v>612.70588235294122</v>
      </c>
      <c r="AQ204" s="390">
        <v>0</v>
      </c>
      <c r="AR204" s="200">
        <v>3500.8</v>
      </c>
      <c r="AS204" s="200">
        <v>4190.4941176470593</v>
      </c>
      <c r="AT204" s="66">
        <v>7691.2941176470595</v>
      </c>
      <c r="AU204" s="235">
        <v>235.29411764705881</v>
      </c>
      <c r="AV204" s="235">
        <v>42.234526615865356</v>
      </c>
      <c r="AW204" s="75">
        <v>197.64705882352942</v>
      </c>
      <c r="AX204" s="235">
        <v>225.88235294117646</v>
      </c>
      <c r="AY204" s="66">
        <v>701.05805602763007</v>
      </c>
      <c r="AZ204" s="202">
        <v>0</v>
      </c>
      <c r="BA204" s="87">
        <v>89.411764705882348</v>
      </c>
      <c r="BB204" s="87">
        <v>104.47058823529412</v>
      </c>
      <c r="BC204" s="87">
        <v>115.76470588235294</v>
      </c>
      <c r="BD204" s="87">
        <v>104.47058823529412</v>
      </c>
      <c r="BE204" s="87">
        <v>220.23529411764707</v>
      </c>
      <c r="BF204" s="87">
        <v>127.05882352941177</v>
      </c>
      <c r="BG204" s="66">
        <v>347.29411764705884</v>
      </c>
      <c r="BH204" s="67">
        <v>8739.6462913217474</v>
      </c>
      <c r="BI204" s="67">
        <v>794187.70096269099</v>
      </c>
    </row>
    <row r="205" spans="1:61" x14ac:dyDescent="0.25">
      <c r="A205" s="142">
        <v>0</v>
      </c>
      <c r="B205" s="68">
        <v>40372</v>
      </c>
      <c r="C205" s="198">
        <v>40372</v>
      </c>
      <c r="D205" s="69">
        <v>39644</v>
      </c>
      <c r="E205" s="70">
        <v>40372</v>
      </c>
      <c r="F205" s="71">
        <v>28</v>
      </c>
      <c r="G205" s="72"/>
      <c r="H205" s="82" t="s">
        <v>54</v>
      </c>
      <c r="I205" s="210"/>
      <c r="J205" s="210"/>
      <c r="K205" s="235">
        <v>1487.0588235294117</v>
      </c>
      <c r="L205" s="235">
        <v>271.05882352941177</v>
      </c>
      <c r="M205" s="389">
        <v>1758.1176470588234</v>
      </c>
      <c r="N205" s="235">
        <v>592.94117647058829</v>
      </c>
      <c r="O205" s="389">
        <v>204.23529411764707</v>
      </c>
      <c r="P205" s="389">
        <v>797.17647058823525</v>
      </c>
      <c r="Q205" s="389">
        <v>29.176470588235293</v>
      </c>
      <c r="R205" s="389">
        <v>0</v>
      </c>
      <c r="S205" s="389">
        <v>29.176470588235293</v>
      </c>
      <c r="T205" s="389">
        <v>181.64705882352942</v>
      </c>
      <c r="U205" s="389">
        <v>1123.7647058823529</v>
      </c>
      <c r="V205" s="389">
        <v>1305.4117647058824</v>
      </c>
      <c r="W205" s="389">
        <v>803.76470588235293</v>
      </c>
      <c r="X205" s="389">
        <v>1328</v>
      </c>
      <c r="Y205" s="389">
        <v>2131.7647058823532</v>
      </c>
      <c r="Z205" s="200">
        <v>3889.8823529411766</v>
      </c>
      <c r="AA205" s="389">
        <v>139.76470588235293</v>
      </c>
      <c r="AB205" s="389">
        <v>22.776470588235295</v>
      </c>
      <c r="AC205" s="389">
        <v>162.54117647058823</v>
      </c>
      <c r="AD205" s="389">
        <v>1.8823529411764706</v>
      </c>
      <c r="AE205" s="389">
        <v>0</v>
      </c>
      <c r="AF205" s="389">
        <v>1.8823529411764706</v>
      </c>
      <c r="AG205" s="389">
        <v>114.35294117647059</v>
      </c>
      <c r="AH205" s="389">
        <v>18.63529411764706</v>
      </c>
      <c r="AI205" s="389">
        <v>132.98823529411766</v>
      </c>
      <c r="AJ205" s="389">
        <v>23.529411764705884</v>
      </c>
      <c r="AK205" s="389">
        <v>141.1764705882353</v>
      </c>
      <c r="AL205" s="389">
        <v>164.70588235294119</v>
      </c>
      <c r="AM205" s="389">
        <v>139.76470588235293</v>
      </c>
      <c r="AN205" s="389">
        <v>159.81176470588235</v>
      </c>
      <c r="AO205" s="389">
        <v>299.57647058823528</v>
      </c>
      <c r="AP205" s="200">
        <v>462.11764705882354</v>
      </c>
      <c r="AQ205" s="390">
        <v>0</v>
      </c>
      <c r="AR205" s="200">
        <v>1920.6588235294116</v>
      </c>
      <c r="AS205" s="200">
        <v>2431.3411764705884</v>
      </c>
      <c r="AT205" s="66">
        <v>4352</v>
      </c>
      <c r="AU205" s="235">
        <v>141.1764705882353</v>
      </c>
      <c r="AV205" s="235">
        <v>56.470588235294116</v>
      </c>
      <c r="AW205" s="75">
        <v>150.58823529411765</v>
      </c>
      <c r="AX205" s="235">
        <v>103.52941176470588</v>
      </c>
      <c r="AY205" s="66">
        <v>451.76470588235293</v>
      </c>
      <c r="AZ205" s="202">
        <v>0</v>
      </c>
      <c r="BA205" s="87">
        <v>0</v>
      </c>
      <c r="BB205" s="87">
        <v>37.647058823529413</v>
      </c>
      <c r="BC205" s="87">
        <v>0</v>
      </c>
      <c r="BD205" s="87">
        <v>96</v>
      </c>
      <c r="BE205" s="87">
        <v>96</v>
      </c>
      <c r="BF205" s="87">
        <v>112</v>
      </c>
      <c r="BG205" s="66">
        <v>208</v>
      </c>
      <c r="BH205" s="67">
        <v>5011.7647058823532</v>
      </c>
      <c r="BI205" s="67">
        <v>799199.46566857339</v>
      </c>
    </row>
    <row r="206" spans="1:61" x14ac:dyDescent="0.25">
      <c r="A206" s="142">
        <v>0</v>
      </c>
      <c r="B206" s="68">
        <v>40373</v>
      </c>
      <c r="C206" s="198">
        <v>40373</v>
      </c>
      <c r="D206" s="69">
        <v>39645</v>
      </c>
      <c r="E206" s="70">
        <v>40373</v>
      </c>
      <c r="F206" s="71">
        <v>28</v>
      </c>
      <c r="G206" s="72" t="s">
        <v>32</v>
      </c>
      <c r="H206" s="82" t="s">
        <v>54</v>
      </c>
      <c r="I206" s="210"/>
      <c r="J206" s="210"/>
      <c r="K206" s="235">
        <v>1867.2941176470588</v>
      </c>
      <c r="L206" s="273">
        <v>253.1764705882353</v>
      </c>
      <c r="M206" s="273">
        <v>2120.4705882352941</v>
      </c>
      <c r="N206" s="273">
        <v>851.76470588235293</v>
      </c>
      <c r="O206" s="273">
        <v>176</v>
      </c>
      <c r="P206" s="273">
        <v>1027.7647058823529</v>
      </c>
      <c r="Q206" s="273">
        <v>107.29411764705883</v>
      </c>
      <c r="R206" s="273">
        <v>0</v>
      </c>
      <c r="S206" s="273">
        <v>107.29411764705883</v>
      </c>
      <c r="T206" s="273">
        <v>233.41176470588235</v>
      </c>
      <c r="U206" s="273">
        <v>1309.1764705882354</v>
      </c>
      <c r="V206" s="273">
        <v>1542.5882352941176</v>
      </c>
      <c r="W206" s="273">
        <v>1192.4705882352941</v>
      </c>
      <c r="X206" s="273">
        <v>1485.1764705882354</v>
      </c>
      <c r="Y206" s="273">
        <v>2677.6470588235293</v>
      </c>
      <c r="Z206" s="200">
        <v>4798.1176470588234</v>
      </c>
      <c r="AA206" s="273">
        <v>217.41176470588235</v>
      </c>
      <c r="AB206" s="273">
        <v>26.4</v>
      </c>
      <c r="AC206" s="273">
        <v>243.81176470588235</v>
      </c>
      <c r="AD206" s="273">
        <v>6.5882352941176467</v>
      </c>
      <c r="AE206" s="273">
        <v>0</v>
      </c>
      <c r="AF206" s="273">
        <v>6.5882352941176467</v>
      </c>
      <c r="AG206" s="273">
        <v>177.88235294117646</v>
      </c>
      <c r="AH206" s="273">
        <v>21.6</v>
      </c>
      <c r="AI206" s="273">
        <v>199.48235294117646</v>
      </c>
      <c r="AJ206" s="273">
        <v>23.529411764705884</v>
      </c>
      <c r="AK206" s="273">
        <v>131.76470588235293</v>
      </c>
      <c r="AL206" s="273">
        <v>155.29411764705881</v>
      </c>
      <c r="AM206" s="273">
        <v>208</v>
      </c>
      <c r="AN206" s="273">
        <v>153.36470588235292</v>
      </c>
      <c r="AO206" s="273">
        <v>361.36470588235295</v>
      </c>
      <c r="AP206" s="200">
        <v>605.17647058823525</v>
      </c>
      <c r="AQ206" s="141">
        <v>0</v>
      </c>
      <c r="AR206" s="200">
        <v>2364.2823529411767</v>
      </c>
      <c r="AS206" s="200">
        <v>3039.0117647058823</v>
      </c>
      <c r="AT206" s="66">
        <v>5403.2941176470595</v>
      </c>
      <c r="AU206" s="235">
        <v>188.23529411764707</v>
      </c>
      <c r="AV206" s="235">
        <v>47.058823529411768</v>
      </c>
      <c r="AW206" s="75">
        <v>131.76470588235293</v>
      </c>
      <c r="AX206" s="235">
        <v>131.76470588235293</v>
      </c>
      <c r="AY206" s="66">
        <v>498.8235294117647</v>
      </c>
      <c r="AZ206" s="202">
        <v>0</v>
      </c>
      <c r="BA206" s="87">
        <v>0</v>
      </c>
      <c r="BB206" s="87">
        <v>0</v>
      </c>
      <c r="BC206" s="87">
        <v>0</v>
      </c>
      <c r="BD206" s="87">
        <v>58.352941176470587</v>
      </c>
      <c r="BE206" s="87">
        <v>58.352941176470587</v>
      </c>
      <c r="BF206" s="87">
        <v>260.70588235294116</v>
      </c>
      <c r="BG206" s="66">
        <v>319.05882352941177</v>
      </c>
      <c r="BH206" s="67">
        <v>6221.176470588236</v>
      </c>
      <c r="BI206" s="67">
        <v>805420.64213916159</v>
      </c>
    </row>
    <row r="207" spans="1:61" x14ac:dyDescent="0.25">
      <c r="A207" s="142">
        <v>0</v>
      </c>
      <c r="B207" s="68">
        <v>40374</v>
      </c>
      <c r="C207" s="198">
        <v>40374</v>
      </c>
      <c r="D207" s="69">
        <v>39646</v>
      </c>
      <c r="E207" s="70">
        <v>40374</v>
      </c>
      <c r="F207" s="71">
        <v>28</v>
      </c>
      <c r="G207" s="72"/>
      <c r="H207" s="82" t="s">
        <v>54</v>
      </c>
      <c r="I207" s="210"/>
      <c r="J207" s="210"/>
      <c r="K207" s="235">
        <v>2886.5882352941176</v>
      </c>
      <c r="L207" s="235">
        <v>333.1764705882353</v>
      </c>
      <c r="M207" s="235">
        <v>3219.7647058823527</v>
      </c>
      <c r="N207" s="235">
        <v>988.23529411764707</v>
      </c>
      <c r="O207" s="235">
        <v>243.76470588235293</v>
      </c>
      <c r="P207" s="235">
        <v>1232</v>
      </c>
      <c r="Q207" s="235">
        <v>71.529411764705884</v>
      </c>
      <c r="R207" s="235">
        <v>0</v>
      </c>
      <c r="S207" s="235">
        <v>71.529411764705884</v>
      </c>
      <c r="T207" s="235">
        <v>288.94117647058823</v>
      </c>
      <c r="U207" s="235">
        <v>1900.2352941176471</v>
      </c>
      <c r="V207" s="235">
        <v>2189.1764705882351</v>
      </c>
      <c r="W207" s="235">
        <v>1348.7058823529412</v>
      </c>
      <c r="X207" s="235">
        <v>2144</v>
      </c>
      <c r="Y207" s="235">
        <v>3492.705882352941</v>
      </c>
      <c r="Z207" s="200">
        <v>6712.4705882352937</v>
      </c>
      <c r="AA207" s="235">
        <v>212.23529411764707</v>
      </c>
      <c r="AB207" s="235">
        <v>32.611764705882351</v>
      </c>
      <c r="AC207" s="235">
        <v>244.84705882352938</v>
      </c>
      <c r="AD207" s="235">
        <v>9.4117647058823533</v>
      </c>
      <c r="AE207" s="235">
        <v>0</v>
      </c>
      <c r="AF207" s="235">
        <v>9.4117647058823533</v>
      </c>
      <c r="AG207" s="235">
        <v>173.64705882352942</v>
      </c>
      <c r="AH207" s="235">
        <v>26.682352941176472</v>
      </c>
      <c r="AI207" s="235">
        <v>200.32941176470587</v>
      </c>
      <c r="AJ207" s="235">
        <v>35.764705882352942</v>
      </c>
      <c r="AK207" s="235">
        <v>112.94117647058823</v>
      </c>
      <c r="AL207" s="235">
        <v>148.70588235294119</v>
      </c>
      <c r="AM207" s="235">
        <v>218.8235294117647</v>
      </c>
      <c r="AN207" s="235">
        <v>139.62352941176471</v>
      </c>
      <c r="AO207" s="235">
        <v>358.44705882352946</v>
      </c>
      <c r="AP207" s="200">
        <v>603.29411764705878</v>
      </c>
      <c r="AQ207" s="141">
        <v>0</v>
      </c>
      <c r="AR207" s="200">
        <v>3464.6117647058823</v>
      </c>
      <c r="AS207" s="200">
        <v>3851.1529411764704</v>
      </c>
      <c r="AT207" s="66">
        <v>7315.7647058823532</v>
      </c>
      <c r="AU207" s="235">
        <v>164.70588235294119</v>
      </c>
      <c r="AV207" s="235">
        <v>42.352941176470587</v>
      </c>
      <c r="AW207" s="75">
        <v>7.5294117647058822</v>
      </c>
      <c r="AX207" s="235">
        <v>188.23529411764707</v>
      </c>
      <c r="AY207" s="66">
        <v>402.82352941176475</v>
      </c>
      <c r="AZ207" s="202">
        <v>0</v>
      </c>
      <c r="BA207" s="87">
        <v>0</v>
      </c>
      <c r="BB207" s="87">
        <v>0</v>
      </c>
      <c r="BC207" s="87">
        <v>0</v>
      </c>
      <c r="BD207" s="87">
        <v>0</v>
      </c>
      <c r="BE207" s="87">
        <v>0</v>
      </c>
      <c r="BF207" s="87">
        <v>341.64705882352939</v>
      </c>
      <c r="BG207" s="66">
        <v>341.64705882352939</v>
      </c>
      <c r="BH207" s="67">
        <v>8060.2352941176468</v>
      </c>
      <c r="BI207" s="67">
        <v>813480.87743327918</v>
      </c>
    </row>
    <row r="208" spans="1:61" x14ac:dyDescent="0.25">
      <c r="A208" s="142">
        <v>0</v>
      </c>
      <c r="B208" s="68">
        <v>40375</v>
      </c>
      <c r="C208" s="198">
        <v>40375</v>
      </c>
      <c r="D208" s="69">
        <v>39647</v>
      </c>
      <c r="E208" s="70">
        <v>40375</v>
      </c>
      <c r="F208" s="71">
        <v>28</v>
      </c>
      <c r="G208" s="72"/>
      <c r="H208" s="82" t="s">
        <v>54</v>
      </c>
      <c r="I208" s="210"/>
      <c r="J208" s="210"/>
      <c r="K208" s="235">
        <v>1672.4705882352941</v>
      </c>
      <c r="L208" s="235">
        <v>239.05882352941177</v>
      </c>
      <c r="M208" s="235">
        <v>1911.5294117647059</v>
      </c>
      <c r="N208" s="235">
        <v>545.88235294117646</v>
      </c>
      <c r="O208" s="235">
        <v>170.35294117647058</v>
      </c>
      <c r="P208" s="235">
        <v>716.23529411764707</v>
      </c>
      <c r="Q208" s="235">
        <v>51.764705882352942</v>
      </c>
      <c r="R208" s="235">
        <v>0</v>
      </c>
      <c r="S208" s="235">
        <v>51.764705882352942</v>
      </c>
      <c r="T208" s="235">
        <v>329.41176470588238</v>
      </c>
      <c r="U208" s="235">
        <v>1431.5294117647059</v>
      </c>
      <c r="V208" s="235">
        <v>1760.9411764705883</v>
      </c>
      <c r="W208" s="235">
        <v>927.05882352941171</v>
      </c>
      <c r="X208" s="235">
        <v>1601.8823529411766</v>
      </c>
      <c r="Y208" s="235">
        <v>2528.9411764705883</v>
      </c>
      <c r="Z208" s="200">
        <v>4440.4705882352937</v>
      </c>
      <c r="AA208" s="235">
        <v>243.29411764705881</v>
      </c>
      <c r="AB208" s="235">
        <v>26.4</v>
      </c>
      <c r="AC208" s="235">
        <v>269.69411764705882</v>
      </c>
      <c r="AD208" s="235">
        <v>3.7647058823529411</v>
      </c>
      <c r="AE208" s="235">
        <v>0</v>
      </c>
      <c r="AF208" s="235">
        <v>3.7647058823529411</v>
      </c>
      <c r="AG208" s="235">
        <v>199.05882352941177</v>
      </c>
      <c r="AH208" s="235">
        <v>21.6</v>
      </c>
      <c r="AI208" s="235">
        <v>220.65882352941176</v>
      </c>
      <c r="AJ208" s="235">
        <v>75.294117647058826</v>
      </c>
      <c r="AK208" s="235">
        <v>103.52941176470588</v>
      </c>
      <c r="AL208" s="235">
        <v>178.8235294117647</v>
      </c>
      <c r="AM208" s="235">
        <v>278.11764705882354</v>
      </c>
      <c r="AN208" s="235">
        <v>125.12941176470588</v>
      </c>
      <c r="AO208" s="235">
        <v>403.24705882352941</v>
      </c>
      <c r="AP208" s="200">
        <v>672.94117647058829</v>
      </c>
      <c r="AQ208" s="141">
        <v>0</v>
      </c>
      <c r="AR208" s="200">
        <v>2181.2235294117645</v>
      </c>
      <c r="AS208" s="200">
        <v>2932.1882352941175</v>
      </c>
      <c r="AT208" s="66">
        <v>5113.411764705882</v>
      </c>
      <c r="AU208" s="235">
        <v>174.11764705882354</v>
      </c>
      <c r="AV208" s="235">
        <v>51.764705882352942</v>
      </c>
      <c r="AW208" s="75">
        <v>7.5294117647058822</v>
      </c>
      <c r="AX208" s="235">
        <v>70.588235294117652</v>
      </c>
      <c r="AY208" s="66">
        <v>304</v>
      </c>
      <c r="AZ208" s="202">
        <v>0</v>
      </c>
      <c r="BA208" s="87">
        <v>102.58823529411765</v>
      </c>
      <c r="BB208" s="87">
        <v>32.941176470588232</v>
      </c>
      <c r="BC208" s="87">
        <v>102.58823529411765</v>
      </c>
      <c r="BD208" s="87">
        <v>32.941176470588232</v>
      </c>
      <c r="BE208" s="87">
        <v>135.52941176470588</v>
      </c>
      <c r="BF208" s="87">
        <v>608.94117647058829</v>
      </c>
      <c r="BG208" s="66">
        <v>744.47058823529414</v>
      </c>
      <c r="BH208" s="67">
        <v>6161.8823529411766</v>
      </c>
      <c r="BI208" s="67">
        <v>819642.75978622038</v>
      </c>
    </row>
    <row r="209" spans="1:61" x14ac:dyDescent="0.25">
      <c r="A209" s="142">
        <v>0</v>
      </c>
      <c r="B209" s="85">
        <v>40376</v>
      </c>
      <c r="C209" s="203">
        <v>40376</v>
      </c>
      <c r="D209" s="76">
        <v>39648</v>
      </c>
      <c r="E209" s="77">
        <v>40376</v>
      </c>
      <c r="F209" s="78">
        <v>28</v>
      </c>
      <c r="G209" s="79"/>
      <c r="H209" s="80" t="s">
        <v>54</v>
      </c>
      <c r="I209" s="212"/>
      <c r="J209" s="212"/>
      <c r="K209" s="235">
        <v>2624.9411764705883</v>
      </c>
      <c r="L209" s="235">
        <v>167.52941176470588</v>
      </c>
      <c r="M209" s="231">
        <v>2792.4705882352941</v>
      </c>
      <c r="N209" s="231">
        <v>899.76470588235293</v>
      </c>
      <c r="O209" s="231">
        <v>114.82352941176471</v>
      </c>
      <c r="P209" s="231">
        <v>1014.5882352941177</v>
      </c>
      <c r="Q209" s="231">
        <v>60.235294117647058</v>
      </c>
      <c r="R209" s="231">
        <v>0</v>
      </c>
      <c r="S209" s="231">
        <v>60.235294117647058</v>
      </c>
      <c r="T209" s="231">
        <v>404.70588235294116</v>
      </c>
      <c r="U209" s="231">
        <v>1289.4117647058824</v>
      </c>
      <c r="V209" s="231">
        <v>1694.1176470588234</v>
      </c>
      <c r="W209" s="231">
        <v>1364.7058823529412</v>
      </c>
      <c r="X209" s="231">
        <v>1404.2352941176471</v>
      </c>
      <c r="Y209" s="231">
        <v>2768.9411764705883</v>
      </c>
      <c r="Z209" s="200">
        <v>5561.411764705882</v>
      </c>
      <c r="AA209" s="231">
        <v>191.52941176470588</v>
      </c>
      <c r="AB209" s="231">
        <v>15.529411764705882</v>
      </c>
      <c r="AC209" s="231">
        <v>207.05882352941177</v>
      </c>
      <c r="AD209" s="231">
        <v>10.352941176470589</v>
      </c>
      <c r="AE209" s="231">
        <v>0</v>
      </c>
      <c r="AF209" s="231">
        <v>10.352941176470589</v>
      </c>
      <c r="AG209" s="231">
        <v>156.70588235294119</v>
      </c>
      <c r="AH209" s="231">
        <v>12.705882352941176</v>
      </c>
      <c r="AI209" s="231">
        <v>169.41176470588235</v>
      </c>
      <c r="AJ209" s="231">
        <v>56.470588235294116</v>
      </c>
      <c r="AK209" s="231">
        <v>101.64705882352941</v>
      </c>
      <c r="AL209" s="231">
        <v>158.11764705882354</v>
      </c>
      <c r="AM209" s="231">
        <v>223.52941176470588</v>
      </c>
      <c r="AN209" s="231">
        <v>114.35294117647059</v>
      </c>
      <c r="AO209" s="231">
        <v>337.88235294117646</v>
      </c>
      <c r="AP209" s="200">
        <v>544.94117647058829</v>
      </c>
      <c r="AQ209" s="141">
        <v>0</v>
      </c>
      <c r="AR209" s="200">
        <v>2999.5294117647059</v>
      </c>
      <c r="AS209" s="200">
        <v>3106.8235294117649</v>
      </c>
      <c r="AT209" s="66">
        <v>6106.3529411764703</v>
      </c>
      <c r="AU209" s="231">
        <v>225.88235294117646</v>
      </c>
      <c r="AV209" s="231">
        <v>28.156351077243571</v>
      </c>
      <c r="AW209" s="75">
        <v>7.5294117647058822</v>
      </c>
      <c r="AX209" s="231">
        <v>263.52941176470586</v>
      </c>
      <c r="AY209" s="66">
        <v>525.09752754783176</v>
      </c>
      <c r="AZ209" s="208">
        <v>0</v>
      </c>
      <c r="BA209" s="87">
        <v>148.70588235294119</v>
      </c>
      <c r="BB209" s="87">
        <v>230.58823529411765</v>
      </c>
      <c r="BC209" s="87">
        <v>163.76470588235293</v>
      </c>
      <c r="BD209" s="87">
        <v>230.58823529411765</v>
      </c>
      <c r="BE209" s="87">
        <v>394.35294117647061</v>
      </c>
      <c r="BF209" s="87">
        <v>423.52941176470586</v>
      </c>
      <c r="BG209" s="66">
        <v>817.88235294117646</v>
      </c>
      <c r="BH209" s="67">
        <v>7449.3328216654791</v>
      </c>
      <c r="BI209" s="67">
        <v>827092.09260788583</v>
      </c>
    </row>
    <row r="210" spans="1:61" x14ac:dyDescent="0.25">
      <c r="A210" s="142">
        <v>0</v>
      </c>
      <c r="B210" s="85">
        <v>40377</v>
      </c>
      <c r="C210" s="203">
        <v>40377</v>
      </c>
      <c r="D210" s="76">
        <v>39649</v>
      </c>
      <c r="E210" s="77">
        <v>40377</v>
      </c>
      <c r="F210" s="78">
        <v>28</v>
      </c>
      <c r="G210" s="79"/>
      <c r="H210" s="80" t="s">
        <v>54</v>
      </c>
      <c r="I210" s="212"/>
      <c r="J210" s="212"/>
      <c r="K210" s="235">
        <v>2050.8235294117649</v>
      </c>
      <c r="L210" s="235">
        <v>192</v>
      </c>
      <c r="M210" s="231">
        <v>2242.8235294117649</v>
      </c>
      <c r="N210" s="231">
        <v>720</v>
      </c>
      <c r="O210" s="231">
        <v>120.47058823529412</v>
      </c>
      <c r="P210" s="231">
        <v>840.47058823529414</v>
      </c>
      <c r="Q210" s="231">
        <v>34.823529411764703</v>
      </c>
      <c r="R210" s="231">
        <v>0</v>
      </c>
      <c r="S210" s="231">
        <v>34.823529411764703</v>
      </c>
      <c r="T210" s="231">
        <v>216.47058823529412</v>
      </c>
      <c r="U210" s="231">
        <v>1185.8823529411766</v>
      </c>
      <c r="V210" s="231">
        <v>1402.3529411764705</v>
      </c>
      <c r="W210" s="231">
        <v>971.29411764705878</v>
      </c>
      <c r="X210" s="231">
        <v>1306.3529411764705</v>
      </c>
      <c r="Y210" s="231">
        <v>2277.6470588235293</v>
      </c>
      <c r="Z210" s="200">
        <v>4520.4705882352937</v>
      </c>
      <c r="AA210" s="231">
        <v>207.05882352941177</v>
      </c>
      <c r="AB210" s="231">
        <v>36.235294117647058</v>
      </c>
      <c r="AC210" s="231">
        <v>243.29411764705881</v>
      </c>
      <c r="AD210" s="231">
        <v>6.5882352941176467</v>
      </c>
      <c r="AE210" s="231">
        <v>0</v>
      </c>
      <c r="AF210" s="231">
        <v>6.5882352941176467</v>
      </c>
      <c r="AG210" s="231">
        <v>169.41176470588235</v>
      </c>
      <c r="AH210" s="231">
        <v>29.647058823529413</v>
      </c>
      <c r="AI210" s="231">
        <v>199.05882352941177</v>
      </c>
      <c r="AJ210" s="231">
        <v>25.411764705882351</v>
      </c>
      <c r="AK210" s="231">
        <v>153.41176470588235</v>
      </c>
      <c r="AL210" s="231">
        <v>178.8235294117647</v>
      </c>
      <c r="AM210" s="231">
        <v>201.41176470588235</v>
      </c>
      <c r="AN210" s="231">
        <v>183.05882352941177</v>
      </c>
      <c r="AO210" s="231">
        <v>384.47058823529414</v>
      </c>
      <c r="AP210" s="200">
        <v>627.76470588235293</v>
      </c>
      <c r="AQ210" s="141">
        <v>0</v>
      </c>
      <c r="AR210" s="200">
        <v>2486.1176470588239</v>
      </c>
      <c r="AS210" s="200">
        <v>2662.1176470588234</v>
      </c>
      <c r="AT210" s="66">
        <v>5148.2352941176468</v>
      </c>
      <c r="AU210" s="231">
        <v>188.23529411764707</v>
      </c>
      <c r="AV210" s="231">
        <v>32.849076256784159</v>
      </c>
      <c r="AW210" s="75">
        <v>7.5294117647058822</v>
      </c>
      <c r="AX210" s="231">
        <v>282.35294117647061</v>
      </c>
      <c r="AY210" s="66">
        <v>510.96672331560774</v>
      </c>
      <c r="AZ210" s="208">
        <v>0</v>
      </c>
      <c r="BA210" s="87">
        <v>263.52941176470586</v>
      </c>
      <c r="BB210" s="87">
        <v>231.52941176470588</v>
      </c>
      <c r="BC210" s="87">
        <v>336</v>
      </c>
      <c r="BD210" s="87">
        <v>231.52941176470588</v>
      </c>
      <c r="BE210" s="87">
        <v>567.52941176470586</v>
      </c>
      <c r="BF210" s="87">
        <v>225.88235294117646</v>
      </c>
      <c r="BG210" s="66">
        <v>793.41176470588232</v>
      </c>
      <c r="BH210" s="67">
        <v>6452.6137821391367</v>
      </c>
      <c r="BI210" s="67">
        <v>833544.70639002498</v>
      </c>
    </row>
    <row r="211" spans="1:61" x14ac:dyDescent="0.25">
      <c r="A211" s="142">
        <v>0</v>
      </c>
      <c r="B211" s="68">
        <v>40378</v>
      </c>
      <c r="C211" s="198">
        <v>40378</v>
      </c>
      <c r="D211" s="69">
        <v>39650</v>
      </c>
      <c r="E211" s="70">
        <v>40378</v>
      </c>
      <c r="F211" s="71">
        <v>29</v>
      </c>
      <c r="G211" s="72"/>
      <c r="H211" s="82" t="s">
        <v>54</v>
      </c>
      <c r="I211" s="210"/>
      <c r="J211" s="210"/>
      <c r="K211" s="235">
        <v>2530.8235294117649</v>
      </c>
      <c r="L211" s="235">
        <v>291.76470588235293</v>
      </c>
      <c r="M211" s="235">
        <v>2822.588235294118</v>
      </c>
      <c r="N211" s="235">
        <v>856.47058823529414</v>
      </c>
      <c r="O211" s="235">
        <v>225.88235294117646</v>
      </c>
      <c r="P211" s="235">
        <v>1082.3529411764705</v>
      </c>
      <c r="Q211" s="235">
        <v>50.823529411764703</v>
      </c>
      <c r="R211" s="235">
        <v>0</v>
      </c>
      <c r="S211" s="235">
        <v>50.823529411764703</v>
      </c>
      <c r="T211" s="235">
        <v>244.70588235294119</v>
      </c>
      <c r="U211" s="235">
        <v>1171.7647058823529</v>
      </c>
      <c r="V211" s="235">
        <v>1416.4705882352941</v>
      </c>
      <c r="W211" s="235">
        <v>1152</v>
      </c>
      <c r="X211" s="235">
        <v>1397.6470588235295</v>
      </c>
      <c r="Y211" s="235">
        <v>2549.6470588235293</v>
      </c>
      <c r="Z211" s="200">
        <v>5372.2352941176468</v>
      </c>
      <c r="AA211" s="235">
        <v>295.05882352941177</v>
      </c>
      <c r="AB211" s="235">
        <v>46.588235294117645</v>
      </c>
      <c r="AC211" s="235">
        <v>341.64705882352939</v>
      </c>
      <c r="AD211" s="235">
        <v>23.529411764705884</v>
      </c>
      <c r="AE211" s="235">
        <v>0</v>
      </c>
      <c r="AF211" s="235">
        <v>23.529411764705884</v>
      </c>
      <c r="AG211" s="235">
        <v>241.41176470588235</v>
      </c>
      <c r="AH211" s="235">
        <v>38.117647058823529</v>
      </c>
      <c r="AI211" s="235">
        <v>279.52941176470586</v>
      </c>
      <c r="AJ211" s="235">
        <v>47.058823529411768</v>
      </c>
      <c r="AK211" s="235">
        <v>160</v>
      </c>
      <c r="AL211" s="235">
        <v>207.05882352941177</v>
      </c>
      <c r="AM211" s="235">
        <v>312</v>
      </c>
      <c r="AN211" s="235">
        <v>198.11764705882354</v>
      </c>
      <c r="AO211" s="235">
        <v>510.11764705882354</v>
      </c>
      <c r="AP211" s="200">
        <v>851.76470588235293</v>
      </c>
      <c r="AQ211" s="141">
        <v>0</v>
      </c>
      <c r="AR211" s="200">
        <v>3164.2352941176473</v>
      </c>
      <c r="AS211" s="200">
        <v>3059.7647058823527</v>
      </c>
      <c r="AT211" s="66">
        <v>6224</v>
      </c>
      <c r="AU211" s="235">
        <v>197.64705882352942</v>
      </c>
      <c r="AV211" s="235">
        <v>42.352941176470587</v>
      </c>
      <c r="AW211" s="75">
        <v>7.5294117647058822</v>
      </c>
      <c r="AX211" s="235">
        <v>225.88235294117646</v>
      </c>
      <c r="AY211" s="66">
        <v>473.41176470588232</v>
      </c>
      <c r="AZ211" s="202">
        <v>0</v>
      </c>
      <c r="BA211" s="87">
        <v>0</v>
      </c>
      <c r="BB211" s="87">
        <v>61.176470588235297</v>
      </c>
      <c r="BC211" s="87">
        <v>61.176470588235297</v>
      </c>
      <c r="BD211" s="87">
        <v>61.176470588235297</v>
      </c>
      <c r="BE211" s="87">
        <v>122.35294117647059</v>
      </c>
      <c r="BF211" s="87">
        <v>244.70588235294119</v>
      </c>
      <c r="BG211" s="66">
        <v>367.05882352941177</v>
      </c>
      <c r="BH211" s="67">
        <v>7064.4705882352937</v>
      </c>
      <c r="BI211" s="67">
        <v>840609.17697826028</v>
      </c>
    </row>
    <row r="212" spans="1:61" x14ac:dyDescent="0.25">
      <c r="A212" s="142">
        <v>0</v>
      </c>
      <c r="B212" s="68">
        <v>40379</v>
      </c>
      <c r="C212" s="198">
        <v>40379</v>
      </c>
      <c r="D212" s="69">
        <v>39651</v>
      </c>
      <c r="E212" s="70">
        <v>40379</v>
      </c>
      <c r="F212" s="71">
        <v>29</v>
      </c>
      <c r="G212" s="72"/>
      <c r="H212" s="82" t="s">
        <v>54</v>
      </c>
      <c r="I212" s="210"/>
      <c r="J212" s="210"/>
      <c r="K212" s="235">
        <v>2259.7647058823532</v>
      </c>
      <c r="L212" s="235">
        <v>423.52941176470586</v>
      </c>
      <c r="M212" s="235">
        <v>2683.294117647059</v>
      </c>
      <c r="N212" s="235">
        <v>931.76470588235293</v>
      </c>
      <c r="O212" s="235">
        <v>340.70588235294116</v>
      </c>
      <c r="P212" s="235">
        <v>1272.4705882352941</v>
      </c>
      <c r="Q212" s="235">
        <v>55.529411764705884</v>
      </c>
      <c r="R212" s="235">
        <v>0</v>
      </c>
      <c r="S212" s="235">
        <v>55.529411764705884</v>
      </c>
      <c r="T212" s="235">
        <v>381.1764705882353</v>
      </c>
      <c r="U212" s="235">
        <v>2031.0588235294117</v>
      </c>
      <c r="V212" s="235">
        <v>2412.2352941176468</v>
      </c>
      <c r="W212" s="235">
        <v>1368.4705882352941</v>
      </c>
      <c r="X212" s="235">
        <v>2371.7647058823532</v>
      </c>
      <c r="Y212" s="235">
        <v>3740.2352941176468</v>
      </c>
      <c r="Z212" s="200">
        <v>6423.5294117647063</v>
      </c>
      <c r="AA212" s="235">
        <v>188.94117647058823</v>
      </c>
      <c r="AB212" s="235">
        <v>69.882352941176464</v>
      </c>
      <c r="AC212" s="235">
        <v>258.8235294117647</v>
      </c>
      <c r="AD212" s="235">
        <v>26.352941176470587</v>
      </c>
      <c r="AE212" s="235">
        <v>0</v>
      </c>
      <c r="AF212" s="235">
        <v>26.352941176470587</v>
      </c>
      <c r="AG212" s="235">
        <v>154.58823529411765</v>
      </c>
      <c r="AH212" s="235">
        <v>57.176470588235297</v>
      </c>
      <c r="AI212" s="235">
        <v>211.76470588235293</v>
      </c>
      <c r="AJ212" s="235">
        <v>41.411764705882355</v>
      </c>
      <c r="AK212" s="235">
        <v>145.88235294117646</v>
      </c>
      <c r="AL212" s="235">
        <v>187.29411764705881</v>
      </c>
      <c r="AM212" s="235">
        <v>222.35294117647058</v>
      </c>
      <c r="AN212" s="235">
        <v>203.05882352941177</v>
      </c>
      <c r="AO212" s="235">
        <v>425.41176470588238</v>
      </c>
      <c r="AP212" s="200">
        <v>684.23529411764707</v>
      </c>
      <c r="AQ212" s="141">
        <v>0</v>
      </c>
      <c r="AR212" s="200">
        <v>2942.1176470588239</v>
      </c>
      <c r="AS212" s="200">
        <v>4165.6470588235288</v>
      </c>
      <c r="AT212" s="66">
        <v>7107.7647058823532</v>
      </c>
      <c r="AU212" s="235">
        <v>197.64705882352942</v>
      </c>
      <c r="AV212" s="235">
        <v>28.235294117647058</v>
      </c>
      <c r="AW212" s="75">
        <v>7.5294117647058822</v>
      </c>
      <c r="AX212" s="235">
        <v>141.1764705882353</v>
      </c>
      <c r="AY212" s="66">
        <v>374.58823529411768</v>
      </c>
      <c r="AZ212" s="202">
        <v>0</v>
      </c>
      <c r="BA212" s="87">
        <v>161.88235294117646</v>
      </c>
      <c r="BB212" s="87">
        <v>67.764705882352942</v>
      </c>
      <c r="BC212" s="87">
        <v>161.88235294117646</v>
      </c>
      <c r="BD212" s="87">
        <v>67.764705882352942</v>
      </c>
      <c r="BE212" s="87">
        <v>229.64705882352942</v>
      </c>
      <c r="BF212" s="87">
        <v>362.35294117647061</v>
      </c>
      <c r="BG212" s="66">
        <v>592</v>
      </c>
      <c r="BH212" s="67">
        <v>8074.3529411764712</v>
      </c>
      <c r="BI212" s="67">
        <v>848683.52991943678</v>
      </c>
    </row>
    <row r="213" spans="1:61" x14ac:dyDescent="0.25">
      <c r="A213" s="142">
        <v>0</v>
      </c>
      <c r="B213" s="68">
        <v>40380</v>
      </c>
      <c r="C213" s="198">
        <v>40380</v>
      </c>
      <c r="D213" s="69">
        <v>39652</v>
      </c>
      <c r="E213" s="70">
        <v>40380</v>
      </c>
      <c r="F213" s="71">
        <v>29</v>
      </c>
      <c r="G213" s="72"/>
      <c r="H213" s="82" t="s">
        <v>54</v>
      </c>
      <c r="I213" s="210"/>
      <c r="J213" s="210"/>
      <c r="K213" s="235">
        <v>2032.9411764705883</v>
      </c>
      <c r="L213" s="235">
        <v>392.47058823529414</v>
      </c>
      <c r="M213" s="235">
        <v>2425.4117647058824</v>
      </c>
      <c r="N213" s="235">
        <v>752.94117647058829</v>
      </c>
      <c r="O213" s="235">
        <v>272.94117647058823</v>
      </c>
      <c r="P213" s="235">
        <v>1025.8823529411766</v>
      </c>
      <c r="Q213" s="235">
        <v>42.352941176470587</v>
      </c>
      <c r="R213" s="235">
        <v>0</v>
      </c>
      <c r="S213" s="235">
        <v>42.352941176470587</v>
      </c>
      <c r="T213" s="235">
        <v>338.8235294117647</v>
      </c>
      <c r="U213" s="235">
        <v>1903.0588235294117</v>
      </c>
      <c r="V213" s="235">
        <v>2241.8823529411766</v>
      </c>
      <c r="W213" s="235">
        <v>1134.1176470588234</v>
      </c>
      <c r="X213" s="235">
        <v>2176</v>
      </c>
      <c r="Y213" s="235">
        <v>3310.1176470588234</v>
      </c>
      <c r="Z213" s="200">
        <v>5735.5294117647063</v>
      </c>
      <c r="AA213" s="235">
        <v>287.29411764705884</v>
      </c>
      <c r="AB213" s="235">
        <v>56.941176470588232</v>
      </c>
      <c r="AC213" s="235">
        <v>344.23529411764707</v>
      </c>
      <c r="AD213" s="235">
        <v>25.411764705882351</v>
      </c>
      <c r="AE213" s="235">
        <v>0</v>
      </c>
      <c r="AF213" s="235">
        <v>25.411764705882351</v>
      </c>
      <c r="AG213" s="235">
        <v>235.05882352941177</v>
      </c>
      <c r="AH213" s="235">
        <v>46.588235294117645</v>
      </c>
      <c r="AI213" s="235">
        <v>281.64705882352939</v>
      </c>
      <c r="AJ213" s="235">
        <v>32.941176470588232</v>
      </c>
      <c r="AK213" s="235">
        <v>135.52941176470588</v>
      </c>
      <c r="AL213" s="235">
        <v>168.47058823529412</v>
      </c>
      <c r="AM213" s="235">
        <v>293.41176470588238</v>
      </c>
      <c r="AN213" s="235">
        <v>182.11764705882354</v>
      </c>
      <c r="AO213" s="235">
        <v>475.52941176470586</v>
      </c>
      <c r="AP213" s="200">
        <v>819.76470588235293</v>
      </c>
      <c r="AQ213" s="141">
        <v>0</v>
      </c>
      <c r="AR213" s="200">
        <v>2769.6470588235297</v>
      </c>
      <c r="AS213" s="200">
        <v>3785.6470588235293</v>
      </c>
      <c r="AT213" s="66">
        <v>6555.2941176470595</v>
      </c>
      <c r="AU213" s="235">
        <v>141.1764705882353</v>
      </c>
      <c r="AV213" s="235">
        <v>51.619976974946546</v>
      </c>
      <c r="AW213" s="75">
        <v>7.5294117647058822</v>
      </c>
      <c r="AX213" s="235">
        <v>112.94117647058823</v>
      </c>
      <c r="AY213" s="66">
        <v>313.26703579847594</v>
      </c>
      <c r="AZ213" s="202">
        <v>0</v>
      </c>
      <c r="BA213" s="87">
        <v>0</v>
      </c>
      <c r="BB213" s="87">
        <v>0</v>
      </c>
      <c r="BC213" s="87">
        <v>0</v>
      </c>
      <c r="BD213" s="87">
        <v>0</v>
      </c>
      <c r="BE213" s="87">
        <v>0</v>
      </c>
      <c r="BF213" s="87">
        <v>567.52941176470586</v>
      </c>
      <c r="BG213" s="66">
        <v>567.52941176470586</v>
      </c>
      <c r="BH213" s="67">
        <v>7436.090565210241</v>
      </c>
      <c r="BI213" s="67">
        <v>856119.62048464699</v>
      </c>
    </row>
    <row r="214" spans="1:61" x14ac:dyDescent="0.25">
      <c r="A214" s="142">
        <v>0</v>
      </c>
      <c r="B214" s="68">
        <v>40381</v>
      </c>
      <c r="C214" s="198">
        <v>40381</v>
      </c>
      <c r="D214" s="69">
        <v>39653</v>
      </c>
      <c r="E214" s="70">
        <v>40381</v>
      </c>
      <c r="F214" s="71">
        <v>29</v>
      </c>
      <c r="G214" s="72"/>
      <c r="H214" s="82" t="s">
        <v>54</v>
      </c>
      <c r="I214" s="210"/>
      <c r="J214" s="210"/>
      <c r="K214" s="235">
        <v>2136.4705882352941</v>
      </c>
      <c r="L214" s="235">
        <v>283.29411764705884</v>
      </c>
      <c r="M214" s="235">
        <v>2419.7647058823532</v>
      </c>
      <c r="N214" s="235">
        <v>800</v>
      </c>
      <c r="O214" s="235">
        <v>169.41176470588235</v>
      </c>
      <c r="P214" s="235">
        <v>969.41176470588232</v>
      </c>
      <c r="Q214" s="235">
        <v>64</v>
      </c>
      <c r="R214" s="235">
        <v>0</v>
      </c>
      <c r="S214" s="235">
        <v>64</v>
      </c>
      <c r="T214" s="235">
        <v>301.1764705882353</v>
      </c>
      <c r="U214" s="235">
        <v>1456.9411764705883</v>
      </c>
      <c r="V214" s="235">
        <v>1758.1176470588234</v>
      </c>
      <c r="W214" s="235">
        <v>1165.1764705882354</v>
      </c>
      <c r="X214" s="235">
        <v>1626.3529411764705</v>
      </c>
      <c r="Y214" s="235">
        <v>2791.5294117647059</v>
      </c>
      <c r="Z214" s="200">
        <v>5211.2941176470586</v>
      </c>
      <c r="AA214" s="235">
        <v>414.11764705882354</v>
      </c>
      <c r="AB214" s="235">
        <v>41.411764705882355</v>
      </c>
      <c r="AC214" s="235">
        <v>455.52941176470586</v>
      </c>
      <c r="AD214" s="235">
        <v>8.4705882352941178</v>
      </c>
      <c r="AE214" s="235">
        <v>0</v>
      </c>
      <c r="AF214" s="235">
        <v>8.4705882352941178</v>
      </c>
      <c r="AG214" s="235">
        <v>338.8235294117647</v>
      </c>
      <c r="AH214" s="235">
        <v>33.882352941176471</v>
      </c>
      <c r="AI214" s="235">
        <v>372.70588235294116</v>
      </c>
      <c r="AJ214" s="235">
        <v>75.294117647058826</v>
      </c>
      <c r="AK214" s="235">
        <v>149.64705882352942</v>
      </c>
      <c r="AL214" s="235">
        <v>224.94117647058823</v>
      </c>
      <c r="AM214" s="235">
        <v>422.58823529411762</v>
      </c>
      <c r="AN214" s="235">
        <v>183.52941176470588</v>
      </c>
      <c r="AO214" s="235">
        <v>606.11764705882354</v>
      </c>
      <c r="AP214" s="200">
        <v>1061.6470588235295</v>
      </c>
      <c r="AQ214" s="141">
        <v>0</v>
      </c>
      <c r="AR214" s="200">
        <v>2875.294117647059</v>
      </c>
      <c r="AS214" s="200">
        <v>3397.6470588235293</v>
      </c>
      <c r="AT214" s="66">
        <v>6272.9411764705883</v>
      </c>
      <c r="AU214" s="235">
        <v>235.29411764705881</v>
      </c>
      <c r="AV214" s="235">
        <v>37.541801436324761</v>
      </c>
      <c r="AW214" s="75">
        <v>7.5294117647058822</v>
      </c>
      <c r="AX214" s="235">
        <v>84.705882352941174</v>
      </c>
      <c r="AY214" s="66">
        <v>365.07121320103062</v>
      </c>
      <c r="AZ214" s="202">
        <v>0</v>
      </c>
      <c r="BA214" s="87">
        <v>48.941176470588232</v>
      </c>
      <c r="BB214" s="87">
        <v>96.941176470588232</v>
      </c>
      <c r="BC214" s="87">
        <v>72.470588235294116</v>
      </c>
      <c r="BD214" s="87">
        <v>96.941176470588232</v>
      </c>
      <c r="BE214" s="87">
        <v>169.41176470588235</v>
      </c>
      <c r="BF214" s="87">
        <v>531.76470588235293</v>
      </c>
      <c r="BG214" s="66">
        <v>701.17647058823525</v>
      </c>
      <c r="BH214" s="67">
        <v>7339.1888602598538</v>
      </c>
      <c r="BI214" s="67">
        <v>863458.80934490683</v>
      </c>
    </row>
    <row r="215" spans="1:61" x14ac:dyDescent="0.25">
      <c r="A215" s="142">
        <v>0</v>
      </c>
      <c r="B215" s="68">
        <v>40382</v>
      </c>
      <c r="C215" s="198">
        <v>40382</v>
      </c>
      <c r="D215" s="69">
        <v>39654</v>
      </c>
      <c r="E215" s="70">
        <v>40382</v>
      </c>
      <c r="F215" s="71">
        <v>29</v>
      </c>
      <c r="G215" s="72"/>
      <c r="H215" s="82" t="s">
        <v>54</v>
      </c>
      <c r="I215" s="210"/>
      <c r="J215" s="210"/>
      <c r="K215" s="235">
        <v>1980.2352941176471</v>
      </c>
      <c r="L215" s="235">
        <v>160</v>
      </c>
      <c r="M215" s="235">
        <v>2140.2352941176468</v>
      </c>
      <c r="N215" s="235">
        <v>734.11764705882354</v>
      </c>
      <c r="O215" s="235">
        <v>98.82352941176471</v>
      </c>
      <c r="P215" s="235">
        <v>832.94117647058829</v>
      </c>
      <c r="Q215" s="235">
        <v>80.941176470588232</v>
      </c>
      <c r="R215" s="235">
        <v>0</v>
      </c>
      <c r="S215" s="235">
        <v>80.941176470588232</v>
      </c>
      <c r="T215" s="235">
        <v>389.64705882352939</v>
      </c>
      <c r="U215" s="235">
        <v>1077.6470588235295</v>
      </c>
      <c r="V215" s="235">
        <v>1467.2941176470588</v>
      </c>
      <c r="W215" s="235">
        <v>1204.7058823529412</v>
      </c>
      <c r="X215" s="235">
        <v>1176.4705882352941</v>
      </c>
      <c r="Y215" s="235">
        <v>2381.1764705882351</v>
      </c>
      <c r="Z215" s="200">
        <v>4521.411764705882</v>
      </c>
      <c r="AA215" s="235">
        <v>295.05882352941177</v>
      </c>
      <c r="AB215" s="235">
        <v>27.952941176470588</v>
      </c>
      <c r="AC215" s="235">
        <v>323.01176470588234</v>
      </c>
      <c r="AD215" s="235">
        <v>15.058823529411764</v>
      </c>
      <c r="AE215" s="235">
        <v>0</v>
      </c>
      <c r="AF215" s="235">
        <v>15.058823529411764</v>
      </c>
      <c r="AG215" s="235">
        <v>241.41176470588235</v>
      </c>
      <c r="AH215" s="235">
        <v>22.870588235294118</v>
      </c>
      <c r="AI215" s="235">
        <v>264.2823529411765</v>
      </c>
      <c r="AJ215" s="235">
        <v>98.82352941176471</v>
      </c>
      <c r="AK215" s="235">
        <v>141.1764705882353</v>
      </c>
      <c r="AL215" s="235">
        <v>240</v>
      </c>
      <c r="AM215" s="235">
        <v>355.29411764705884</v>
      </c>
      <c r="AN215" s="235">
        <v>164.04705882352943</v>
      </c>
      <c r="AO215" s="235">
        <v>519.34117647058815</v>
      </c>
      <c r="AP215" s="200">
        <v>842.35294117647061</v>
      </c>
      <c r="AQ215" s="141">
        <v>0</v>
      </c>
      <c r="AR215" s="200">
        <v>2463.2470588235292</v>
      </c>
      <c r="AS215" s="200">
        <v>2900.5176470588231</v>
      </c>
      <c r="AT215" s="66">
        <v>5363.7647058823522</v>
      </c>
      <c r="AU215" s="235">
        <v>235.29411764705881</v>
      </c>
      <c r="AV215" s="235">
        <v>32.849076256784159</v>
      </c>
      <c r="AW215" s="75">
        <v>7.5294117647058822</v>
      </c>
      <c r="AX215" s="235">
        <v>94.117647058823536</v>
      </c>
      <c r="AY215" s="66">
        <v>369.79025272737238</v>
      </c>
      <c r="AZ215" s="202">
        <v>0</v>
      </c>
      <c r="BA215" s="87">
        <v>51.764705882352942</v>
      </c>
      <c r="BB215" s="87">
        <v>105.41176470588235</v>
      </c>
      <c r="BC215" s="87">
        <v>131.76470588235293</v>
      </c>
      <c r="BD215" s="87">
        <v>105.41176470588235</v>
      </c>
      <c r="BE215" s="87">
        <v>237.1764705882353</v>
      </c>
      <c r="BF215" s="87">
        <v>447.05882352941177</v>
      </c>
      <c r="BG215" s="66">
        <v>684.23529411764707</v>
      </c>
      <c r="BH215" s="67">
        <v>6417.7902527273718</v>
      </c>
      <c r="BI215" s="67">
        <v>869876.59959763417</v>
      </c>
    </row>
    <row r="216" spans="1:61" x14ac:dyDescent="0.25">
      <c r="A216" s="142">
        <v>0</v>
      </c>
      <c r="B216" s="85">
        <v>40383</v>
      </c>
      <c r="C216" s="203">
        <v>40383</v>
      </c>
      <c r="D216" s="76">
        <v>39655</v>
      </c>
      <c r="E216" s="77">
        <v>40383</v>
      </c>
      <c r="F216" s="78">
        <v>29</v>
      </c>
      <c r="G216" s="79"/>
      <c r="H216" s="80" t="s">
        <v>54</v>
      </c>
      <c r="I216" s="212"/>
      <c r="J216" s="212"/>
      <c r="K216" s="235">
        <v>2115.7647058823532</v>
      </c>
      <c r="L216" s="235">
        <v>158.11764705882354</v>
      </c>
      <c r="M216" s="231">
        <v>2273.8823529411766</v>
      </c>
      <c r="N216" s="231">
        <v>912.94117647058829</v>
      </c>
      <c r="O216" s="231">
        <v>122.35294117647059</v>
      </c>
      <c r="P216" s="231">
        <v>1035.2941176470588</v>
      </c>
      <c r="Q216" s="231">
        <v>62.117647058823529</v>
      </c>
      <c r="R216" s="231">
        <v>0</v>
      </c>
      <c r="S216" s="231">
        <v>62.117647058823529</v>
      </c>
      <c r="T216" s="231">
        <v>508.23529411764707</v>
      </c>
      <c r="U216" s="231">
        <v>1319.5294117647059</v>
      </c>
      <c r="V216" s="231">
        <v>1827.7647058823529</v>
      </c>
      <c r="W216" s="231">
        <v>1483.2941176470588</v>
      </c>
      <c r="X216" s="231">
        <v>1441.8823529411766</v>
      </c>
      <c r="Y216" s="231">
        <v>2925.1764705882351</v>
      </c>
      <c r="Z216" s="200">
        <v>5199.0588235294117</v>
      </c>
      <c r="AA216" s="231">
        <v>176</v>
      </c>
      <c r="AB216" s="231">
        <v>15.529411764705882</v>
      </c>
      <c r="AC216" s="231">
        <v>191.52941176470588</v>
      </c>
      <c r="AD216" s="231">
        <v>13.176470588235293</v>
      </c>
      <c r="AE216" s="231">
        <v>0</v>
      </c>
      <c r="AF216" s="231">
        <v>13.176470588235293</v>
      </c>
      <c r="AG216" s="231">
        <v>144</v>
      </c>
      <c r="AH216" s="231">
        <v>12.705882352941176</v>
      </c>
      <c r="AI216" s="231">
        <v>156.70588235294119</v>
      </c>
      <c r="AJ216" s="231">
        <v>103.52941176470588</v>
      </c>
      <c r="AK216" s="231">
        <v>131.76470588235293</v>
      </c>
      <c r="AL216" s="231">
        <v>235.29411764705881</v>
      </c>
      <c r="AM216" s="231">
        <v>260.70588235294116</v>
      </c>
      <c r="AN216" s="231">
        <v>144.47058823529412</v>
      </c>
      <c r="AO216" s="231">
        <v>405.1764705882353</v>
      </c>
      <c r="AP216" s="200">
        <v>596.70588235294122</v>
      </c>
      <c r="AQ216" s="141">
        <v>0</v>
      </c>
      <c r="AR216" s="200">
        <v>2465.4117647058824</v>
      </c>
      <c r="AS216" s="200">
        <v>3330.3529411764703</v>
      </c>
      <c r="AT216" s="66">
        <v>5795.7647058823532</v>
      </c>
      <c r="AU216" s="231">
        <v>343.52941176470586</v>
      </c>
      <c r="AV216" s="231">
        <v>37.647058823529413</v>
      </c>
      <c r="AW216" s="75">
        <v>7.5294117647058822</v>
      </c>
      <c r="AX216" s="231">
        <v>131.76470588235293</v>
      </c>
      <c r="AY216" s="66">
        <v>520.47058823529403</v>
      </c>
      <c r="AZ216" s="208">
        <v>0</v>
      </c>
      <c r="BA216" s="87">
        <v>240.94117647058823</v>
      </c>
      <c r="BB216" s="87">
        <v>117.64705882352941</v>
      </c>
      <c r="BC216" s="87">
        <v>262.58823529411762</v>
      </c>
      <c r="BD216" s="87">
        <v>117.64705882352941</v>
      </c>
      <c r="BE216" s="87">
        <v>380.23529411764707</v>
      </c>
      <c r="BF216" s="87">
        <v>364.23529411764707</v>
      </c>
      <c r="BG216" s="66">
        <v>744.47058823529414</v>
      </c>
      <c r="BH216" s="67">
        <v>7060.7058823529414</v>
      </c>
      <c r="BI216" s="67">
        <v>876937.30547998706</v>
      </c>
    </row>
    <row r="217" spans="1:61" x14ac:dyDescent="0.25">
      <c r="A217" s="142">
        <v>0</v>
      </c>
      <c r="B217" s="85">
        <v>40384</v>
      </c>
      <c r="C217" s="203">
        <v>40384</v>
      </c>
      <c r="D217" s="76">
        <v>39656</v>
      </c>
      <c r="E217" s="77">
        <v>40384</v>
      </c>
      <c r="F217" s="78">
        <v>29</v>
      </c>
      <c r="G217" s="79"/>
      <c r="H217" s="80" t="s">
        <v>54</v>
      </c>
      <c r="I217" s="212"/>
      <c r="J217" s="212"/>
      <c r="K217" s="235">
        <v>1600</v>
      </c>
      <c r="L217" s="235">
        <v>202.35294117647058</v>
      </c>
      <c r="M217" s="231">
        <v>1802.3529411764705</v>
      </c>
      <c r="N217" s="231">
        <v>830.11764705882354</v>
      </c>
      <c r="O217" s="231">
        <v>141.1764705882353</v>
      </c>
      <c r="P217" s="231">
        <v>971.29411764705878</v>
      </c>
      <c r="Q217" s="231">
        <v>35.764705882352942</v>
      </c>
      <c r="R217" s="231">
        <v>0</v>
      </c>
      <c r="S217" s="231">
        <v>35.764705882352942</v>
      </c>
      <c r="T217" s="231">
        <v>443.29411764705884</v>
      </c>
      <c r="U217" s="231">
        <v>1310.1176470588234</v>
      </c>
      <c r="V217" s="231">
        <v>1753.4117647058824</v>
      </c>
      <c r="W217" s="231">
        <v>1309.1764705882354</v>
      </c>
      <c r="X217" s="231">
        <v>1451.2941176470588</v>
      </c>
      <c r="Y217" s="231">
        <v>2760.4705882352941</v>
      </c>
      <c r="Z217" s="200">
        <v>4562.8235294117649</v>
      </c>
      <c r="AA217" s="231">
        <v>196.70588235294119</v>
      </c>
      <c r="AB217" s="231">
        <v>19.152941176470591</v>
      </c>
      <c r="AC217" s="231">
        <v>215.85882352941175</v>
      </c>
      <c r="AD217" s="231">
        <v>13.176470588235293</v>
      </c>
      <c r="AE217" s="231">
        <v>0</v>
      </c>
      <c r="AF217" s="231">
        <v>13.176470588235293</v>
      </c>
      <c r="AG217" s="231">
        <v>160.94117647058823</v>
      </c>
      <c r="AH217" s="231">
        <v>15.670588235294117</v>
      </c>
      <c r="AI217" s="231">
        <v>176.61176470588236</v>
      </c>
      <c r="AJ217" s="231">
        <v>52.705882352941174</v>
      </c>
      <c r="AK217" s="231">
        <v>102.58823529411765</v>
      </c>
      <c r="AL217" s="231">
        <v>155.29411764705881</v>
      </c>
      <c r="AM217" s="231">
        <v>226.8235294117647</v>
      </c>
      <c r="AN217" s="231">
        <v>118.25882352941177</v>
      </c>
      <c r="AO217" s="231">
        <v>345.08235294117645</v>
      </c>
      <c r="AP217" s="200">
        <v>560.94117647058829</v>
      </c>
      <c r="AQ217" s="141">
        <v>0</v>
      </c>
      <c r="AR217" s="200">
        <v>2018.2117647058822</v>
      </c>
      <c r="AS217" s="200">
        <v>3105.5529411764705</v>
      </c>
      <c r="AT217" s="66">
        <v>5123.7647058823532</v>
      </c>
      <c r="AU217" s="231">
        <v>244.70588235294119</v>
      </c>
      <c r="AV217" s="231">
        <v>37.647058823529413</v>
      </c>
      <c r="AW217" s="75">
        <v>7.5294117647058822</v>
      </c>
      <c r="AX217" s="231">
        <v>141.1764705882353</v>
      </c>
      <c r="AY217" s="66">
        <v>431.05882352941177</v>
      </c>
      <c r="AZ217" s="208">
        <v>0</v>
      </c>
      <c r="BA217" s="87">
        <v>104.47058823529412</v>
      </c>
      <c r="BB217" s="87">
        <v>99.764705882352942</v>
      </c>
      <c r="BC217" s="87">
        <v>133.64705882352942</v>
      </c>
      <c r="BD217" s="87">
        <v>99.764705882352942</v>
      </c>
      <c r="BE217" s="87">
        <v>233.41176470588235</v>
      </c>
      <c r="BF217" s="87">
        <v>272.94117647058823</v>
      </c>
      <c r="BG217" s="66">
        <v>506.35294117647061</v>
      </c>
      <c r="BH217" s="67">
        <v>6061.176470588236</v>
      </c>
      <c r="BI217" s="67">
        <v>882998.48195057525</v>
      </c>
    </row>
    <row r="218" spans="1:61" x14ac:dyDescent="0.25">
      <c r="A218" s="142">
        <v>0</v>
      </c>
      <c r="B218" s="68">
        <v>40385</v>
      </c>
      <c r="C218" s="198">
        <v>40385</v>
      </c>
      <c r="D218" s="69">
        <v>39657</v>
      </c>
      <c r="E218" s="70">
        <v>40385</v>
      </c>
      <c r="F218" s="71">
        <v>30</v>
      </c>
      <c r="G218" s="72"/>
      <c r="H218" s="82" t="s">
        <v>54</v>
      </c>
      <c r="I218" s="210"/>
      <c r="J218" s="210"/>
      <c r="K218" s="235">
        <v>2221.1764705882351</v>
      </c>
      <c r="L218" s="235">
        <v>272.94117647058823</v>
      </c>
      <c r="M218" s="235">
        <v>2494.1176470588234</v>
      </c>
      <c r="N218" s="235">
        <v>819.76470588235293</v>
      </c>
      <c r="O218" s="235">
        <v>291.76470588235293</v>
      </c>
      <c r="P218" s="235">
        <v>1111.5294117647059</v>
      </c>
      <c r="Q218" s="235">
        <v>48</v>
      </c>
      <c r="R218" s="235">
        <v>0</v>
      </c>
      <c r="S218" s="235">
        <v>48</v>
      </c>
      <c r="T218" s="235">
        <v>320</v>
      </c>
      <c r="U218" s="235">
        <v>1289.4117647058824</v>
      </c>
      <c r="V218" s="235">
        <v>1609.4117647058824</v>
      </c>
      <c r="W218" s="235">
        <v>1187.7647058823529</v>
      </c>
      <c r="X218" s="235">
        <v>1581.1764705882354</v>
      </c>
      <c r="Y218" s="235">
        <v>2768.9411764705883</v>
      </c>
      <c r="Z218" s="200">
        <v>5263.0588235294117</v>
      </c>
      <c r="AA218" s="235">
        <v>336.47058823529414</v>
      </c>
      <c r="AB218" s="235">
        <v>38.823529411764703</v>
      </c>
      <c r="AC218" s="235">
        <v>375.29411764705884</v>
      </c>
      <c r="AD218" s="235">
        <v>1.8823529411764706</v>
      </c>
      <c r="AE218" s="235">
        <v>0</v>
      </c>
      <c r="AF218" s="235">
        <v>1.8823529411764706</v>
      </c>
      <c r="AG218" s="235">
        <v>275.29411764705884</v>
      </c>
      <c r="AH218" s="235">
        <v>31.764705882352942</v>
      </c>
      <c r="AI218" s="235">
        <v>307.05882352941177</v>
      </c>
      <c r="AJ218" s="235">
        <v>54.588235294117645</v>
      </c>
      <c r="AK218" s="235">
        <v>279.52941176470586</v>
      </c>
      <c r="AL218" s="235">
        <v>334.11764705882354</v>
      </c>
      <c r="AM218" s="235">
        <v>331.76470588235293</v>
      </c>
      <c r="AN218" s="235">
        <v>311.29411764705884</v>
      </c>
      <c r="AO218" s="235">
        <v>643.05882352941171</v>
      </c>
      <c r="AP218" s="200">
        <v>1018.3529411764706</v>
      </c>
      <c r="AQ218" s="141">
        <v>0</v>
      </c>
      <c r="AR218" s="200">
        <v>2869.4117647058824</v>
      </c>
      <c r="AS218" s="200">
        <v>3412</v>
      </c>
      <c r="AT218" s="66">
        <v>6281.4117647058829</v>
      </c>
      <c r="AU218" s="231">
        <v>235.29411764705881</v>
      </c>
      <c r="AV218" s="231">
        <v>56.470588235294116</v>
      </c>
      <c r="AW218" s="75">
        <v>7.5294117647058822</v>
      </c>
      <c r="AX218" s="231">
        <v>164.70588235294119</v>
      </c>
      <c r="AY218" s="66">
        <v>464</v>
      </c>
      <c r="AZ218" s="208">
        <v>0</v>
      </c>
      <c r="BA218" s="87">
        <v>0</v>
      </c>
      <c r="BB218" s="87">
        <v>0</v>
      </c>
      <c r="BC218" s="87">
        <v>0</v>
      </c>
      <c r="BD218" s="87">
        <v>0</v>
      </c>
      <c r="BE218" s="87">
        <v>0</v>
      </c>
      <c r="BF218" s="87">
        <v>263.52941176470586</v>
      </c>
      <c r="BG218" s="66">
        <v>263.52941176470586</v>
      </c>
      <c r="BH218" s="67">
        <v>7008.9411764705892</v>
      </c>
      <c r="BI218" s="67">
        <v>890007.42312704585</v>
      </c>
    </row>
    <row r="219" spans="1:61" x14ac:dyDescent="0.25">
      <c r="A219" s="142">
        <v>0</v>
      </c>
      <c r="B219" s="68">
        <v>40386</v>
      </c>
      <c r="C219" s="198">
        <v>40386</v>
      </c>
      <c r="D219" s="69">
        <v>39658</v>
      </c>
      <c r="E219" s="70">
        <v>40386</v>
      </c>
      <c r="F219" s="71">
        <v>30</v>
      </c>
      <c r="G219" s="72"/>
      <c r="H219" s="82" t="s">
        <v>54</v>
      </c>
      <c r="I219" s="210"/>
      <c r="J219" s="210"/>
      <c r="K219" s="235">
        <v>2738.8235294117649</v>
      </c>
      <c r="L219" s="235">
        <v>432.94117647058823</v>
      </c>
      <c r="M219" s="235">
        <v>3171.7647058823532</v>
      </c>
      <c r="N219" s="235">
        <v>1248</v>
      </c>
      <c r="O219" s="235">
        <v>329.41176470588238</v>
      </c>
      <c r="P219" s="235">
        <v>1577.4117647058824</v>
      </c>
      <c r="Q219" s="235">
        <v>80.941176470588232</v>
      </c>
      <c r="R219" s="235">
        <v>0</v>
      </c>
      <c r="S219" s="235">
        <v>80.941176470588232</v>
      </c>
      <c r="T219" s="235">
        <v>348.23529411764707</v>
      </c>
      <c r="U219" s="235">
        <v>1929.4117647058824</v>
      </c>
      <c r="V219" s="235">
        <v>2277.6470588235293</v>
      </c>
      <c r="W219" s="235">
        <v>1677.1764705882354</v>
      </c>
      <c r="X219" s="235">
        <v>2258.8235294117649</v>
      </c>
      <c r="Y219" s="235">
        <v>3936</v>
      </c>
      <c r="Z219" s="200">
        <v>7107.7647058823532</v>
      </c>
      <c r="AA219" s="235">
        <v>352.51764705882351</v>
      </c>
      <c r="AB219" s="235">
        <v>69.364705882352951</v>
      </c>
      <c r="AC219" s="235">
        <v>421.88235294117646</v>
      </c>
      <c r="AD219" s="235">
        <v>27.294117647058822</v>
      </c>
      <c r="AE219" s="235">
        <v>0</v>
      </c>
      <c r="AF219" s="235">
        <v>27.294117647058822</v>
      </c>
      <c r="AG219" s="235">
        <v>288.42352941176472</v>
      </c>
      <c r="AH219" s="235">
        <v>56.752941176470586</v>
      </c>
      <c r="AI219" s="235">
        <v>345.1764705882353</v>
      </c>
      <c r="AJ219" s="235">
        <v>82.82352941176471</v>
      </c>
      <c r="AK219" s="235">
        <v>374.58823529411762</v>
      </c>
      <c r="AL219" s="235">
        <v>457.41176470588238</v>
      </c>
      <c r="AM219" s="235">
        <v>398.5411764705882</v>
      </c>
      <c r="AN219" s="235">
        <v>431.34117647058827</v>
      </c>
      <c r="AO219" s="235">
        <v>829.88235294117646</v>
      </c>
      <c r="AP219" s="200">
        <v>1251.7647058823529</v>
      </c>
      <c r="AQ219" s="141">
        <v>0</v>
      </c>
      <c r="AR219" s="200">
        <v>3593.6470588235297</v>
      </c>
      <c r="AS219" s="200">
        <v>4765.8823529411766</v>
      </c>
      <c r="AT219" s="66">
        <v>8359.5294117647063</v>
      </c>
      <c r="AU219" s="231">
        <v>244.70588235294119</v>
      </c>
      <c r="AV219" s="231">
        <v>37.647058823529413</v>
      </c>
      <c r="AW219" s="75">
        <v>7.5294117647058822</v>
      </c>
      <c r="AX219" s="231">
        <v>141.1764705882353</v>
      </c>
      <c r="AY219" s="66">
        <v>431.05882352941177</v>
      </c>
      <c r="AZ219" s="208">
        <v>0</v>
      </c>
      <c r="BA219" s="87">
        <v>0</v>
      </c>
      <c r="BB219" s="87">
        <v>117.64705882352941</v>
      </c>
      <c r="BC219" s="87">
        <v>0</v>
      </c>
      <c r="BD219" s="87">
        <v>117.64705882352941</v>
      </c>
      <c r="BE219" s="87">
        <v>117.64705882352941</v>
      </c>
      <c r="BF219" s="87">
        <v>176</v>
      </c>
      <c r="BG219" s="66">
        <v>293.64705882352939</v>
      </c>
      <c r="BH219" s="67">
        <v>9084.2352941176468</v>
      </c>
      <c r="BI219" s="67">
        <v>899091.65842116345</v>
      </c>
    </row>
    <row r="220" spans="1:61" x14ac:dyDescent="0.25">
      <c r="A220" s="142">
        <v>0</v>
      </c>
      <c r="B220" s="68">
        <v>40387</v>
      </c>
      <c r="C220" s="198">
        <v>40387</v>
      </c>
      <c r="D220" s="69">
        <v>39659</v>
      </c>
      <c r="E220" s="70">
        <v>40387</v>
      </c>
      <c r="F220" s="71">
        <v>30</v>
      </c>
      <c r="G220" s="72"/>
      <c r="H220" s="82" t="s">
        <v>54</v>
      </c>
      <c r="I220" s="210"/>
      <c r="J220" s="210"/>
      <c r="K220" s="235">
        <v>2320</v>
      </c>
      <c r="L220" s="235">
        <v>423.52941176470586</v>
      </c>
      <c r="M220" s="235">
        <v>2743.5294117647059</v>
      </c>
      <c r="N220" s="235">
        <v>977.88235294117646</v>
      </c>
      <c r="O220" s="235">
        <v>320</v>
      </c>
      <c r="P220" s="235">
        <v>1297.8823529411766</v>
      </c>
      <c r="Q220" s="235">
        <v>70.588235294117652</v>
      </c>
      <c r="R220" s="235">
        <v>0</v>
      </c>
      <c r="S220" s="235">
        <v>70.588235294117652</v>
      </c>
      <c r="T220" s="235">
        <v>404.70588235294116</v>
      </c>
      <c r="U220" s="235">
        <v>1712.9411764705883</v>
      </c>
      <c r="V220" s="235">
        <v>2117.6470588235293</v>
      </c>
      <c r="W220" s="235">
        <v>1453.1764705882354</v>
      </c>
      <c r="X220" s="235">
        <v>2032.9411764705883</v>
      </c>
      <c r="Y220" s="235">
        <v>3486.1176470588234</v>
      </c>
      <c r="Z220" s="200">
        <v>6229.6470588235297</v>
      </c>
      <c r="AA220" s="235">
        <v>352</v>
      </c>
      <c r="AB220" s="235">
        <v>56.941176470588232</v>
      </c>
      <c r="AC220" s="235">
        <v>408.94117647058823</v>
      </c>
      <c r="AD220" s="235">
        <v>22.588235294117649</v>
      </c>
      <c r="AE220" s="235">
        <v>0</v>
      </c>
      <c r="AF220" s="235">
        <v>22.588235294117649</v>
      </c>
      <c r="AG220" s="235">
        <v>288</v>
      </c>
      <c r="AH220" s="235">
        <v>46.588235294117645</v>
      </c>
      <c r="AI220" s="235">
        <v>334.58823529411762</v>
      </c>
      <c r="AJ220" s="235">
        <v>47.058823529411768</v>
      </c>
      <c r="AK220" s="235">
        <v>396.23529411764707</v>
      </c>
      <c r="AL220" s="235">
        <v>443.29411764705884</v>
      </c>
      <c r="AM220" s="235">
        <v>357.64705882352939</v>
      </c>
      <c r="AN220" s="235">
        <v>442.8235294117647</v>
      </c>
      <c r="AO220" s="235">
        <v>800.47058823529414</v>
      </c>
      <c r="AP220" s="200">
        <v>1209.4117647058824</v>
      </c>
      <c r="AQ220" s="141">
        <v>0</v>
      </c>
      <c r="AR220" s="200">
        <v>3152.4705882352941</v>
      </c>
      <c r="AS220" s="200">
        <v>4286.5882352941171</v>
      </c>
      <c r="AT220" s="66">
        <v>7439.0588235294108</v>
      </c>
      <c r="AU220" s="231">
        <v>282.35294117647061</v>
      </c>
      <c r="AV220" s="231">
        <v>47.058823529411768</v>
      </c>
      <c r="AW220" s="75">
        <v>7.5294117647058822</v>
      </c>
      <c r="AX220" s="231">
        <v>122.35294117647059</v>
      </c>
      <c r="AY220" s="66">
        <v>459.29411764705884</v>
      </c>
      <c r="AZ220" s="208">
        <v>0</v>
      </c>
      <c r="BA220" s="87">
        <v>85.647058823529406</v>
      </c>
      <c r="BB220" s="87">
        <v>161.88235294117646</v>
      </c>
      <c r="BC220" s="87">
        <v>85.647058823529406</v>
      </c>
      <c r="BD220" s="87">
        <v>161.88235294117646</v>
      </c>
      <c r="BE220" s="87">
        <v>247.52941176470588</v>
      </c>
      <c r="BF220" s="87">
        <v>549.64705882352939</v>
      </c>
      <c r="BG220" s="66">
        <v>797.17647058823525</v>
      </c>
      <c r="BH220" s="67">
        <v>8695.5294117647045</v>
      </c>
      <c r="BI220" s="67">
        <v>907787.18783292815</v>
      </c>
    </row>
    <row r="221" spans="1:61" x14ac:dyDescent="0.25">
      <c r="A221" s="142">
        <v>0</v>
      </c>
      <c r="B221" s="68">
        <v>40388</v>
      </c>
      <c r="C221" s="198">
        <v>40388</v>
      </c>
      <c r="D221" s="69">
        <v>39660</v>
      </c>
      <c r="E221" s="70">
        <v>40388</v>
      </c>
      <c r="F221" s="71">
        <v>30</v>
      </c>
      <c r="G221" s="72"/>
      <c r="H221" s="82" t="s">
        <v>54</v>
      </c>
      <c r="I221" s="210"/>
      <c r="J221" s="210"/>
      <c r="K221" s="235">
        <v>2588.2352941176468</v>
      </c>
      <c r="L221" s="235">
        <v>320</v>
      </c>
      <c r="M221" s="235">
        <v>2908.2352941176468</v>
      </c>
      <c r="N221" s="235">
        <v>950.58823529411768</v>
      </c>
      <c r="O221" s="235">
        <v>188.23529411764707</v>
      </c>
      <c r="P221" s="235">
        <v>1138.8235294117646</v>
      </c>
      <c r="Q221" s="235">
        <v>43.294117647058826</v>
      </c>
      <c r="R221" s="235">
        <v>0</v>
      </c>
      <c r="S221" s="235">
        <v>43.294117647058826</v>
      </c>
      <c r="T221" s="235">
        <v>395.29411764705884</v>
      </c>
      <c r="U221" s="235">
        <v>1317.6470588235295</v>
      </c>
      <c r="V221" s="235">
        <v>1712.9411764705883</v>
      </c>
      <c r="W221" s="235">
        <v>1389.1764705882354</v>
      </c>
      <c r="X221" s="235">
        <v>1505.8823529411766</v>
      </c>
      <c r="Y221" s="235">
        <v>2895.0588235294117</v>
      </c>
      <c r="Z221" s="200">
        <v>5803.2941176470586</v>
      </c>
      <c r="AA221" s="235">
        <v>364.94117647058823</v>
      </c>
      <c r="AB221" s="235">
        <v>31.058823529411764</v>
      </c>
      <c r="AC221" s="235">
        <v>396</v>
      </c>
      <c r="AD221" s="235">
        <v>5.6470588235294121</v>
      </c>
      <c r="AE221" s="235">
        <v>0</v>
      </c>
      <c r="AF221" s="235">
        <v>5.6470588235294121</v>
      </c>
      <c r="AG221" s="235">
        <v>298.58823529411762</v>
      </c>
      <c r="AH221" s="235">
        <v>25.411764705882351</v>
      </c>
      <c r="AI221" s="235">
        <v>324</v>
      </c>
      <c r="AJ221" s="235">
        <v>47.058823529411768</v>
      </c>
      <c r="AK221" s="235">
        <v>367.05882352941177</v>
      </c>
      <c r="AL221" s="235">
        <v>414.11764705882354</v>
      </c>
      <c r="AM221" s="235">
        <v>351.29411764705884</v>
      </c>
      <c r="AN221" s="235">
        <v>392.47058823529414</v>
      </c>
      <c r="AO221" s="235">
        <v>743.76470588235293</v>
      </c>
      <c r="AP221" s="200">
        <v>1139.7647058823529</v>
      </c>
      <c r="AQ221" s="141">
        <v>0</v>
      </c>
      <c r="AR221" s="200">
        <v>3304.2352941176468</v>
      </c>
      <c r="AS221" s="200">
        <v>3638.8235294117649</v>
      </c>
      <c r="AT221" s="66">
        <v>6943.0588235294117</v>
      </c>
      <c r="AU221" s="235">
        <v>282.35294117647061</v>
      </c>
      <c r="AV221" s="235">
        <v>70.656834162236336</v>
      </c>
      <c r="AW221" s="75">
        <v>7.5294117647058822</v>
      </c>
      <c r="AX221" s="235">
        <v>141.1764705882353</v>
      </c>
      <c r="AY221" s="66">
        <v>501.71565769164812</v>
      </c>
      <c r="AZ221" s="202">
        <v>0</v>
      </c>
      <c r="BA221" s="87">
        <v>70.588235294117652</v>
      </c>
      <c r="BB221" s="87">
        <v>133.64705882352942</v>
      </c>
      <c r="BC221" s="87">
        <v>94.117647058823536</v>
      </c>
      <c r="BD221" s="87">
        <v>133.64705882352942</v>
      </c>
      <c r="BE221" s="87">
        <v>227.76470588235293</v>
      </c>
      <c r="BF221" s="87">
        <v>324.70588235294116</v>
      </c>
      <c r="BG221" s="66">
        <v>552.47058823529414</v>
      </c>
      <c r="BH221" s="67">
        <v>7997.245069456354</v>
      </c>
      <c r="BI221" s="67">
        <v>915784.43290238455</v>
      </c>
    </row>
    <row r="222" spans="1:61" x14ac:dyDescent="0.25">
      <c r="A222" s="142">
        <v>0</v>
      </c>
      <c r="B222" s="68">
        <v>40389</v>
      </c>
      <c r="C222" s="198">
        <v>40389</v>
      </c>
      <c r="D222" s="69">
        <v>39661</v>
      </c>
      <c r="E222" s="70">
        <v>40389</v>
      </c>
      <c r="F222" s="71">
        <v>30</v>
      </c>
      <c r="G222" s="72"/>
      <c r="H222" s="82" t="s">
        <v>54</v>
      </c>
      <c r="I222" s="210"/>
      <c r="J222" s="210"/>
      <c r="K222" s="235">
        <v>1590.5882352941176</v>
      </c>
      <c r="L222" s="235">
        <v>207.05882352941177</v>
      </c>
      <c r="M222" s="235">
        <v>1797.6470588235293</v>
      </c>
      <c r="N222" s="235">
        <v>630.58823529411768</v>
      </c>
      <c r="O222" s="235">
        <v>144</v>
      </c>
      <c r="P222" s="235">
        <v>774.58823529411768</v>
      </c>
      <c r="Q222" s="235">
        <v>35.764705882352942</v>
      </c>
      <c r="R222" s="235">
        <v>0</v>
      </c>
      <c r="S222" s="235">
        <v>35.764705882352942</v>
      </c>
      <c r="T222" s="235">
        <v>423.52941176470586</v>
      </c>
      <c r="U222" s="235">
        <v>790.58823529411768</v>
      </c>
      <c r="V222" s="235">
        <v>1214.1176470588234</v>
      </c>
      <c r="W222" s="235">
        <v>1089.8823529411766</v>
      </c>
      <c r="X222" s="235">
        <v>934.58823529411768</v>
      </c>
      <c r="Y222" s="235">
        <v>2024.4705882352941</v>
      </c>
      <c r="Z222" s="200">
        <v>3822.1176470588234</v>
      </c>
      <c r="AA222" s="235">
        <v>328.18823529411765</v>
      </c>
      <c r="AB222" s="235">
        <v>20.705882352941178</v>
      </c>
      <c r="AC222" s="235">
        <v>348.89411764705881</v>
      </c>
      <c r="AD222" s="235">
        <v>5.6470588235294121</v>
      </c>
      <c r="AE222" s="235">
        <v>0</v>
      </c>
      <c r="AF222" s="235">
        <v>5.6470588235294121</v>
      </c>
      <c r="AG222" s="235">
        <v>268.51764705882351</v>
      </c>
      <c r="AH222" s="235">
        <v>16.941176470588236</v>
      </c>
      <c r="AI222" s="235">
        <v>285.4588235294118</v>
      </c>
      <c r="AJ222" s="235">
        <v>98.82352941176471</v>
      </c>
      <c r="AK222" s="235">
        <v>320</v>
      </c>
      <c r="AL222" s="235">
        <v>418.8235294117647</v>
      </c>
      <c r="AM222" s="235">
        <v>372.98823529411766</v>
      </c>
      <c r="AN222" s="235">
        <v>336.94117647058823</v>
      </c>
      <c r="AO222" s="235">
        <v>709.92941176470583</v>
      </c>
      <c r="AP222" s="200">
        <v>1058.8235294117646</v>
      </c>
      <c r="AQ222" s="141">
        <v>0</v>
      </c>
      <c r="AR222" s="200">
        <v>2146.5411764705882</v>
      </c>
      <c r="AS222" s="200">
        <v>2734.4</v>
      </c>
      <c r="AT222" s="66">
        <v>4880.9411764705883</v>
      </c>
      <c r="AU222" s="235">
        <v>310.58823529411762</v>
      </c>
      <c r="AV222" s="235">
        <v>56.470588235294116</v>
      </c>
      <c r="AW222" s="75">
        <v>7.5294117647058822</v>
      </c>
      <c r="AX222" s="235">
        <v>84.705882352941174</v>
      </c>
      <c r="AY222" s="66">
        <v>459.29411764705873</v>
      </c>
      <c r="AZ222" s="202">
        <v>0</v>
      </c>
      <c r="BA222" s="87">
        <v>80</v>
      </c>
      <c r="BB222" s="87">
        <v>103.52941176470588</v>
      </c>
      <c r="BC222" s="87">
        <v>96.941176470588232</v>
      </c>
      <c r="BD222" s="87">
        <v>103.52941176470588</v>
      </c>
      <c r="BE222" s="87">
        <v>200.47058823529412</v>
      </c>
      <c r="BF222" s="87">
        <v>325.64705882352939</v>
      </c>
      <c r="BG222" s="66">
        <v>526.11764705882354</v>
      </c>
      <c r="BH222" s="67">
        <v>5866.3529411764703</v>
      </c>
      <c r="BI222" s="67">
        <v>921650.78584356105</v>
      </c>
    </row>
    <row r="223" spans="1:61" x14ac:dyDescent="0.25">
      <c r="A223" s="142">
        <v>0</v>
      </c>
      <c r="B223" s="85">
        <v>40390</v>
      </c>
      <c r="C223" s="203">
        <v>40390</v>
      </c>
      <c r="D223" s="76">
        <v>39662</v>
      </c>
      <c r="E223" s="77">
        <v>40390</v>
      </c>
      <c r="F223" s="78">
        <v>30</v>
      </c>
      <c r="G223" s="79"/>
      <c r="H223" s="80" t="s">
        <v>54</v>
      </c>
      <c r="I223" s="212"/>
      <c r="J223" s="212"/>
      <c r="K223" s="235">
        <v>1793.8823529411766</v>
      </c>
      <c r="L223" s="235">
        <v>209.88235294117646</v>
      </c>
      <c r="M223" s="231">
        <v>2003.7647058823532</v>
      </c>
      <c r="N223" s="231">
        <v>809.41176470588232</v>
      </c>
      <c r="O223" s="231">
        <v>132.70588235294119</v>
      </c>
      <c r="P223" s="231">
        <v>942.11764705882354</v>
      </c>
      <c r="Q223" s="231">
        <v>33.882352941176471</v>
      </c>
      <c r="R223" s="231">
        <v>0</v>
      </c>
      <c r="S223" s="231">
        <v>33.882352941176471</v>
      </c>
      <c r="T223" s="231">
        <v>517.64705882352939</v>
      </c>
      <c r="U223" s="231">
        <v>1072.9411764705883</v>
      </c>
      <c r="V223" s="231">
        <v>1590.5882352941176</v>
      </c>
      <c r="W223" s="231">
        <v>1360.9411764705883</v>
      </c>
      <c r="X223" s="231">
        <v>1205.6470588235295</v>
      </c>
      <c r="Y223" s="231">
        <v>2566.5882352941176</v>
      </c>
      <c r="Z223" s="200">
        <v>4570.3529411764703</v>
      </c>
      <c r="AA223" s="231">
        <v>238.11764705882354</v>
      </c>
      <c r="AB223" s="231">
        <v>14.494117647058824</v>
      </c>
      <c r="AC223" s="231">
        <v>252.61176470588234</v>
      </c>
      <c r="AD223" s="231">
        <v>16</v>
      </c>
      <c r="AE223" s="231">
        <v>0</v>
      </c>
      <c r="AF223" s="231">
        <v>16</v>
      </c>
      <c r="AG223" s="231">
        <v>194.8235294117647</v>
      </c>
      <c r="AH223" s="231">
        <v>11.858823529411765</v>
      </c>
      <c r="AI223" s="231">
        <v>206.68235294117648</v>
      </c>
      <c r="AJ223" s="231">
        <v>101.64705882352941</v>
      </c>
      <c r="AK223" s="231">
        <v>348.23529411764707</v>
      </c>
      <c r="AL223" s="231">
        <v>449.88235294117646</v>
      </c>
      <c r="AM223" s="231">
        <v>312.47058823529414</v>
      </c>
      <c r="AN223" s="231">
        <v>360.09411764705885</v>
      </c>
      <c r="AO223" s="231">
        <v>672.564705882353</v>
      </c>
      <c r="AP223" s="200">
        <v>925.17647058823525</v>
      </c>
      <c r="AQ223" s="141">
        <v>0</v>
      </c>
      <c r="AR223" s="200">
        <v>2256.3764705882354</v>
      </c>
      <c r="AS223" s="200">
        <v>3239.1529411764704</v>
      </c>
      <c r="AT223" s="66">
        <v>5495.5294117647063</v>
      </c>
      <c r="AU223" s="231">
        <v>329.41176470588238</v>
      </c>
      <c r="AV223" s="231">
        <v>75.367289773052079</v>
      </c>
      <c r="AW223" s="75">
        <v>7.5294117647058822</v>
      </c>
      <c r="AX223" s="231">
        <v>160</v>
      </c>
      <c r="AY223" s="66">
        <v>572.30846624364028</v>
      </c>
      <c r="AZ223" s="208">
        <v>0</v>
      </c>
      <c r="BA223" s="87">
        <v>80</v>
      </c>
      <c r="BB223" s="87">
        <v>32.941176470588232</v>
      </c>
      <c r="BC223" s="87">
        <v>80</v>
      </c>
      <c r="BD223" s="87">
        <v>32.941176470588232</v>
      </c>
      <c r="BE223" s="87">
        <v>112.94117647058823</v>
      </c>
      <c r="BF223" s="87">
        <v>84.705882352941174</v>
      </c>
      <c r="BG223" s="66">
        <v>197.64705882352939</v>
      </c>
      <c r="BH223" s="67">
        <v>6265.4849368318755</v>
      </c>
      <c r="BI223" s="67">
        <v>927916.27078039292</v>
      </c>
    </row>
    <row r="224" spans="1:61" s="230" customFormat="1" x14ac:dyDescent="0.25">
      <c r="A224" s="215"/>
      <c r="B224" s="216"/>
      <c r="C224" s="217"/>
      <c r="D224" s="218"/>
      <c r="E224" s="219"/>
      <c r="F224" s="220"/>
      <c r="G224" s="221"/>
      <c r="H224" s="222"/>
      <c r="I224" s="223"/>
      <c r="J224" s="223"/>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24"/>
      <c r="AO224" s="224"/>
      <c r="AP224" s="224"/>
      <c r="AQ224" s="225"/>
      <c r="AR224" s="226"/>
      <c r="AS224" s="226"/>
      <c r="AT224" s="66">
        <v>0</v>
      </c>
      <c r="AU224" s="224"/>
      <c r="AV224" s="224"/>
      <c r="AW224" s="227"/>
      <c r="AX224" s="224"/>
      <c r="AY224" s="66">
        <v>0</v>
      </c>
      <c r="AZ224" s="224"/>
      <c r="BA224" s="224"/>
      <c r="BB224" s="224"/>
      <c r="BC224" s="224"/>
      <c r="BD224" s="224"/>
      <c r="BE224" s="224"/>
      <c r="BF224" s="224"/>
      <c r="BG224" s="228"/>
      <c r="BH224" s="229"/>
      <c r="BI224" s="229"/>
    </row>
    <row r="225" spans="1:61" x14ac:dyDescent="0.25">
      <c r="A225" s="142">
        <v>0</v>
      </c>
      <c r="B225" s="85">
        <v>40391</v>
      </c>
      <c r="C225" s="203">
        <v>40391</v>
      </c>
      <c r="D225" s="76">
        <v>39663</v>
      </c>
      <c r="E225" s="77">
        <v>40391</v>
      </c>
      <c r="F225" s="78">
        <v>30</v>
      </c>
      <c r="G225" s="79"/>
      <c r="H225" s="80" t="s">
        <v>54</v>
      </c>
      <c r="I225" s="212"/>
      <c r="J225" s="212"/>
      <c r="K225" s="235">
        <v>2048</v>
      </c>
      <c r="L225" s="235">
        <v>240</v>
      </c>
      <c r="M225" s="231">
        <v>2288</v>
      </c>
      <c r="N225" s="231">
        <v>677.64705882352939</v>
      </c>
      <c r="O225" s="231">
        <v>197.64705882352942</v>
      </c>
      <c r="P225" s="231">
        <v>875.29411764705878</v>
      </c>
      <c r="Q225" s="231">
        <v>70.588235294117652</v>
      </c>
      <c r="R225" s="231">
        <v>0</v>
      </c>
      <c r="S225" s="231">
        <v>70.588235294117652</v>
      </c>
      <c r="T225" s="231">
        <v>465.88235294117646</v>
      </c>
      <c r="U225" s="231">
        <v>1242.3529411764705</v>
      </c>
      <c r="V225" s="231">
        <v>1708.2352941176471</v>
      </c>
      <c r="W225" s="231">
        <v>1214.1176470588234</v>
      </c>
      <c r="X225" s="231">
        <v>1440</v>
      </c>
      <c r="Y225" s="231">
        <v>2654.1176470588234</v>
      </c>
      <c r="Z225" s="200">
        <v>4942.1176470588234</v>
      </c>
      <c r="AA225" s="231">
        <v>227.76470588235293</v>
      </c>
      <c r="AB225" s="231">
        <v>22.776470588235295</v>
      </c>
      <c r="AC225" s="231">
        <v>250.54117647058823</v>
      </c>
      <c r="AD225" s="231">
        <v>8.4705882352941178</v>
      </c>
      <c r="AE225" s="231">
        <v>0</v>
      </c>
      <c r="AF225" s="231">
        <v>8.4705882352941178</v>
      </c>
      <c r="AG225" s="231">
        <v>186.35294117647058</v>
      </c>
      <c r="AH225" s="231">
        <v>18.63529411764706</v>
      </c>
      <c r="AI225" s="231">
        <v>204.98823529411766</v>
      </c>
      <c r="AJ225" s="231">
        <v>84.705882352941174</v>
      </c>
      <c r="AK225" s="231">
        <v>382.11764705882354</v>
      </c>
      <c r="AL225" s="231">
        <v>466.8235294117647</v>
      </c>
      <c r="AM225" s="231">
        <v>279.52941176470586</v>
      </c>
      <c r="AN225" s="231">
        <v>400.75294117647059</v>
      </c>
      <c r="AO225" s="231">
        <v>680.28235294117644</v>
      </c>
      <c r="AP225" s="200">
        <v>930.82352941176475</v>
      </c>
      <c r="AQ225" s="141">
        <v>0</v>
      </c>
      <c r="AR225" s="200">
        <v>2538.5411764705882</v>
      </c>
      <c r="AS225" s="200">
        <v>3334.4</v>
      </c>
      <c r="AT225" s="66">
        <v>5872.9411764705874</v>
      </c>
      <c r="AU225" s="231">
        <v>282.35294117647061</v>
      </c>
      <c r="AV225" s="231">
        <v>61.235922940604802</v>
      </c>
      <c r="AW225" s="75">
        <v>0</v>
      </c>
      <c r="AX225" s="231">
        <v>141.1764705882353</v>
      </c>
      <c r="AY225" s="66">
        <v>484.76533470531069</v>
      </c>
      <c r="AZ225" s="208">
        <v>0</v>
      </c>
      <c r="BA225" s="87">
        <v>53.647058823529413</v>
      </c>
      <c r="BB225" s="87">
        <v>0</v>
      </c>
      <c r="BC225" s="87">
        <v>81.882352941176464</v>
      </c>
      <c r="BD225" s="87">
        <v>0</v>
      </c>
      <c r="BE225" s="87">
        <v>81.882352941176464</v>
      </c>
      <c r="BF225" s="87">
        <v>28.235294117647058</v>
      </c>
      <c r="BG225" s="66">
        <v>110.11764705882352</v>
      </c>
      <c r="BH225" s="67">
        <v>6467.8241582347218</v>
      </c>
      <c r="BI225" s="67">
        <v>934384.09493862768</v>
      </c>
    </row>
    <row r="226" spans="1:61" x14ac:dyDescent="0.25">
      <c r="A226" s="142">
        <v>0</v>
      </c>
      <c r="B226" s="68">
        <v>40392</v>
      </c>
      <c r="C226" s="198">
        <v>40392</v>
      </c>
      <c r="D226" s="69">
        <v>39664</v>
      </c>
      <c r="E226" s="70">
        <v>40392</v>
      </c>
      <c r="F226" s="71">
        <v>31</v>
      </c>
      <c r="G226" s="130"/>
      <c r="H226" s="131" t="s">
        <v>54</v>
      </c>
      <c r="I226" s="210"/>
      <c r="J226" s="210"/>
      <c r="K226" s="235">
        <v>3000.4705882352941</v>
      </c>
      <c r="L226" s="235">
        <v>348.23529411764707</v>
      </c>
      <c r="M226" s="235">
        <v>3348.7058823529414</v>
      </c>
      <c r="N226" s="235">
        <v>1195.2941176470588</v>
      </c>
      <c r="O226" s="235">
        <v>397.1764705882353</v>
      </c>
      <c r="P226" s="235">
        <v>1592.4705882352941</v>
      </c>
      <c r="Q226" s="235">
        <v>117.64705882352941</v>
      </c>
      <c r="R226" s="235">
        <v>0</v>
      </c>
      <c r="S226" s="235">
        <v>117.64705882352941</v>
      </c>
      <c r="T226" s="235">
        <v>531.76470588235293</v>
      </c>
      <c r="U226" s="235">
        <v>1449.4117647058824</v>
      </c>
      <c r="V226" s="235">
        <v>1981.1764705882354</v>
      </c>
      <c r="W226" s="235">
        <v>1844.7058823529412</v>
      </c>
      <c r="X226" s="235">
        <v>1846.5882352941176</v>
      </c>
      <c r="Y226" s="235">
        <v>3691.294117647059</v>
      </c>
      <c r="Z226" s="200">
        <v>7040</v>
      </c>
      <c r="AA226" s="235">
        <v>548.70588235294122</v>
      </c>
      <c r="AB226" s="235">
        <v>40.894117647058827</v>
      </c>
      <c r="AC226" s="235">
        <v>589.6</v>
      </c>
      <c r="AD226" s="235">
        <v>25.411764705882351</v>
      </c>
      <c r="AE226" s="235">
        <v>0</v>
      </c>
      <c r="AF226" s="235">
        <v>25.411764705882351</v>
      </c>
      <c r="AG226" s="235">
        <v>448.94117647058823</v>
      </c>
      <c r="AH226" s="235">
        <v>33.45882352941176</v>
      </c>
      <c r="AI226" s="235">
        <v>482.4</v>
      </c>
      <c r="AJ226" s="235">
        <v>47.058823529411768</v>
      </c>
      <c r="AK226" s="235">
        <v>404.70588235294116</v>
      </c>
      <c r="AL226" s="235">
        <v>451.76470588235293</v>
      </c>
      <c r="AM226" s="235">
        <v>521.41176470588232</v>
      </c>
      <c r="AN226" s="235">
        <v>438.16470588235296</v>
      </c>
      <c r="AO226" s="235">
        <v>959.57647058823522</v>
      </c>
      <c r="AP226" s="200">
        <v>1549.1764705882354</v>
      </c>
      <c r="AQ226" s="141">
        <v>0</v>
      </c>
      <c r="AR226" s="200">
        <v>3938.3058823529414</v>
      </c>
      <c r="AS226" s="200">
        <v>4650.8705882352942</v>
      </c>
      <c r="AT226" s="66">
        <v>8589.176470588236</v>
      </c>
      <c r="AU226" s="235">
        <v>400</v>
      </c>
      <c r="AV226" s="235">
        <v>65.882352941176464</v>
      </c>
      <c r="AW226" s="75">
        <v>0</v>
      </c>
      <c r="AX226" s="235">
        <v>197.64705882352942</v>
      </c>
      <c r="AY226" s="66">
        <v>663.52941176470586</v>
      </c>
      <c r="AZ226" s="202">
        <v>0</v>
      </c>
      <c r="BA226" s="87">
        <v>0</v>
      </c>
      <c r="BB226" s="87">
        <v>0</v>
      </c>
      <c r="BC226" s="87">
        <v>20.705882352941178</v>
      </c>
      <c r="BD226" s="87">
        <v>0</v>
      </c>
      <c r="BE226" s="87">
        <v>20.705882352941178</v>
      </c>
      <c r="BF226" s="87">
        <v>16.941176470588236</v>
      </c>
      <c r="BG226" s="66">
        <v>37.647058823529413</v>
      </c>
      <c r="BH226" s="67">
        <v>9290.3529411764721</v>
      </c>
      <c r="BI226" s="67">
        <v>943674.44787980418</v>
      </c>
    </row>
    <row r="227" spans="1:61" x14ac:dyDescent="0.25">
      <c r="A227" s="142">
        <v>0</v>
      </c>
      <c r="B227" s="68">
        <v>40393</v>
      </c>
      <c r="C227" s="198">
        <v>40393</v>
      </c>
      <c r="D227" s="69">
        <v>39665</v>
      </c>
      <c r="E227" s="70">
        <v>40393</v>
      </c>
      <c r="F227" s="71">
        <v>31</v>
      </c>
      <c r="G227" s="72"/>
      <c r="H227" s="82" t="s">
        <v>54</v>
      </c>
      <c r="I227" s="210"/>
      <c r="J227" s="210"/>
      <c r="K227" s="235">
        <v>3584</v>
      </c>
      <c r="L227" s="235">
        <v>649.41176470588232</v>
      </c>
      <c r="M227" s="235">
        <v>4233.411764705882</v>
      </c>
      <c r="N227" s="235">
        <v>1440</v>
      </c>
      <c r="O227" s="235">
        <v>552.47058823529414</v>
      </c>
      <c r="P227" s="235">
        <v>1992.4705882352941</v>
      </c>
      <c r="Q227" s="235">
        <v>117.64705882352941</v>
      </c>
      <c r="R227" s="235">
        <v>0</v>
      </c>
      <c r="S227" s="235">
        <v>117.64705882352941</v>
      </c>
      <c r="T227" s="235">
        <v>480</v>
      </c>
      <c r="U227" s="235">
        <v>2329.4117647058824</v>
      </c>
      <c r="V227" s="235">
        <v>2809.4117647058824</v>
      </c>
      <c r="W227" s="235">
        <v>2037.6470588235295</v>
      </c>
      <c r="X227" s="235">
        <v>2881.8823529411766</v>
      </c>
      <c r="Y227" s="235">
        <v>4919.5294117647063</v>
      </c>
      <c r="Z227" s="200">
        <v>9152.9411764705874</v>
      </c>
      <c r="AA227" s="235">
        <v>428.61176470588231</v>
      </c>
      <c r="AB227" s="235">
        <v>66.776470588235298</v>
      </c>
      <c r="AC227" s="235">
        <v>495.38823529411769</v>
      </c>
      <c r="AD227" s="235">
        <v>36.705882352941174</v>
      </c>
      <c r="AE227" s="235">
        <v>0</v>
      </c>
      <c r="AF227" s="235">
        <v>36.705882352941174</v>
      </c>
      <c r="AG227" s="235">
        <v>350.68235294117648</v>
      </c>
      <c r="AH227" s="235">
        <v>54.635294117647057</v>
      </c>
      <c r="AI227" s="235">
        <v>405.31764705882358</v>
      </c>
      <c r="AJ227" s="235">
        <v>54.588235294117645</v>
      </c>
      <c r="AK227" s="235">
        <v>491.29411764705884</v>
      </c>
      <c r="AL227" s="235">
        <v>545.88235294117646</v>
      </c>
      <c r="AM227" s="235">
        <v>441.97647058823532</v>
      </c>
      <c r="AN227" s="235">
        <v>545.92941176470583</v>
      </c>
      <c r="AO227" s="235">
        <v>987.90588235294126</v>
      </c>
      <c r="AP227" s="200">
        <v>1483.2941176470588</v>
      </c>
      <c r="AQ227" s="141">
        <v>0</v>
      </c>
      <c r="AR227" s="200">
        <v>4728.8</v>
      </c>
      <c r="AS227" s="200">
        <v>5907.4352941176476</v>
      </c>
      <c r="AT227" s="66">
        <v>10636.235294117647</v>
      </c>
      <c r="AU227" s="235">
        <v>400</v>
      </c>
      <c r="AV227" s="235">
        <v>51.764705882352942</v>
      </c>
      <c r="AW227" s="75">
        <v>0</v>
      </c>
      <c r="AX227" s="235">
        <v>282.35294117647061</v>
      </c>
      <c r="AY227" s="66">
        <v>734.11764705882354</v>
      </c>
      <c r="AZ227" s="202">
        <v>0</v>
      </c>
      <c r="BA227" s="87">
        <v>48.941176470588232</v>
      </c>
      <c r="BB227" s="87">
        <v>23.529411764705884</v>
      </c>
      <c r="BC227" s="87">
        <v>131.76470588235293</v>
      </c>
      <c r="BD227" s="87">
        <v>23.529411764705884</v>
      </c>
      <c r="BE227" s="87">
        <v>155.29411764705881</v>
      </c>
      <c r="BF227" s="87">
        <v>75.294117647058826</v>
      </c>
      <c r="BG227" s="66">
        <v>230.58823529411762</v>
      </c>
      <c r="BH227" s="67">
        <v>11600.941176470587</v>
      </c>
      <c r="BI227" s="67">
        <v>955275.38905627478</v>
      </c>
    </row>
    <row r="228" spans="1:61" x14ac:dyDescent="0.25">
      <c r="A228" s="142">
        <v>0</v>
      </c>
      <c r="B228" s="68">
        <v>40394</v>
      </c>
      <c r="C228" s="198">
        <v>40394</v>
      </c>
      <c r="D228" s="69">
        <v>39666</v>
      </c>
      <c r="E228" s="70">
        <v>40394</v>
      </c>
      <c r="F228" s="71">
        <v>31</v>
      </c>
      <c r="G228" s="72"/>
      <c r="H228" s="82" t="s">
        <v>54</v>
      </c>
      <c r="I228" s="210"/>
      <c r="J228" s="210"/>
      <c r="K228" s="235">
        <v>3275.294117647059</v>
      </c>
      <c r="L228" s="235">
        <v>647.52941176470586</v>
      </c>
      <c r="M228" s="235">
        <v>3922.8235294117649</v>
      </c>
      <c r="N228" s="235">
        <v>1453.1764705882354</v>
      </c>
      <c r="O228" s="235">
        <v>560</v>
      </c>
      <c r="P228" s="235">
        <v>2013.1764705882354</v>
      </c>
      <c r="Q228" s="235">
        <v>98.82352941176471</v>
      </c>
      <c r="R228" s="235">
        <v>0</v>
      </c>
      <c r="S228" s="235">
        <v>98.82352941176471</v>
      </c>
      <c r="T228" s="235">
        <v>348.23529411764707</v>
      </c>
      <c r="U228" s="235">
        <v>2310.5882352941176</v>
      </c>
      <c r="V228" s="235">
        <v>2658.8235294117649</v>
      </c>
      <c r="W228" s="235">
        <v>1900.2352941176471</v>
      </c>
      <c r="X228" s="235">
        <v>2870.5882352941176</v>
      </c>
      <c r="Y228" s="235">
        <v>4770.8235294117649</v>
      </c>
      <c r="Z228" s="200">
        <v>8693.6470588235297</v>
      </c>
      <c r="AA228" s="235">
        <v>389.27058823529416</v>
      </c>
      <c r="AB228" s="235">
        <v>68.329411764705881</v>
      </c>
      <c r="AC228" s="235">
        <v>457.6</v>
      </c>
      <c r="AD228" s="235">
        <v>19.764705882352942</v>
      </c>
      <c r="AE228" s="235">
        <v>0</v>
      </c>
      <c r="AF228" s="235">
        <v>19.764705882352942</v>
      </c>
      <c r="AG228" s="235">
        <v>318.49411764705883</v>
      </c>
      <c r="AH228" s="235">
        <v>55.905882352941177</v>
      </c>
      <c r="AI228" s="235">
        <v>374.4</v>
      </c>
      <c r="AJ228" s="235">
        <v>61.176470588235297</v>
      </c>
      <c r="AK228" s="235">
        <v>449.88235294117646</v>
      </c>
      <c r="AL228" s="235">
        <v>511.05882352941177</v>
      </c>
      <c r="AM228" s="235">
        <v>399.43529411764706</v>
      </c>
      <c r="AN228" s="235">
        <v>505.78823529411761</v>
      </c>
      <c r="AO228" s="235">
        <v>905.22352941176462</v>
      </c>
      <c r="AP228" s="200">
        <v>1362.8235294117646</v>
      </c>
      <c r="AQ228" s="141">
        <v>0</v>
      </c>
      <c r="AR228" s="200">
        <v>4380.4235294117652</v>
      </c>
      <c r="AS228" s="200">
        <v>5676.0470588235294</v>
      </c>
      <c r="AT228" s="66">
        <v>10056.470588235294</v>
      </c>
      <c r="AU228" s="235">
        <v>423.52941176470586</v>
      </c>
      <c r="AV228" s="235">
        <v>56.470588235294116</v>
      </c>
      <c r="AW228" s="75">
        <v>0</v>
      </c>
      <c r="AX228" s="235">
        <v>367.05882352941177</v>
      </c>
      <c r="AY228" s="66">
        <v>847.05882352941171</v>
      </c>
      <c r="AZ228" s="202">
        <v>0</v>
      </c>
      <c r="BA228" s="87">
        <v>184.47058823529412</v>
      </c>
      <c r="BB228" s="87">
        <v>22.588235294117649</v>
      </c>
      <c r="BC228" s="87">
        <v>184.47058823529412</v>
      </c>
      <c r="BD228" s="87">
        <v>22.588235294117649</v>
      </c>
      <c r="BE228" s="87">
        <v>207.05882352941177</v>
      </c>
      <c r="BF228" s="87">
        <v>164.70588235294119</v>
      </c>
      <c r="BG228" s="66">
        <v>371.76470588235293</v>
      </c>
      <c r="BH228" s="67">
        <v>11275.294117647058</v>
      </c>
      <c r="BI228" s="67">
        <v>966550.68317392189</v>
      </c>
    </row>
    <row r="229" spans="1:61" x14ac:dyDescent="0.25">
      <c r="A229" s="142">
        <v>0</v>
      </c>
      <c r="B229" s="68">
        <v>40395</v>
      </c>
      <c r="C229" s="198">
        <v>40395</v>
      </c>
      <c r="D229" s="69">
        <v>39667</v>
      </c>
      <c r="E229" s="70">
        <v>40395</v>
      </c>
      <c r="F229" s="71">
        <v>31</v>
      </c>
      <c r="G229" s="72"/>
      <c r="H229" s="82" t="s">
        <v>54</v>
      </c>
      <c r="I229" s="210"/>
      <c r="J229" s="210"/>
      <c r="K229" s="235">
        <v>3449.4117647058824</v>
      </c>
      <c r="L229" s="235">
        <v>467.76470588235293</v>
      </c>
      <c r="M229" s="235">
        <v>3917.1764705882351</v>
      </c>
      <c r="N229" s="235">
        <v>1336.4705882352941</v>
      </c>
      <c r="O229" s="235">
        <v>456.47058823529414</v>
      </c>
      <c r="P229" s="235">
        <v>1792.9411764705883</v>
      </c>
      <c r="Q229" s="235">
        <v>191.05882352941177</v>
      </c>
      <c r="R229" s="235">
        <v>0</v>
      </c>
      <c r="S229" s="235">
        <v>191.05882352941177</v>
      </c>
      <c r="T229" s="235">
        <v>490.35294117647061</v>
      </c>
      <c r="U229" s="235">
        <v>2207.0588235294117</v>
      </c>
      <c r="V229" s="235">
        <v>2697.4117647058824</v>
      </c>
      <c r="W229" s="235">
        <v>2017.8823529411766</v>
      </c>
      <c r="X229" s="235">
        <v>2663.5294117647059</v>
      </c>
      <c r="Y229" s="235">
        <v>4681.411764705882</v>
      </c>
      <c r="Z229" s="200">
        <v>8598.5882352941171</v>
      </c>
      <c r="AA229" s="235">
        <v>518.16470588235291</v>
      </c>
      <c r="AB229" s="235">
        <v>61.6</v>
      </c>
      <c r="AC229" s="235">
        <v>579.76470588235293</v>
      </c>
      <c r="AD229" s="235">
        <v>2.8235294117647061</v>
      </c>
      <c r="AE229" s="235">
        <v>0</v>
      </c>
      <c r="AF229" s="235">
        <v>2.8235294117647061</v>
      </c>
      <c r="AG229" s="235">
        <v>423.95294117647057</v>
      </c>
      <c r="AH229" s="235">
        <v>50.4</v>
      </c>
      <c r="AI229" s="235">
        <v>474.35294117647061</v>
      </c>
      <c r="AJ229" s="235">
        <v>43.294117647058826</v>
      </c>
      <c r="AK229" s="235">
        <v>435.76470588235293</v>
      </c>
      <c r="AL229" s="235">
        <v>479.05882352941177</v>
      </c>
      <c r="AM229" s="235">
        <v>470.07058823529411</v>
      </c>
      <c r="AN229" s="235">
        <v>486.16470588235291</v>
      </c>
      <c r="AO229" s="235">
        <v>956.23529411764707</v>
      </c>
      <c r="AP229" s="200">
        <v>1536</v>
      </c>
      <c r="AQ229" s="141">
        <v>0</v>
      </c>
      <c r="AR229" s="200">
        <v>4496.9411764705883</v>
      </c>
      <c r="AS229" s="200">
        <v>5637.6470588235288</v>
      </c>
      <c r="AT229" s="66">
        <v>10134.588235294117</v>
      </c>
      <c r="AU229" s="235">
        <v>423.52941176470586</v>
      </c>
      <c r="AV229" s="235">
        <v>51.764705882352942</v>
      </c>
      <c r="AW229" s="75">
        <v>0</v>
      </c>
      <c r="AX229" s="235">
        <v>197.64705882352942</v>
      </c>
      <c r="AY229" s="66">
        <v>672.94117647058818</v>
      </c>
      <c r="AZ229" s="202">
        <v>0</v>
      </c>
      <c r="BA229" s="87">
        <v>52.705882352941174</v>
      </c>
      <c r="BB229" s="87">
        <v>0</v>
      </c>
      <c r="BC229" s="87">
        <v>109.17647058823529</v>
      </c>
      <c r="BD229" s="87">
        <v>0</v>
      </c>
      <c r="BE229" s="87">
        <v>109.17647058823529</v>
      </c>
      <c r="BF229" s="87">
        <v>150.58823529411765</v>
      </c>
      <c r="BG229" s="66">
        <v>259.76470588235293</v>
      </c>
      <c r="BH229" s="67">
        <v>11067.294117647058</v>
      </c>
      <c r="BI229" s="67">
        <v>977617.977291569</v>
      </c>
    </row>
    <row r="230" spans="1:61" x14ac:dyDescent="0.25">
      <c r="A230" s="142">
        <v>0</v>
      </c>
      <c r="B230" s="68">
        <v>40396</v>
      </c>
      <c r="C230" s="198">
        <v>40396</v>
      </c>
      <c r="D230" s="69">
        <v>39668</v>
      </c>
      <c r="E230" s="70">
        <v>40396</v>
      </c>
      <c r="F230" s="71">
        <v>31</v>
      </c>
      <c r="G230" s="72"/>
      <c r="H230" s="82" t="s">
        <v>54</v>
      </c>
      <c r="I230" s="210"/>
      <c r="J230" s="210"/>
      <c r="K230" s="235">
        <v>2673.8823529411766</v>
      </c>
      <c r="L230" s="235">
        <v>282.35294117647061</v>
      </c>
      <c r="M230" s="235">
        <v>2956.2352941176473</v>
      </c>
      <c r="N230" s="235">
        <v>950.58823529411768</v>
      </c>
      <c r="O230" s="235">
        <v>233.41176470588235</v>
      </c>
      <c r="P230" s="235">
        <v>1184</v>
      </c>
      <c r="Q230" s="235">
        <v>127.05882352941177</v>
      </c>
      <c r="R230" s="235">
        <v>0</v>
      </c>
      <c r="S230" s="235">
        <v>127.05882352941177</v>
      </c>
      <c r="T230" s="235">
        <v>724.70588235294122</v>
      </c>
      <c r="U230" s="235">
        <v>1809.8823529411766</v>
      </c>
      <c r="V230" s="235">
        <v>2534.5882352941176</v>
      </c>
      <c r="W230" s="235">
        <v>1802.3529411764705</v>
      </c>
      <c r="X230" s="235">
        <v>2043.2941176470588</v>
      </c>
      <c r="Y230" s="235">
        <v>3845.6470588235293</v>
      </c>
      <c r="Z230" s="200">
        <v>6801.8823529411766</v>
      </c>
      <c r="AA230" s="235">
        <v>475.7176470588235</v>
      </c>
      <c r="AB230" s="235">
        <v>39.858823529411765</v>
      </c>
      <c r="AC230" s="235">
        <v>515.57647058823522</v>
      </c>
      <c r="AD230" s="235">
        <v>17.882352941176471</v>
      </c>
      <c r="AE230" s="235">
        <v>0</v>
      </c>
      <c r="AF230" s="235">
        <v>17.882352941176471</v>
      </c>
      <c r="AG230" s="235">
        <v>389.22352941176473</v>
      </c>
      <c r="AH230" s="235">
        <v>32.611764705882351</v>
      </c>
      <c r="AI230" s="235">
        <v>421.83529411764704</v>
      </c>
      <c r="AJ230" s="235">
        <v>127.05882352941177</v>
      </c>
      <c r="AK230" s="235">
        <v>445.1764705882353</v>
      </c>
      <c r="AL230" s="235">
        <v>572.23529411764707</v>
      </c>
      <c r="AM230" s="235">
        <v>534.16470588235291</v>
      </c>
      <c r="AN230" s="235">
        <v>477.78823529411761</v>
      </c>
      <c r="AO230" s="235">
        <v>1011.9529411764704</v>
      </c>
      <c r="AP230" s="200">
        <v>1527.5294117647056</v>
      </c>
      <c r="AQ230" s="141">
        <v>0</v>
      </c>
      <c r="AR230" s="200">
        <v>3471.8117647058825</v>
      </c>
      <c r="AS230" s="200">
        <v>4857.6000000000004</v>
      </c>
      <c r="AT230" s="66">
        <v>8329.4117647058811</v>
      </c>
      <c r="AU230" s="235">
        <v>400</v>
      </c>
      <c r="AV230" s="235">
        <v>47.058823529411768</v>
      </c>
      <c r="AW230" s="75">
        <v>0</v>
      </c>
      <c r="AX230" s="235">
        <v>141.1764705882353</v>
      </c>
      <c r="AY230" s="66">
        <v>588.23529411764707</v>
      </c>
      <c r="AZ230" s="202">
        <v>0</v>
      </c>
      <c r="BA230" s="87">
        <v>70.588235294117652</v>
      </c>
      <c r="BB230" s="87">
        <v>0</v>
      </c>
      <c r="BC230" s="87">
        <v>93.17647058823529</v>
      </c>
      <c r="BD230" s="87">
        <v>0</v>
      </c>
      <c r="BE230" s="87">
        <v>93.17647058823529</v>
      </c>
      <c r="BF230" s="87">
        <v>268.23529411764707</v>
      </c>
      <c r="BG230" s="66">
        <v>361.41176470588238</v>
      </c>
      <c r="BH230" s="67">
        <v>9279.0588235294108</v>
      </c>
      <c r="BI230" s="67">
        <v>986897.0361150984</v>
      </c>
    </row>
    <row r="231" spans="1:61" x14ac:dyDescent="0.25">
      <c r="A231" s="142">
        <v>0</v>
      </c>
      <c r="B231" s="85">
        <v>40397</v>
      </c>
      <c r="C231" s="203">
        <v>40397</v>
      </c>
      <c r="D231" s="76">
        <v>39669</v>
      </c>
      <c r="E231" s="77">
        <v>40397</v>
      </c>
      <c r="F231" s="78">
        <v>31</v>
      </c>
      <c r="G231" s="79"/>
      <c r="H231" s="80" t="s">
        <v>54</v>
      </c>
      <c r="I231" s="212"/>
      <c r="J231" s="212"/>
      <c r="K231" s="235">
        <v>2870.5882352941176</v>
      </c>
      <c r="L231" s="235">
        <v>282.35294117647061</v>
      </c>
      <c r="M231" s="231">
        <v>3152.9411764705883</v>
      </c>
      <c r="N231" s="231">
        <v>1242.3529411764705</v>
      </c>
      <c r="O231" s="231">
        <v>301.1764705882353</v>
      </c>
      <c r="P231" s="231">
        <v>1543.5294117647059</v>
      </c>
      <c r="Q231" s="231">
        <v>66.82352941176471</v>
      </c>
      <c r="R231" s="231">
        <v>0</v>
      </c>
      <c r="S231" s="231">
        <v>66.82352941176471</v>
      </c>
      <c r="T231" s="231">
        <v>630.58823529411768</v>
      </c>
      <c r="U231" s="231">
        <v>1840.9411764705883</v>
      </c>
      <c r="V231" s="231">
        <v>2471.5294117647059</v>
      </c>
      <c r="W231" s="231">
        <v>1939.7647058823529</v>
      </c>
      <c r="X231" s="231">
        <v>2142.1176470588234</v>
      </c>
      <c r="Y231" s="231">
        <v>4081.8823529411766</v>
      </c>
      <c r="Z231" s="200">
        <v>7234.8235294117649</v>
      </c>
      <c r="AA231" s="231">
        <v>263.48235294117649</v>
      </c>
      <c r="AB231" s="231">
        <v>18.63529411764706</v>
      </c>
      <c r="AC231" s="231">
        <v>282.11764705882354</v>
      </c>
      <c r="AD231" s="231">
        <v>16.941176470588236</v>
      </c>
      <c r="AE231" s="231">
        <v>0</v>
      </c>
      <c r="AF231" s="231">
        <v>16.941176470588236</v>
      </c>
      <c r="AG231" s="231">
        <v>215.57647058823531</v>
      </c>
      <c r="AH231" s="231">
        <v>15.247058823529411</v>
      </c>
      <c r="AI231" s="231">
        <v>230.8235294117647</v>
      </c>
      <c r="AJ231" s="231">
        <v>101.64705882352941</v>
      </c>
      <c r="AK231" s="231">
        <v>369.88235294117646</v>
      </c>
      <c r="AL231" s="231">
        <v>471.52941176470586</v>
      </c>
      <c r="AM231" s="231">
        <v>334.16470588235296</v>
      </c>
      <c r="AN231" s="231">
        <v>385.12941176470588</v>
      </c>
      <c r="AO231" s="231">
        <v>719.29411764705878</v>
      </c>
      <c r="AP231" s="200">
        <v>1001.4117647058823</v>
      </c>
      <c r="AQ231" s="141">
        <v>0</v>
      </c>
      <c r="AR231" s="200">
        <v>3435.0588235294117</v>
      </c>
      <c r="AS231" s="200">
        <v>4801.1764705882351</v>
      </c>
      <c r="AT231" s="66">
        <v>8236.2352941176468</v>
      </c>
      <c r="AU231" s="231">
        <v>583.52941176470586</v>
      </c>
      <c r="AV231" s="231">
        <v>65.882352941176464</v>
      </c>
      <c r="AW231" s="75">
        <v>0</v>
      </c>
      <c r="AX231" s="231">
        <v>197.64705882352942</v>
      </c>
      <c r="AY231" s="66">
        <v>847.05882352941171</v>
      </c>
      <c r="AZ231" s="208">
        <v>0</v>
      </c>
      <c r="BA231" s="87">
        <v>47.058823529411768</v>
      </c>
      <c r="BB231" s="87">
        <v>18.823529411764707</v>
      </c>
      <c r="BC231" s="87">
        <v>73.411764705882348</v>
      </c>
      <c r="BD231" s="87">
        <v>18.823529411764707</v>
      </c>
      <c r="BE231" s="87">
        <v>92.235294117647058</v>
      </c>
      <c r="BF231" s="87">
        <v>108.23529411764706</v>
      </c>
      <c r="BG231" s="66">
        <v>200.47058823529412</v>
      </c>
      <c r="BH231" s="67">
        <v>9283.7647058823532</v>
      </c>
      <c r="BI231" s="67">
        <v>996180.8008209808</v>
      </c>
    </row>
    <row r="232" spans="1:61" x14ac:dyDescent="0.25">
      <c r="A232" s="142">
        <v>0</v>
      </c>
      <c r="B232" s="85">
        <v>40398</v>
      </c>
      <c r="C232" s="203">
        <v>40398</v>
      </c>
      <c r="D232" s="76">
        <v>39670</v>
      </c>
      <c r="E232" s="77">
        <v>40398</v>
      </c>
      <c r="F232" s="78">
        <v>31</v>
      </c>
      <c r="G232" s="79"/>
      <c r="H232" s="80" t="s">
        <v>54</v>
      </c>
      <c r="I232" s="212"/>
      <c r="J232" s="212"/>
      <c r="K232" s="235">
        <v>2815.0588235294117</v>
      </c>
      <c r="L232" s="235">
        <v>282.35294117647061</v>
      </c>
      <c r="M232" s="231">
        <v>3097.4117647058824</v>
      </c>
      <c r="N232" s="231">
        <v>1162.3529411764705</v>
      </c>
      <c r="O232" s="231">
        <v>348.23529411764707</v>
      </c>
      <c r="P232" s="231">
        <v>1510.5882352941176</v>
      </c>
      <c r="Q232" s="231">
        <v>70.588235294117652</v>
      </c>
      <c r="R232" s="231">
        <v>0</v>
      </c>
      <c r="S232" s="231">
        <v>70.588235294117652</v>
      </c>
      <c r="T232" s="231">
        <v>592.94117647058829</v>
      </c>
      <c r="U232" s="231">
        <v>1835.2941176470588</v>
      </c>
      <c r="V232" s="231">
        <v>2428.2352941176468</v>
      </c>
      <c r="W232" s="231">
        <v>1825.8823529411766</v>
      </c>
      <c r="X232" s="231">
        <v>2183.5294117647059</v>
      </c>
      <c r="Y232" s="231">
        <v>4009.4117647058824</v>
      </c>
      <c r="Z232" s="200">
        <v>7106.8235294117649</v>
      </c>
      <c r="AA232" s="231">
        <v>323.01176470588234</v>
      </c>
      <c r="AB232" s="231">
        <v>32.611764705882351</v>
      </c>
      <c r="AC232" s="231">
        <v>355.62352941176465</v>
      </c>
      <c r="AD232" s="231">
        <v>3.7647058823529411</v>
      </c>
      <c r="AE232" s="231">
        <v>0</v>
      </c>
      <c r="AF232" s="231">
        <v>3.7647058823529411</v>
      </c>
      <c r="AG232" s="231">
        <v>264.2823529411765</v>
      </c>
      <c r="AH232" s="231">
        <v>26.682352941176472</v>
      </c>
      <c r="AI232" s="231">
        <v>290.96470588235297</v>
      </c>
      <c r="AJ232" s="231">
        <v>85.647058823529406</v>
      </c>
      <c r="AK232" s="231">
        <v>388.70588235294116</v>
      </c>
      <c r="AL232" s="231">
        <v>474.35294117647061</v>
      </c>
      <c r="AM232" s="231">
        <v>353.69411764705882</v>
      </c>
      <c r="AN232" s="231">
        <v>415.38823529411769</v>
      </c>
      <c r="AO232" s="231">
        <v>769.08235294117651</v>
      </c>
      <c r="AP232" s="200">
        <v>1124.7058823529412</v>
      </c>
      <c r="AQ232" s="141">
        <v>0</v>
      </c>
      <c r="AR232" s="200">
        <v>3453.035294117647</v>
      </c>
      <c r="AS232" s="200">
        <v>4778.4941176470593</v>
      </c>
      <c r="AT232" s="66">
        <v>8231.5294117647063</v>
      </c>
      <c r="AU232" s="231">
        <v>423.52941176470586</v>
      </c>
      <c r="AV232" s="231">
        <v>65.882352941176464</v>
      </c>
      <c r="AW232" s="75">
        <v>0</v>
      </c>
      <c r="AX232" s="231">
        <v>225.88235294117646</v>
      </c>
      <c r="AY232" s="66">
        <v>715.29411764705878</v>
      </c>
      <c r="AZ232" s="208">
        <v>0</v>
      </c>
      <c r="BA232" s="87">
        <v>207.05882352941177</v>
      </c>
      <c r="BB232" s="87">
        <v>0</v>
      </c>
      <c r="BC232" s="87">
        <v>258.8235294117647</v>
      </c>
      <c r="BD232" s="87">
        <v>0</v>
      </c>
      <c r="BE232" s="87">
        <v>258.8235294117647</v>
      </c>
      <c r="BF232" s="87">
        <v>103.52941176470588</v>
      </c>
      <c r="BG232" s="66">
        <v>362.35294117647061</v>
      </c>
      <c r="BH232" s="67">
        <v>9309.176470588236</v>
      </c>
      <c r="BI232" s="67">
        <v>1005489.977291569</v>
      </c>
    </row>
    <row r="233" spans="1:61" x14ac:dyDescent="0.25">
      <c r="A233" s="142">
        <v>0</v>
      </c>
      <c r="B233" s="68">
        <v>40399</v>
      </c>
      <c r="C233" s="198">
        <v>40399</v>
      </c>
      <c r="D233" s="69">
        <v>39671</v>
      </c>
      <c r="E233" s="70">
        <v>40399</v>
      </c>
      <c r="F233" s="71">
        <v>32</v>
      </c>
      <c r="G233" s="72"/>
      <c r="H233" s="82" t="s">
        <v>54</v>
      </c>
      <c r="I233" s="210"/>
      <c r="J233" s="210"/>
      <c r="K233" s="235">
        <v>3639.5294117647059</v>
      </c>
      <c r="L233" s="235">
        <v>461.1764705882353</v>
      </c>
      <c r="M233" s="235">
        <v>4100.7058823529414</v>
      </c>
      <c r="N233" s="235">
        <v>1760</v>
      </c>
      <c r="O233" s="235">
        <v>414.11764705882354</v>
      </c>
      <c r="P233" s="235">
        <v>2174.1176470588234</v>
      </c>
      <c r="Q233" s="235">
        <v>112.94117647058823</v>
      </c>
      <c r="R233" s="235">
        <v>0</v>
      </c>
      <c r="S233" s="235">
        <v>112.94117647058823</v>
      </c>
      <c r="T233" s="235">
        <v>611.76470588235293</v>
      </c>
      <c r="U233" s="235">
        <v>2014.1176470588234</v>
      </c>
      <c r="V233" s="235">
        <v>2625.8823529411766</v>
      </c>
      <c r="W233" s="235">
        <v>2484.705882352941</v>
      </c>
      <c r="X233" s="235">
        <v>2428.2352941176468</v>
      </c>
      <c r="Y233" s="235">
        <v>4912.9411764705883</v>
      </c>
      <c r="Z233" s="200">
        <v>9013.6470588235297</v>
      </c>
      <c r="AA233" s="235">
        <v>537.83529411764709</v>
      </c>
      <c r="AB233" s="235">
        <v>64.188235294117646</v>
      </c>
      <c r="AC233" s="235">
        <v>602.0235294117648</v>
      </c>
      <c r="AD233" s="235">
        <v>15.058823529411764</v>
      </c>
      <c r="AE233" s="235">
        <v>0</v>
      </c>
      <c r="AF233" s="235">
        <v>15.058823529411764</v>
      </c>
      <c r="AG233" s="235">
        <v>440.04705882352943</v>
      </c>
      <c r="AH233" s="235">
        <v>52.517647058823528</v>
      </c>
      <c r="AI233" s="235">
        <v>492.56470588235294</v>
      </c>
      <c r="AJ233" s="235">
        <v>111.05882352941177</v>
      </c>
      <c r="AK233" s="235">
        <v>414.11764705882354</v>
      </c>
      <c r="AL233" s="235">
        <v>525.17647058823525</v>
      </c>
      <c r="AM233" s="235">
        <v>566.16470588235291</v>
      </c>
      <c r="AN233" s="235">
        <v>466.63529411764705</v>
      </c>
      <c r="AO233" s="235">
        <v>1032.8</v>
      </c>
      <c r="AP233" s="200">
        <v>1634.8235294117646</v>
      </c>
      <c r="AQ233" s="141">
        <v>0</v>
      </c>
      <c r="AR233" s="200">
        <v>4702.7294117647061</v>
      </c>
      <c r="AS233" s="200">
        <v>5945.7411764705885</v>
      </c>
      <c r="AT233" s="66">
        <v>10648.470588235294</v>
      </c>
      <c r="AU233" s="235">
        <v>470.58823529411762</v>
      </c>
      <c r="AV233" s="235">
        <v>49.930829474646998</v>
      </c>
      <c r="AW233" s="75">
        <v>0</v>
      </c>
      <c r="AX233" s="235">
        <v>216.47058823529412</v>
      </c>
      <c r="AY233" s="66">
        <v>736.98965300405871</v>
      </c>
      <c r="AZ233" s="208">
        <v>0</v>
      </c>
      <c r="BA233" s="87">
        <v>0</v>
      </c>
      <c r="BB233" s="87">
        <v>27.294117647058822</v>
      </c>
      <c r="BC233" s="87">
        <v>0</v>
      </c>
      <c r="BD233" s="87">
        <v>27.294117647058822</v>
      </c>
      <c r="BE233" s="87">
        <v>27.294117647058822</v>
      </c>
      <c r="BF233" s="87">
        <v>174.11764705882354</v>
      </c>
      <c r="BG233" s="66">
        <v>201.41176470588235</v>
      </c>
      <c r="BH233" s="67">
        <v>11586.872005945235</v>
      </c>
      <c r="BI233" s="67">
        <v>1017076.8492975142</v>
      </c>
    </row>
    <row r="234" spans="1:61" x14ac:dyDescent="0.25">
      <c r="A234" s="142">
        <v>0</v>
      </c>
      <c r="B234" s="68">
        <v>40400</v>
      </c>
      <c r="C234" s="198">
        <v>40400</v>
      </c>
      <c r="D234" s="69">
        <v>39672</v>
      </c>
      <c r="E234" s="70">
        <v>40400</v>
      </c>
      <c r="F234" s="71">
        <v>32</v>
      </c>
      <c r="G234" s="72"/>
      <c r="H234" s="82" t="s">
        <v>54</v>
      </c>
      <c r="I234" s="210"/>
      <c r="J234" s="210"/>
      <c r="K234" s="235">
        <v>4584.4705882352937</v>
      </c>
      <c r="L234" s="235">
        <v>824.47058823529414</v>
      </c>
      <c r="M234" s="235">
        <v>5408.9411764705874</v>
      </c>
      <c r="N234" s="235">
        <v>1938.8235294117646</v>
      </c>
      <c r="O234" s="235">
        <v>541.17647058823525</v>
      </c>
      <c r="P234" s="235">
        <v>2480</v>
      </c>
      <c r="Q234" s="235">
        <v>141.1764705882353</v>
      </c>
      <c r="R234" s="235">
        <v>0</v>
      </c>
      <c r="S234" s="235">
        <v>141.1764705882353</v>
      </c>
      <c r="T234" s="235">
        <v>423.52941176470586</v>
      </c>
      <c r="U234" s="235">
        <v>2758.5882352941176</v>
      </c>
      <c r="V234" s="235">
        <v>3182.1176470588234</v>
      </c>
      <c r="W234" s="235">
        <v>2503.5294117647059</v>
      </c>
      <c r="X234" s="235">
        <v>3299.7647058823532</v>
      </c>
      <c r="Y234" s="235">
        <v>5803.2941176470586</v>
      </c>
      <c r="Z234" s="200">
        <v>11212.235294117647</v>
      </c>
      <c r="AA234" s="235">
        <v>472.09411764705885</v>
      </c>
      <c r="AB234" s="235">
        <v>80.235294117647058</v>
      </c>
      <c r="AC234" s="235">
        <v>552.32941176470592</v>
      </c>
      <c r="AD234" s="235">
        <v>14.117647058823529</v>
      </c>
      <c r="AE234" s="235">
        <v>0</v>
      </c>
      <c r="AF234" s="235">
        <v>14.117647058823529</v>
      </c>
      <c r="AG234" s="235">
        <v>386.25882352941176</v>
      </c>
      <c r="AH234" s="235">
        <v>65.647058823529406</v>
      </c>
      <c r="AI234" s="235">
        <v>451.90588235294115</v>
      </c>
      <c r="AJ234" s="235">
        <v>42.352941176470587</v>
      </c>
      <c r="AK234" s="235">
        <v>497.88235294117646</v>
      </c>
      <c r="AL234" s="235">
        <v>540.23529411764707</v>
      </c>
      <c r="AM234" s="235">
        <v>442.72941176470584</v>
      </c>
      <c r="AN234" s="235">
        <v>563.52941176470586</v>
      </c>
      <c r="AO234" s="235">
        <v>1006.2588235294119</v>
      </c>
      <c r="AP234" s="200">
        <v>1558.5882352941176</v>
      </c>
      <c r="AQ234" s="141">
        <v>0</v>
      </c>
      <c r="AR234" s="200">
        <v>5961.270588235293</v>
      </c>
      <c r="AS234" s="200">
        <v>6809.5529411764701</v>
      </c>
      <c r="AT234" s="66">
        <v>12770.823529411762</v>
      </c>
      <c r="AU234" s="235">
        <v>470.58823529411762</v>
      </c>
      <c r="AV234" s="235">
        <v>51.815011718973302</v>
      </c>
      <c r="AW234" s="75">
        <v>0</v>
      </c>
      <c r="AX234" s="235">
        <v>244.70588235294119</v>
      </c>
      <c r="AY234" s="66">
        <v>767.10912936603211</v>
      </c>
      <c r="AZ234" s="208">
        <v>0</v>
      </c>
      <c r="BA234" s="87">
        <v>0</v>
      </c>
      <c r="BB234" s="87">
        <v>27.294117647058822</v>
      </c>
      <c r="BC234" s="87">
        <v>27.294117647058822</v>
      </c>
      <c r="BD234" s="87">
        <v>27.294117647058822</v>
      </c>
      <c r="BE234" s="87">
        <v>54.588235294117645</v>
      </c>
      <c r="BF234" s="87">
        <v>145.88235294117646</v>
      </c>
      <c r="BG234" s="66">
        <v>200.47058823529412</v>
      </c>
      <c r="BH234" s="67">
        <v>13738.403247013088</v>
      </c>
      <c r="BI234" s="67">
        <v>1030815.2525445273</v>
      </c>
    </row>
    <row r="235" spans="1:61" x14ac:dyDescent="0.25">
      <c r="A235" s="142">
        <v>0</v>
      </c>
      <c r="B235" s="68">
        <v>40401</v>
      </c>
      <c r="C235" s="198">
        <v>40401</v>
      </c>
      <c r="D235" s="69">
        <v>39673</v>
      </c>
      <c r="E235" s="70">
        <v>40401</v>
      </c>
      <c r="F235" s="71">
        <v>32</v>
      </c>
      <c r="G235" s="72"/>
      <c r="H235" s="82" t="s">
        <v>54</v>
      </c>
      <c r="I235" s="210"/>
      <c r="J235" s="210"/>
      <c r="K235" s="235">
        <v>4658.8235294117649</v>
      </c>
      <c r="L235" s="235">
        <v>760.47058823529414</v>
      </c>
      <c r="M235" s="235">
        <v>5419.2941176470595</v>
      </c>
      <c r="N235" s="235">
        <v>1962.3529411764705</v>
      </c>
      <c r="O235" s="235">
        <v>611.76470588235293</v>
      </c>
      <c r="P235" s="235">
        <v>2574.1176470588234</v>
      </c>
      <c r="Q235" s="235">
        <v>160</v>
      </c>
      <c r="R235" s="235">
        <v>0</v>
      </c>
      <c r="S235" s="235">
        <v>160</v>
      </c>
      <c r="T235" s="235">
        <v>510.11764705882354</v>
      </c>
      <c r="U235" s="235">
        <v>2781.1764705882351</v>
      </c>
      <c r="V235" s="235">
        <v>3291.294117647059</v>
      </c>
      <c r="W235" s="235">
        <v>2632.4705882352941</v>
      </c>
      <c r="X235" s="235">
        <v>3392.9411764705883</v>
      </c>
      <c r="Y235" s="235">
        <v>6025.411764705882</v>
      </c>
      <c r="Z235" s="200">
        <v>11444.705882352941</v>
      </c>
      <c r="AA235" s="235">
        <v>432.23529411764707</v>
      </c>
      <c r="AB235" s="235">
        <v>56.941176470588232</v>
      </c>
      <c r="AC235" s="235">
        <v>489.1764705882353</v>
      </c>
      <c r="AD235" s="235">
        <v>13.176470588235293</v>
      </c>
      <c r="AE235" s="235">
        <v>2.8235294117647061</v>
      </c>
      <c r="AF235" s="235">
        <v>16</v>
      </c>
      <c r="AG235" s="235">
        <v>353.64705882352939</v>
      </c>
      <c r="AH235" s="235">
        <v>46.588235294117645</v>
      </c>
      <c r="AI235" s="235">
        <v>400.23529411764707</v>
      </c>
      <c r="AJ235" s="235">
        <v>56.470588235294116</v>
      </c>
      <c r="AK235" s="235">
        <v>450.8235294117647</v>
      </c>
      <c r="AL235" s="235">
        <v>507.29411764705884</v>
      </c>
      <c r="AM235" s="235">
        <v>423.29411764705884</v>
      </c>
      <c r="AN235" s="235">
        <v>500.23529411764707</v>
      </c>
      <c r="AO235" s="235">
        <v>923.52941176470586</v>
      </c>
      <c r="AP235" s="200">
        <v>1412.7058823529412</v>
      </c>
      <c r="AQ235" s="141">
        <v>0</v>
      </c>
      <c r="AR235" s="200">
        <v>5908.4705882352946</v>
      </c>
      <c r="AS235" s="200">
        <v>6948.9411764705874</v>
      </c>
      <c r="AT235" s="66">
        <v>12857.411764705881</v>
      </c>
      <c r="AU235" s="235">
        <v>423.52941176470586</v>
      </c>
      <c r="AV235" s="235">
        <v>67.830560795746877</v>
      </c>
      <c r="AW235" s="75">
        <v>0</v>
      </c>
      <c r="AX235" s="235">
        <v>207.05882352941177</v>
      </c>
      <c r="AY235" s="66">
        <v>698.41879608986449</v>
      </c>
      <c r="AZ235" s="208">
        <v>0</v>
      </c>
      <c r="BA235" s="87">
        <v>74.352941176470594</v>
      </c>
      <c r="BB235" s="87">
        <v>0</v>
      </c>
      <c r="BC235" s="87">
        <v>101.64705882352941</v>
      </c>
      <c r="BD235" s="87">
        <v>0</v>
      </c>
      <c r="BE235" s="87">
        <v>101.64705882352941</v>
      </c>
      <c r="BF235" s="87">
        <v>207.05882352941177</v>
      </c>
      <c r="BG235" s="66">
        <v>308.70588235294116</v>
      </c>
      <c r="BH235" s="67">
        <v>13864.536443148687</v>
      </c>
      <c r="BI235" s="67">
        <v>1044679.788987676</v>
      </c>
    </row>
    <row r="236" spans="1:61" x14ac:dyDescent="0.25">
      <c r="A236" s="142">
        <v>0</v>
      </c>
      <c r="B236" s="68">
        <v>40402</v>
      </c>
      <c r="C236" s="198">
        <v>40402</v>
      </c>
      <c r="D236" s="69">
        <v>39674</v>
      </c>
      <c r="E236" s="70">
        <v>40402</v>
      </c>
      <c r="F236" s="71">
        <v>32</v>
      </c>
      <c r="G236" s="72"/>
      <c r="H236" s="82" t="s">
        <v>54</v>
      </c>
      <c r="I236" s="210"/>
      <c r="J236" s="210"/>
      <c r="K236" s="235">
        <v>4289.8823529411766</v>
      </c>
      <c r="L236" s="235">
        <v>804.70588235294122</v>
      </c>
      <c r="M236" s="235">
        <v>5094.588235294118</v>
      </c>
      <c r="N236" s="235">
        <v>1524.7058823529412</v>
      </c>
      <c r="O236" s="235">
        <v>480</v>
      </c>
      <c r="P236" s="235">
        <v>2004.7058823529412</v>
      </c>
      <c r="Q236" s="235">
        <v>188.23529411764707</v>
      </c>
      <c r="R236" s="235">
        <v>0</v>
      </c>
      <c r="S236" s="235">
        <v>188.23529411764707</v>
      </c>
      <c r="T236" s="235">
        <v>564.70588235294122</v>
      </c>
      <c r="U236" s="235">
        <v>2616.4705882352941</v>
      </c>
      <c r="V236" s="235">
        <v>3181.1764705882351</v>
      </c>
      <c r="W236" s="235">
        <v>2277.6470588235293</v>
      </c>
      <c r="X236" s="235">
        <v>3096.4705882352941</v>
      </c>
      <c r="Y236" s="235">
        <v>5374.1176470588234</v>
      </c>
      <c r="Z236" s="200">
        <v>10468.705882352941</v>
      </c>
      <c r="AA236" s="235">
        <v>356.14117647058822</v>
      </c>
      <c r="AB236" s="235">
        <v>52.8</v>
      </c>
      <c r="AC236" s="235">
        <v>408.94117647058823</v>
      </c>
      <c r="AD236" s="235">
        <v>12.235294117647058</v>
      </c>
      <c r="AE236" s="235">
        <v>2.8235294117647061</v>
      </c>
      <c r="AF236" s="235">
        <v>15.058823529411764</v>
      </c>
      <c r="AG236" s="235">
        <v>291.38823529411769</v>
      </c>
      <c r="AH236" s="235">
        <v>43.2</v>
      </c>
      <c r="AI236" s="235">
        <v>334.58823529411762</v>
      </c>
      <c r="AJ236" s="235">
        <v>69.647058823529406</v>
      </c>
      <c r="AK236" s="235">
        <v>243.76470588235293</v>
      </c>
      <c r="AL236" s="235">
        <v>313.41176470588238</v>
      </c>
      <c r="AM236" s="235">
        <v>373.27058823529416</v>
      </c>
      <c r="AN236" s="235">
        <v>289.78823529411761</v>
      </c>
      <c r="AO236" s="235">
        <v>663.05882352941171</v>
      </c>
      <c r="AP236" s="200">
        <v>1072</v>
      </c>
      <c r="AQ236" s="141">
        <v>0</v>
      </c>
      <c r="AR236" s="200">
        <v>5503.5294117647063</v>
      </c>
      <c r="AS236" s="200">
        <v>6037.1764705882351</v>
      </c>
      <c r="AT236" s="66">
        <v>11540.705882352941</v>
      </c>
      <c r="AU236" s="235">
        <v>470.58823529411762</v>
      </c>
      <c r="AV236" s="235">
        <v>51.815011718973302</v>
      </c>
      <c r="AW236" s="75">
        <v>0</v>
      </c>
      <c r="AX236" s="235">
        <v>216.47058823529412</v>
      </c>
      <c r="AY236" s="66">
        <v>738.87383524838503</v>
      </c>
      <c r="AZ236" s="208">
        <v>0</v>
      </c>
      <c r="BA236" s="87">
        <v>48.941176470588232</v>
      </c>
      <c r="BB236" s="87">
        <v>0</v>
      </c>
      <c r="BC236" s="87">
        <v>82.82352941176471</v>
      </c>
      <c r="BD236" s="87">
        <v>0</v>
      </c>
      <c r="BE236" s="87">
        <v>82.82352941176471</v>
      </c>
      <c r="BF236" s="87">
        <v>205.1764705882353</v>
      </c>
      <c r="BG236" s="66">
        <v>288</v>
      </c>
      <c r="BH236" s="67">
        <v>12567.579717601326</v>
      </c>
      <c r="BI236" s="67">
        <v>1057247.3687052773</v>
      </c>
    </row>
    <row r="237" spans="1:61" x14ac:dyDescent="0.25">
      <c r="A237" s="142">
        <v>0</v>
      </c>
      <c r="B237" s="88">
        <v>40403</v>
      </c>
      <c r="C237" s="236">
        <v>40403</v>
      </c>
      <c r="D237" s="89">
        <v>39675</v>
      </c>
      <c r="E237" s="90">
        <v>40403</v>
      </c>
      <c r="F237" s="91">
        <v>32</v>
      </c>
      <c r="G237" s="92"/>
      <c r="H237" s="93" t="s">
        <v>54</v>
      </c>
      <c r="I237" s="237"/>
      <c r="J237" s="237"/>
      <c r="K237" s="238">
        <v>2846.1176470588234</v>
      </c>
      <c r="L237" s="238">
        <v>313.41176470588238</v>
      </c>
      <c r="M237" s="238">
        <v>3159.5294117647059</v>
      </c>
      <c r="N237" s="238">
        <v>1223.5294117647059</v>
      </c>
      <c r="O237" s="238">
        <v>367.05882352941177</v>
      </c>
      <c r="P237" s="238">
        <v>1590.5882352941176</v>
      </c>
      <c r="Q237" s="238">
        <v>112.94117647058823</v>
      </c>
      <c r="R237" s="238">
        <v>0</v>
      </c>
      <c r="S237" s="238">
        <v>112.94117647058823</v>
      </c>
      <c r="T237" s="238">
        <v>856.47058823529414</v>
      </c>
      <c r="U237" s="238">
        <v>1995.2941176470588</v>
      </c>
      <c r="V237" s="238">
        <v>2851.7647058823532</v>
      </c>
      <c r="W237" s="238">
        <v>2192.9411764705883</v>
      </c>
      <c r="X237" s="238">
        <v>2362.3529411764707</v>
      </c>
      <c r="Y237" s="238">
        <v>4555.2941176470586</v>
      </c>
      <c r="Z237" s="239">
        <v>7714.8235294117649</v>
      </c>
      <c r="AA237" s="238">
        <v>301.78823529411761</v>
      </c>
      <c r="AB237" s="238">
        <v>47.105882352941173</v>
      </c>
      <c r="AC237" s="238">
        <v>348.89411764705881</v>
      </c>
      <c r="AD237" s="238">
        <v>16</v>
      </c>
      <c r="AE237" s="238">
        <v>0</v>
      </c>
      <c r="AF237" s="238">
        <v>16</v>
      </c>
      <c r="AG237" s="238">
        <v>246.91764705882355</v>
      </c>
      <c r="AH237" s="238">
        <v>38.54117647058824</v>
      </c>
      <c r="AI237" s="238">
        <v>285.4588235294118</v>
      </c>
      <c r="AJ237" s="238">
        <v>114.82352941176471</v>
      </c>
      <c r="AK237" s="238">
        <v>192.94117647058823</v>
      </c>
      <c r="AL237" s="238">
        <v>307.76470588235293</v>
      </c>
      <c r="AM237" s="238">
        <v>377.74117647058824</v>
      </c>
      <c r="AN237" s="238">
        <v>231.48235294117646</v>
      </c>
      <c r="AO237" s="238">
        <v>609.22352941176462</v>
      </c>
      <c r="AP237" s="239">
        <v>958.11764705882354</v>
      </c>
      <c r="AQ237" s="240">
        <v>0</v>
      </c>
      <c r="AR237" s="200">
        <v>3508.4235294117648</v>
      </c>
      <c r="AS237" s="200">
        <v>5164.5176470588231</v>
      </c>
      <c r="AT237" s="66">
        <v>8672.9411764705874</v>
      </c>
      <c r="AU237" s="238">
        <v>470.58823529411762</v>
      </c>
      <c r="AV237" s="238">
        <v>37.647058823529413</v>
      </c>
      <c r="AW237" s="75">
        <v>0</v>
      </c>
      <c r="AX237" s="238">
        <v>178.8235294117647</v>
      </c>
      <c r="AY237" s="66">
        <v>687.05882352941171</v>
      </c>
      <c r="AZ237" s="391">
        <v>0</v>
      </c>
      <c r="BA237" s="94">
        <v>94.117647058823536</v>
      </c>
      <c r="BB237" s="94">
        <v>42.352941176470587</v>
      </c>
      <c r="BC237" s="94">
        <v>94.117647058823536</v>
      </c>
      <c r="BD237" s="94">
        <v>42.352941176470587</v>
      </c>
      <c r="BE237" s="94">
        <v>136.47058823529412</v>
      </c>
      <c r="BF237" s="94">
        <v>73.411764705882348</v>
      </c>
      <c r="BG237" s="66">
        <v>209.88235294117646</v>
      </c>
      <c r="BH237" s="67">
        <v>9569.8823529411748</v>
      </c>
      <c r="BI237" s="67">
        <v>1066817.2510582185</v>
      </c>
    </row>
    <row r="238" spans="1:61" x14ac:dyDescent="0.25">
      <c r="A238" s="142">
        <v>0</v>
      </c>
      <c r="B238" s="392">
        <v>40404</v>
      </c>
      <c r="C238" s="393">
        <v>40404</v>
      </c>
      <c r="D238" s="394">
        <v>39676</v>
      </c>
      <c r="E238" s="395">
        <v>40404</v>
      </c>
      <c r="F238" s="396">
        <v>32</v>
      </c>
      <c r="G238" s="397"/>
      <c r="H238" s="398" t="s">
        <v>54</v>
      </c>
      <c r="I238" s="399"/>
      <c r="J238" s="399"/>
      <c r="K238" s="400">
        <v>2682.3529411764707</v>
      </c>
      <c r="L238" s="400">
        <v>355.76470588235293</v>
      </c>
      <c r="M238" s="400">
        <v>3038.1176470588234</v>
      </c>
      <c r="N238" s="400">
        <v>1200</v>
      </c>
      <c r="O238" s="400">
        <v>313.41176470588238</v>
      </c>
      <c r="P238" s="400">
        <v>1513.4117647058824</v>
      </c>
      <c r="Q238" s="400">
        <v>160</v>
      </c>
      <c r="R238" s="400">
        <v>0</v>
      </c>
      <c r="S238" s="400">
        <v>160</v>
      </c>
      <c r="T238" s="400">
        <v>687.05882352941171</v>
      </c>
      <c r="U238" s="400">
        <v>2014.1176470588234</v>
      </c>
      <c r="V238" s="400">
        <v>2701.1764705882351</v>
      </c>
      <c r="W238" s="400">
        <v>2047.0588235294117</v>
      </c>
      <c r="X238" s="400">
        <v>2327.5294117647059</v>
      </c>
      <c r="Y238" s="400">
        <v>4374.588235294118</v>
      </c>
      <c r="Z238" s="401">
        <v>7412.7058823529414</v>
      </c>
      <c r="AA238" s="400">
        <v>227.24705882352941</v>
      </c>
      <c r="AB238" s="400">
        <v>34.682352941176475</v>
      </c>
      <c r="AC238" s="400">
        <v>261.92941176470589</v>
      </c>
      <c r="AD238" s="400">
        <v>30.117647058823529</v>
      </c>
      <c r="AE238" s="400">
        <v>0</v>
      </c>
      <c r="AF238" s="400">
        <v>30.117647058823529</v>
      </c>
      <c r="AG238" s="400">
        <v>185.92941176470589</v>
      </c>
      <c r="AH238" s="400">
        <v>28.376470588235293</v>
      </c>
      <c r="AI238" s="400">
        <v>214.30588235294118</v>
      </c>
      <c r="AJ238" s="400">
        <v>81.882352941176464</v>
      </c>
      <c r="AK238" s="400">
        <v>166.58823529411765</v>
      </c>
      <c r="AL238" s="400">
        <v>248.47058823529412</v>
      </c>
      <c r="AM238" s="400">
        <v>297.92941176470589</v>
      </c>
      <c r="AN238" s="400">
        <v>194.96470588235294</v>
      </c>
      <c r="AO238" s="400">
        <v>492.89411764705886</v>
      </c>
      <c r="AP238" s="401">
        <v>754.82352941176475</v>
      </c>
      <c r="AQ238" s="402">
        <v>0</v>
      </c>
      <c r="AR238" s="200">
        <v>3300.0470588235294</v>
      </c>
      <c r="AS238" s="200">
        <v>4867.4823529411769</v>
      </c>
      <c r="AT238" s="66">
        <v>8167.5294117647063</v>
      </c>
      <c r="AU238" s="400">
        <v>517.64705882352939</v>
      </c>
      <c r="AV238" s="400">
        <v>42.352941176470587</v>
      </c>
      <c r="AW238" s="75">
        <v>0</v>
      </c>
      <c r="AX238" s="400">
        <v>178.8235294117647</v>
      </c>
      <c r="AY238" s="66">
        <v>738.82352941176464</v>
      </c>
      <c r="AZ238" s="403">
        <v>0</v>
      </c>
      <c r="BA238" s="404">
        <v>75.294117647058826</v>
      </c>
      <c r="BB238" s="404">
        <v>37.647058823529413</v>
      </c>
      <c r="BC238" s="404">
        <v>158.11764705882354</v>
      </c>
      <c r="BD238" s="404">
        <v>64</v>
      </c>
      <c r="BE238" s="404">
        <v>222.11764705882354</v>
      </c>
      <c r="BF238" s="405">
        <v>75.294117647058826</v>
      </c>
      <c r="BG238" s="66">
        <v>297.41176470588238</v>
      </c>
      <c r="BH238" s="67">
        <v>9203.7647058823532</v>
      </c>
      <c r="BI238" s="67">
        <v>1076021.0157641009</v>
      </c>
    </row>
    <row r="239" spans="1:61" x14ac:dyDescent="0.25">
      <c r="A239" s="142">
        <v>0</v>
      </c>
      <c r="B239" s="392">
        <v>40405</v>
      </c>
      <c r="C239" s="393">
        <v>40405</v>
      </c>
      <c r="D239" s="394">
        <v>39677</v>
      </c>
      <c r="E239" s="395">
        <v>40405</v>
      </c>
      <c r="F239" s="396">
        <v>32</v>
      </c>
      <c r="G239" s="397" t="s">
        <v>63</v>
      </c>
      <c r="H239" s="398" t="s">
        <v>54</v>
      </c>
      <c r="I239" s="399"/>
      <c r="J239" s="399"/>
      <c r="K239" s="400">
        <v>2168.4705882352941</v>
      </c>
      <c r="L239" s="400">
        <v>416.94117647058823</v>
      </c>
      <c r="M239" s="400">
        <v>2585.4117647058824</v>
      </c>
      <c r="N239" s="400">
        <v>982.58823529411768</v>
      </c>
      <c r="O239" s="400">
        <v>315.29411764705884</v>
      </c>
      <c r="P239" s="400">
        <v>1297.8823529411766</v>
      </c>
      <c r="Q239" s="400">
        <v>75.294117647058826</v>
      </c>
      <c r="R239" s="400">
        <v>0</v>
      </c>
      <c r="S239" s="400">
        <v>75.294117647058826</v>
      </c>
      <c r="T239" s="400">
        <v>583.52941176470586</v>
      </c>
      <c r="U239" s="400">
        <v>2104.4705882352941</v>
      </c>
      <c r="V239" s="400">
        <v>2688</v>
      </c>
      <c r="W239" s="400">
        <v>1641.4117647058824</v>
      </c>
      <c r="X239" s="400">
        <v>2419.7647058823532</v>
      </c>
      <c r="Y239" s="400">
        <v>4061.1764705882351</v>
      </c>
      <c r="Z239" s="401">
        <v>6646.588235294118</v>
      </c>
      <c r="AA239" s="400">
        <v>280.04705882352943</v>
      </c>
      <c r="AB239" s="400">
        <v>36.752941176470586</v>
      </c>
      <c r="AC239" s="400">
        <v>316.8</v>
      </c>
      <c r="AD239" s="400">
        <v>10.352941176470589</v>
      </c>
      <c r="AE239" s="400">
        <v>0</v>
      </c>
      <c r="AF239" s="400">
        <v>10.352941176470589</v>
      </c>
      <c r="AG239" s="400">
        <v>229.12941176470588</v>
      </c>
      <c r="AH239" s="400">
        <v>30.070588235294117</v>
      </c>
      <c r="AI239" s="400">
        <v>259.2</v>
      </c>
      <c r="AJ239" s="400">
        <v>103.52941176470588</v>
      </c>
      <c r="AK239" s="400">
        <v>174.11764705882354</v>
      </c>
      <c r="AL239" s="400">
        <v>277.64705882352939</v>
      </c>
      <c r="AM239" s="400">
        <v>343.01176470588234</v>
      </c>
      <c r="AN239" s="400">
        <v>204.18823529411765</v>
      </c>
      <c r="AO239" s="400">
        <v>547.20000000000005</v>
      </c>
      <c r="AP239" s="401">
        <v>864</v>
      </c>
      <c r="AQ239" s="402">
        <v>0</v>
      </c>
      <c r="AR239" s="200">
        <v>2902.2117647058826</v>
      </c>
      <c r="AS239" s="200">
        <v>4608.376470588235</v>
      </c>
      <c r="AT239" s="66">
        <v>7510.5882352941171</v>
      </c>
      <c r="AU239" s="400">
        <v>352.94117647058823</v>
      </c>
      <c r="AV239" s="400">
        <v>42.352941176470587</v>
      </c>
      <c r="AW239" s="75">
        <v>0</v>
      </c>
      <c r="AX239" s="400">
        <v>141.1764705882353</v>
      </c>
      <c r="AY239" s="66">
        <v>536.47058823529414</v>
      </c>
      <c r="AZ239" s="403">
        <v>0</v>
      </c>
      <c r="BA239" s="404">
        <v>47.058823529411768</v>
      </c>
      <c r="BB239" s="404">
        <v>0</v>
      </c>
      <c r="BC239" s="404">
        <v>47.058823529411768</v>
      </c>
      <c r="BD239" s="404">
        <v>25.411764705882351</v>
      </c>
      <c r="BE239" s="404">
        <v>72.470588235294116</v>
      </c>
      <c r="BF239" s="405">
        <v>61.176470588235297</v>
      </c>
      <c r="BG239" s="66">
        <v>133.64705882352942</v>
      </c>
      <c r="BH239" s="67">
        <v>8180.7058823529405</v>
      </c>
      <c r="BI239" s="67">
        <v>1084201.721646454</v>
      </c>
    </row>
    <row r="240" spans="1:61" x14ac:dyDescent="0.25">
      <c r="A240" s="142">
        <v>0</v>
      </c>
      <c r="B240" s="109">
        <v>40406</v>
      </c>
      <c r="C240" s="271">
        <v>40406</v>
      </c>
      <c r="D240" s="110">
        <v>39678</v>
      </c>
      <c r="E240" s="111">
        <v>40406</v>
      </c>
      <c r="F240" s="112">
        <v>33</v>
      </c>
      <c r="G240" s="113"/>
      <c r="H240" s="114" t="s">
        <v>54</v>
      </c>
      <c r="I240" s="272"/>
      <c r="J240" s="272"/>
      <c r="K240" s="273">
        <v>3659.294117647059</v>
      </c>
      <c r="L240" s="273">
        <v>452.70588235294116</v>
      </c>
      <c r="M240" s="273">
        <v>4112</v>
      </c>
      <c r="N240" s="273">
        <v>1411.7647058823529</v>
      </c>
      <c r="O240" s="273">
        <v>367.05882352941177</v>
      </c>
      <c r="P240" s="273">
        <v>1778.8235294117646</v>
      </c>
      <c r="Q240" s="273">
        <v>122.35294117647059</v>
      </c>
      <c r="R240" s="273">
        <v>0</v>
      </c>
      <c r="S240" s="273">
        <v>122.35294117647059</v>
      </c>
      <c r="T240" s="273">
        <v>602.35294117647061</v>
      </c>
      <c r="U240" s="273">
        <v>2072.4705882352941</v>
      </c>
      <c r="V240" s="273">
        <v>2674.8235294117649</v>
      </c>
      <c r="W240" s="273">
        <v>2136.4705882352941</v>
      </c>
      <c r="X240" s="273">
        <v>2439.5294117647059</v>
      </c>
      <c r="Y240" s="273">
        <v>4576</v>
      </c>
      <c r="Z240" s="200">
        <v>8688</v>
      </c>
      <c r="AA240" s="273">
        <v>424.47058823529414</v>
      </c>
      <c r="AB240" s="273">
        <v>68.329411764705881</v>
      </c>
      <c r="AC240" s="273">
        <v>492.8</v>
      </c>
      <c r="AD240" s="273">
        <v>10.352941176470589</v>
      </c>
      <c r="AE240" s="273">
        <v>0</v>
      </c>
      <c r="AF240" s="273">
        <v>10.352941176470589</v>
      </c>
      <c r="AG240" s="273">
        <v>347.29411764705884</v>
      </c>
      <c r="AH240" s="273">
        <v>55.905882352941177</v>
      </c>
      <c r="AI240" s="273">
        <v>403.2</v>
      </c>
      <c r="AJ240" s="273">
        <v>72.470588235294116</v>
      </c>
      <c r="AK240" s="273">
        <v>174.11764705882354</v>
      </c>
      <c r="AL240" s="273">
        <v>246.58823529411765</v>
      </c>
      <c r="AM240" s="273">
        <v>430.11764705882354</v>
      </c>
      <c r="AN240" s="273">
        <v>230.02352941176471</v>
      </c>
      <c r="AO240" s="273">
        <v>660.14117647058822</v>
      </c>
      <c r="AP240" s="200">
        <v>1152.9411764705883</v>
      </c>
      <c r="AQ240" s="274">
        <v>0</v>
      </c>
      <c r="AR240" s="200">
        <v>4604.8</v>
      </c>
      <c r="AS240" s="200">
        <v>5236.1411764705881</v>
      </c>
      <c r="AT240" s="66">
        <v>9840.9411764705874</v>
      </c>
      <c r="AU240" s="365">
        <v>564.70588235294122</v>
      </c>
      <c r="AV240" s="365">
        <v>37.683644886526039</v>
      </c>
      <c r="AW240" s="75">
        <v>28.235294117647058</v>
      </c>
      <c r="AX240" s="365">
        <v>235.29411764705881</v>
      </c>
      <c r="AY240" s="66">
        <v>865.91893900417313</v>
      </c>
      <c r="AZ240" s="406">
        <v>0</v>
      </c>
      <c r="BA240" s="115">
        <v>80</v>
      </c>
      <c r="BB240" s="115">
        <v>0</v>
      </c>
      <c r="BC240" s="115">
        <v>104.47058823529412</v>
      </c>
      <c r="BD240" s="115">
        <v>0</v>
      </c>
      <c r="BE240" s="115">
        <v>104.47058823529412</v>
      </c>
      <c r="BF240" s="115">
        <v>0</v>
      </c>
      <c r="BG240" s="66">
        <v>104.47058823529412</v>
      </c>
      <c r="BH240" s="67">
        <v>10811.330703710055</v>
      </c>
      <c r="BI240" s="67">
        <v>1095013.0523501639</v>
      </c>
    </row>
    <row r="241" spans="1:61" x14ac:dyDescent="0.25">
      <c r="A241" s="142">
        <v>0</v>
      </c>
      <c r="B241" s="68">
        <v>40407</v>
      </c>
      <c r="C241" s="198">
        <v>40407</v>
      </c>
      <c r="D241" s="69">
        <v>39679</v>
      </c>
      <c r="E241" s="70">
        <v>40407</v>
      </c>
      <c r="F241" s="71">
        <v>33</v>
      </c>
      <c r="G241" s="72"/>
      <c r="H241" s="82" t="s">
        <v>54</v>
      </c>
      <c r="I241" s="210"/>
      <c r="J241" s="210"/>
      <c r="K241" s="235">
        <v>4321.8823529411766</v>
      </c>
      <c r="L241" s="235">
        <v>743.52941176470586</v>
      </c>
      <c r="M241" s="235">
        <v>5065.4117647058829</v>
      </c>
      <c r="N241" s="235">
        <v>1600</v>
      </c>
      <c r="O241" s="235">
        <v>592.94117647058829</v>
      </c>
      <c r="P241" s="235">
        <v>2192.9411764705883</v>
      </c>
      <c r="Q241" s="235">
        <v>155.29411764705881</v>
      </c>
      <c r="R241" s="235">
        <v>0</v>
      </c>
      <c r="S241" s="235">
        <v>155.29411764705881</v>
      </c>
      <c r="T241" s="235">
        <v>508.23529411764707</v>
      </c>
      <c r="U241" s="235">
        <v>2738.8235294117649</v>
      </c>
      <c r="V241" s="235">
        <v>3247.0588235294117</v>
      </c>
      <c r="W241" s="235">
        <v>2263.5294117647059</v>
      </c>
      <c r="X241" s="235">
        <v>3331.7647058823532</v>
      </c>
      <c r="Y241" s="235">
        <v>5595.2941176470586</v>
      </c>
      <c r="Z241" s="200">
        <v>10660.705882352941</v>
      </c>
      <c r="AA241" s="235">
        <v>443.10588235294119</v>
      </c>
      <c r="AB241" s="235">
        <v>108.70588235294117</v>
      </c>
      <c r="AC241" s="235">
        <v>551.8117647058823</v>
      </c>
      <c r="AD241" s="235">
        <v>16.941176470588236</v>
      </c>
      <c r="AE241" s="235">
        <v>0</v>
      </c>
      <c r="AF241" s="235">
        <v>16.941176470588236</v>
      </c>
      <c r="AG241" s="235">
        <v>362.5411764705882</v>
      </c>
      <c r="AH241" s="235">
        <v>88.941176470588232</v>
      </c>
      <c r="AI241" s="235">
        <v>451.48235294117649</v>
      </c>
      <c r="AJ241" s="235">
        <v>56.470588235294116</v>
      </c>
      <c r="AK241" s="235">
        <v>224.94117647058823</v>
      </c>
      <c r="AL241" s="235">
        <v>281.41176470588238</v>
      </c>
      <c r="AM241" s="235">
        <v>435.95294117647057</v>
      </c>
      <c r="AN241" s="235">
        <v>313.88235294117646</v>
      </c>
      <c r="AO241" s="235">
        <v>749.83529411764709</v>
      </c>
      <c r="AP241" s="200">
        <v>1301.6470588235295</v>
      </c>
      <c r="AQ241" s="141">
        <v>0</v>
      </c>
      <c r="AR241" s="200">
        <v>5617.2235294117654</v>
      </c>
      <c r="AS241" s="200">
        <v>6345.1294117647058</v>
      </c>
      <c r="AT241" s="66">
        <v>11962.352941176472</v>
      </c>
      <c r="AU241" s="231">
        <v>517.64705882352939</v>
      </c>
      <c r="AV241" s="231">
        <v>75.367289773052079</v>
      </c>
      <c r="AW241" s="75">
        <v>18.823529411764707</v>
      </c>
      <c r="AX241" s="231">
        <v>272.94117647058823</v>
      </c>
      <c r="AY241" s="66">
        <v>884.77905447893454</v>
      </c>
      <c r="AZ241" s="202">
        <v>0</v>
      </c>
      <c r="BA241" s="87">
        <v>106.35294117647059</v>
      </c>
      <c r="BB241" s="87">
        <v>0</v>
      </c>
      <c r="BC241" s="87">
        <v>148.70588235294119</v>
      </c>
      <c r="BD241" s="87">
        <v>0</v>
      </c>
      <c r="BE241" s="87">
        <v>148.70588235294119</v>
      </c>
      <c r="BF241" s="87">
        <v>84.705882352941174</v>
      </c>
      <c r="BG241" s="66">
        <v>233.41176470588238</v>
      </c>
      <c r="BH241" s="67">
        <v>13080.543760361288</v>
      </c>
      <c r="BI241" s="67">
        <v>1108093.5961105253</v>
      </c>
    </row>
    <row r="242" spans="1:61" x14ac:dyDescent="0.25">
      <c r="A242" s="142">
        <v>0</v>
      </c>
      <c r="B242" s="68">
        <v>40408</v>
      </c>
      <c r="C242" s="198">
        <v>40408</v>
      </c>
      <c r="D242" s="69">
        <v>39680</v>
      </c>
      <c r="E242" s="70">
        <v>40408</v>
      </c>
      <c r="F242" s="71">
        <v>33</v>
      </c>
      <c r="G242" s="72"/>
      <c r="H242" s="82" t="s">
        <v>54</v>
      </c>
      <c r="I242" s="210"/>
      <c r="J242" s="210"/>
      <c r="K242" s="235">
        <v>3408.9411764705883</v>
      </c>
      <c r="L242" s="235">
        <v>752.94117647058829</v>
      </c>
      <c r="M242" s="235">
        <v>4161.8823529411766</v>
      </c>
      <c r="N242" s="235">
        <v>1308.2352941176471</v>
      </c>
      <c r="O242" s="235">
        <v>564.70588235294122</v>
      </c>
      <c r="P242" s="235">
        <v>1872.9411764705883</v>
      </c>
      <c r="Q242" s="235">
        <v>178.8235294117647</v>
      </c>
      <c r="R242" s="235">
        <v>0</v>
      </c>
      <c r="S242" s="235">
        <v>178.8235294117647</v>
      </c>
      <c r="T242" s="235">
        <v>423.52941176470586</v>
      </c>
      <c r="U242" s="235">
        <v>2823.5294117647059</v>
      </c>
      <c r="V242" s="235">
        <v>3247.0588235294117</v>
      </c>
      <c r="W242" s="235">
        <v>1910.5882352941176</v>
      </c>
      <c r="X242" s="235">
        <v>3388.2352941176468</v>
      </c>
      <c r="Y242" s="235">
        <v>5298.8235294117649</v>
      </c>
      <c r="Z242" s="200">
        <v>9460.7058823529405</v>
      </c>
      <c r="AA242" s="235">
        <v>377.36470588235295</v>
      </c>
      <c r="AB242" s="235">
        <v>81.270588235294113</v>
      </c>
      <c r="AC242" s="235">
        <v>458.63529411764699</v>
      </c>
      <c r="AD242" s="235">
        <v>10.352941176470589</v>
      </c>
      <c r="AE242" s="235">
        <v>0</v>
      </c>
      <c r="AF242" s="235">
        <v>10.352941176470589</v>
      </c>
      <c r="AG242" s="235">
        <v>308.75294117647059</v>
      </c>
      <c r="AH242" s="235">
        <v>66.494117647058829</v>
      </c>
      <c r="AI242" s="235">
        <v>375.24705882352947</v>
      </c>
      <c r="AJ242" s="235">
        <v>32.941176470588232</v>
      </c>
      <c r="AK242" s="235">
        <v>253.1764705882353</v>
      </c>
      <c r="AL242" s="235">
        <v>286.11764705882354</v>
      </c>
      <c r="AM242" s="235">
        <v>352.04705882352943</v>
      </c>
      <c r="AN242" s="235">
        <v>319.67058823529408</v>
      </c>
      <c r="AO242" s="235">
        <v>671.71764705882356</v>
      </c>
      <c r="AP242" s="200">
        <v>1130.3529411764705</v>
      </c>
      <c r="AQ242" s="141">
        <v>0</v>
      </c>
      <c r="AR242" s="200">
        <v>4620.517647058824</v>
      </c>
      <c r="AS242" s="200">
        <v>5970.5411764705887</v>
      </c>
      <c r="AT242" s="66">
        <v>10591.058823529413</v>
      </c>
      <c r="AU242" s="231">
        <v>423.52941176470586</v>
      </c>
      <c r="AV242" s="231">
        <v>47.104556108157553</v>
      </c>
      <c r="AW242" s="75">
        <v>9.4117647058823533</v>
      </c>
      <c r="AX242" s="231">
        <v>230.58823529411765</v>
      </c>
      <c r="AY242" s="66">
        <v>710.63396787286342</v>
      </c>
      <c r="AZ242" s="202">
        <v>0</v>
      </c>
      <c r="BA242" s="87">
        <v>0</v>
      </c>
      <c r="BB242" s="87">
        <v>0</v>
      </c>
      <c r="BC242" s="87">
        <v>23.529411764705884</v>
      </c>
      <c r="BD242" s="87">
        <v>0</v>
      </c>
      <c r="BE242" s="87">
        <v>23.529411764705884</v>
      </c>
      <c r="BF242" s="87">
        <v>52.705882352941174</v>
      </c>
      <c r="BG242" s="66">
        <v>76.235294117647058</v>
      </c>
      <c r="BH242" s="67">
        <v>11377.928085519923</v>
      </c>
      <c r="BI242" s="67">
        <v>1119471.5241960452</v>
      </c>
    </row>
    <row r="243" spans="1:61" x14ac:dyDescent="0.25">
      <c r="A243" s="142">
        <v>0</v>
      </c>
      <c r="B243" s="68">
        <v>40409</v>
      </c>
      <c r="C243" s="198">
        <v>40409</v>
      </c>
      <c r="D243" s="69">
        <v>39681</v>
      </c>
      <c r="E243" s="70">
        <v>40409</v>
      </c>
      <c r="F243" s="71">
        <v>33</v>
      </c>
      <c r="G243" s="72"/>
      <c r="H243" s="82" t="s">
        <v>54</v>
      </c>
      <c r="I243" s="210"/>
      <c r="J243" s="210"/>
      <c r="K243" s="235">
        <v>4047.0588235294117</v>
      </c>
      <c r="L243" s="235">
        <v>564.70588235294122</v>
      </c>
      <c r="M243" s="235">
        <v>4611.7647058823532</v>
      </c>
      <c r="N243" s="235">
        <v>1355.2941176470588</v>
      </c>
      <c r="O243" s="235">
        <v>376.47058823529414</v>
      </c>
      <c r="P243" s="235">
        <v>1731.7647058823529</v>
      </c>
      <c r="Q243" s="235">
        <v>145.88235294117646</v>
      </c>
      <c r="R243" s="235">
        <v>0</v>
      </c>
      <c r="S243" s="235">
        <v>145.88235294117646</v>
      </c>
      <c r="T243" s="235">
        <v>461.1764705882353</v>
      </c>
      <c r="U243" s="235">
        <v>2738.8235294117649</v>
      </c>
      <c r="V243" s="235">
        <v>3200</v>
      </c>
      <c r="W243" s="235">
        <v>1962.3529411764705</v>
      </c>
      <c r="X243" s="235">
        <v>3115.294117647059</v>
      </c>
      <c r="Y243" s="235">
        <v>5077.6470588235297</v>
      </c>
      <c r="Z243" s="200">
        <v>9689.4117647058829</v>
      </c>
      <c r="AA243" s="235">
        <v>448.8</v>
      </c>
      <c r="AB243" s="235">
        <v>44.517647058823528</v>
      </c>
      <c r="AC243" s="235">
        <v>493.31764705882352</v>
      </c>
      <c r="AD243" s="235">
        <v>7.5294117647058822</v>
      </c>
      <c r="AE243" s="235">
        <v>0</v>
      </c>
      <c r="AF243" s="235">
        <v>7.5294117647058822</v>
      </c>
      <c r="AG243" s="235">
        <v>367.2</v>
      </c>
      <c r="AH243" s="235">
        <v>36.423529411764711</v>
      </c>
      <c r="AI243" s="235">
        <v>403.62352941176465</v>
      </c>
      <c r="AJ243" s="235">
        <v>60.235294117647058</v>
      </c>
      <c r="AK243" s="235">
        <v>268.23529411764707</v>
      </c>
      <c r="AL243" s="235">
        <v>328.47058823529414</v>
      </c>
      <c r="AM243" s="235">
        <v>434.96470588235292</v>
      </c>
      <c r="AN243" s="235">
        <v>304.65882352941173</v>
      </c>
      <c r="AO243" s="235">
        <v>739.62352941176459</v>
      </c>
      <c r="AP243" s="200">
        <v>1232.9411764705883</v>
      </c>
      <c r="AQ243" s="141">
        <v>0</v>
      </c>
      <c r="AR243" s="200">
        <v>5105.0823529411764</v>
      </c>
      <c r="AS243" s="200">
        <v>5817.2705882352948</v>
      </c>
      <c r="AT243" s="66">
        <v>10922.352941176472</v>
      </c>
      <c r="AU243" s="231">
        <v>470.58823529411762</v>
      </c>
      <c r="AV243" s="231">
        <v>70.588235294117652</v>
      </c>
      <c r="AW243" s="75">
        <v>7.5294117647058822</v>
      </c>
      <c r="AX243" s="231">
        <v>197.64705882352942</v>
      </c>
      <c r="AY243" s="66">
        <v>746.35294117647049</v>
      </c>
      <c r="AZ243" s="202">
        <v>0</v>
      </c>
      <c r="BA243" s="87">
        <v>26.352941176470587</v>
      </c>
      <c r="BB243" s="87">
        <v>0</v>
      </c>
      <c r="BC243" s="87">
        <v>26.352941176470587</v>
      </c>
      <c r="BD243" s="87">
        <v>0</v>
      </c>
      <c r="BE243" s="87">
        <v>26.352941176470587</v>
      </c>
      <c r="BF243" s="87">
        <v>141.1764705882353</v>
      </c>
      <c r="BG243" s="66">
        <v>167.52941176470588</v>
      </c>
      <c r="BH243" s="67">
        <v>11836.235294117649</v>
      </c>
      <c r="BI243" s="67">
        <v>1131307.7594901628</v>
      </c>
    </row>
    <row r="244" spans="1:61" x14ac:dyDescent="0.25">
      <c r="A244" s="142">
        <v>0</v>
      </c>
      <c r="B244" s="68">
        <v>40410</v>
      </c>
      <c r="C244" s="198">
        <v>40410</v>
      </c>
      <c r="D244" s="69">
        <v>39682</v>
      </c>
      <c r="E244" s="70">
        <v>40410</v>
      </c>
      <c r="F244" s="71">
        <v>33</v>
      </c>
      <c r="G244" s="72"/>
      <c r="H244" s="82" t="s">
        <v>54</v>
      </c>
      <c r="I244" s="210"/>
      <c r="J244" s="210"/>
      <c r="K244" s="235">
        <v>2729.4117647058824</v>
      </c>
      <c r="L244" s="235">
        <v>282.35294117647061</v>
      </c>
      <c r="M244" s="235">
        <v>3011.7647058823532</v>
      </c>
      <c r="N244" s="235">
        <v>1138.8235294117646</v>
      </c>
      <c r="O244" s="235">
        <v>282.35294117647061</v>
      </c>
      <c r="P244" s="235">
        <v>1421.1764705882354</v>
      </c>
      <c r="Q244" s="235">
        <v>89.411764705882348</v>
      </c>
      <c r="R244" s="235">
        <v>0</v>
      </c>
      <c r="S244" s="235">
        <v>89.411764705882348</v>
      </c>
      <c r="T244" s="235">
        <v>705.88235294117646</v>
      </c>
      <c r="U244" s="235">
        <v>2089.4117647058824</v>
      </c>
      <c r="V244" s="235">
        <v>2795.294117647059</v>
      </c>
      <c r="W244" s="235">
        <v>1934.1176470588234</v>
      </c>
      <c r="X244" s="235">
        <v>2371.7647058823532</v>
      </c>
      <c r="Y244" s="235">
        <v>4305.8823529411766</v>
      </c>
      <c r="Z244" s="200">
        <v>7317.6470588235297</v>
      </c>
      <c r="AA244" s="235">
        <v>442.58823529411762</v>
      </c>
      <c r="AB244" s="235">
        <v>40.894117647058827</v>
      </c>
      <c r="AC244" s="235">
        <v>483.48235294117649</v>
      </c>
      <c r="AD244" s="235">
        <v>9.4117647058823533</v>
      </c>
      <c r="AE244" s="235">
        <v>0</v>
      </c>
      <c r="AF244" s="235">
        <v>9.4117647058823533</v>
      </c>
      <c r="AG244" s="235">
        <v>362.11764705882354</v>
      </c>
      <c r="AH244" s="235">
        <v>33.45882352941176</v>
      </c>
      <c r="AI244" s="235">
        <v>395.57647058823528</v>
      </c>
      <c r="AJ244" s="235">
        <v>107.29411764705883</v>
      </c>
      <c r="AK244" s="235">
        <v>225.88235294117646</v>
      </c>
      <c r="AL244" s="235">
        <v>333.1764705882353</v>
      </c>
      <c r="AM244" s="235">
        <v>478.8235294117647</v>
      </c>
      <c r="AN244" s="235">
        <v>259.34117647058827</v>
      </c>
      <c r="AO244" s="235">
        <v>738.16470588235291</v>
      </c>
      <c r="AP244" s="200">
        <v>1221.6470588235295</v>
      </c>
      <c r="AQ244" s="141">
        <v>0</v>
      </c>
      <c r="AR244" s="200">
        <v>3495.2470588235296</v>
      </c>
      <c r="AS244" s="200">
        <v>5044.0470588235294</v>
      </c>
      <c r="AT244" s="66">
        <v>8539.2941176470595</v>
      </c>
      <c r="AU244" s="231">
        <v>470.58823529411762</v>
      </c>
      <c r="AV244" s="231">
        <v>47.104556108157553</v>
      </c>
      <c r="AW244" s="75">
        <v>6.5882352941176467</v>
      </c>
      <c r="AX244" s="231">
        <v>207.05882352941177</v>
      </c>
      <c r="AY244" s="66">
        <v>731.33985022580464</v>
      </c>
      <c r="AZ244" s="202">
        <v>0</v>
      </c>
      <c r="BA244" s="87">
        <v>42.352941176470587</v>
      </c>
      <c r="BB244" s="87">
        <v>45.176470588235297</v>
      </c>
      <c r="BC244" s="87">
        <v>94.117647058823536</v>
      </c>
      <c r="BD244" s="87">
        <v>45.176470588235297</v>
      </c>
      <c r="BE244" s="87">
        <v>139.29411764705881</v>
      </c>
      <c r="BF244" s="87">
        <v>122.35294117647059</v>
      </c>
      <c r="BG244" s="66">
        <v>261.64705882352939</v>
      </c>
      <c r="BH244" s="67">
        <v>9532.2810266963934</v>
      </c>
      <c r="BI244" s="67">
        <v>1140840.0405168592</v>
      </c>
    </row>
    <row r="245" spans="1:61" x14ac:dyDescent="0.25">
      <c r="A245" s="142">
        <v>0</v>
      </c>
      <c r="B245" s="85">
        <v>40411</v>
      </c>
      <c r="C245" s="203">
        <v>40411</v>
      </c>
      <c r="D245" s="76">
        <v>39683</v>
      </c>
      <c r="E245" s="77">
        <v>40411</v>
      </c>
      <c r="F245" s="78">
        <v>33</v>
      </c>
      <c r="G245" s="79"/>
      <c r="H245" s="80" t="s">
        <v>54</v>
      </c>
      <c r="I245" s="212"/>
      <c r="J245" s="212"/>
      <c r="K245" s="235">
        <v>2536.4705882352941</v>
      </c>
      <c r="L245" s="235">
        <v>277.64705882352939</v>
      </c>
      <c r="M245" s="231">
        <v>2814.1176470588234</v>
      </c>
      <c r="N245" s="231">
        <v>1110.5882352941176</v>
      </c>
      <c r="O245" s="231">
        <v>235.29411764705881</v>
      </c>
      <c r="P245" s="231">
        <v>1345.8823529411766</v>
      </c>
      <c r="Q245" s="231">
        <v>72.470588235294116</v>
      </c>
      <c r="R245" s="231">
        <v>0</v>
      </c>
      <c r="S245" s="231">
        <v>72.470588235294116</v>
      </c>
      <c r="T245" s="231">
        <v>687.05882352941171</v>
      </c>
      <c r="U245" s="231">
        <v>1920</v>
      </c>
      <c r="V245" s="231">
        <v>2607.0588235294117</v>
      </c>
      <c r="W245" s="231">
        <v>1870.1176470588234</v>
      </c>
      <c r="X245" s="231">
        <v>2155.294117647059</v>
      </c>
      <c r="Y245" s="231">
        <v>4025.4117647058824</v>
      </c>
      <c r="Z245" s="200">
        <v>6839.5294117647063</v>
      </c>
      <c r="AA245" s="231">
        <v>225.69411764705885</v>
      </c>
      <c r="AB245" s="231">
        <v>39.858823529411765</v>
      </c>
      <c r="AC245" s="231">
        <v>265.5529411764706</v>
      </c>
      <c r="AD245" s="231">
        <v>10.352941176470589</v>
      </c>
      <c r="AE245" s="231">
        <v>0</v>
      </c>
      <c r="AF245" s="231">
        <v>10.352941176470589</v>
      </c>
      <c r="AG245" s="231">
        <v>184.65882352941176</v>
      </c>
      <c r="AH245" s="231">
        <v>32.611764705882351</v>
      </c>
      <c r="AI245" s="231">
        <v>217.2705882352941</v>
      </c>
      <c r="AJ245" s="231">
        <v>65.882352941176464</v>
      </c>
      <c r="AK245" s="231">
        <v>160.94117647058823</v>
      </c>
      <c r="AL245" s="231">
        <v>226.8235294117647</v>
      </c>
      <c r="AM245" s="231">
        <v>260.89411764705881</v>
      </c>
      <c r="AN245" s="231">
        <v>193.5529411764706</v>
      </c>
      <c r="AO245" s="231">
        <v>454.44705882352946</v>
      </c>
      <c r="AP245" s="200">
        <v>720</v>
      </c>
      <c r="AQ245" s="141">
        <v>0</v>
      </c>
      <c r="AR245" s="200">
        <v>3079.670588235294</v>
      </c>
      <c r="AS245" s="200">
        <v>4479.8588235294119</v>
      </c>
      <c r="AT245" s="66">
        <v>7559.5294117647063</v>
      </c>
      <c r="AU245" s="231">
        <v>423.52941176470586</v>
      </c>
      <c r="AV245" s="231">
        <v>56.525467329789052</v>
      </c>
      <c r="AW245" s="75">
        <v>0</v>
      </c>
      <c r="AX245" s="231">
        <v>216.47058823529412</v>
      </c>
      <c r="AY245" s="66">
        <v>696.52546732978908</v>
      </c>
      <c r="AZ245" s="208">
        <v>0</v>
      </c>
      <c r="BA245" s="87">
        <v>112.94117647058823</v>
      </c>
      <c r="BB245" s="87">
        <v>103.52941176470588</v>
      </c>
      <c r="BC245" s="87">
        <v>145.88235294117646</v>
      </c>
      <c r="BD245" s="87">
        <v>132.70588235294119</v>
      </c>
      <c r="BE245" s="87">
        <v>278.58823529411762</v>
      </c>
      <c r="BF245" s="87">
        <v>89.411764705882348</v>
      </c>
      <c r="BG245" s="66">
        <v>368</v>
      </c>
      <c r="BH245" s="67">
        <v>8624.0548790944958</v>
      </c>
      <c r="BI245" s="67">
        <v>1149464.0953959536</v>
      </c>
    </row>
    <row r="246" spans="1:61" x14ac:dyDescent="0.25">
      <c r="A246" s="142">
        <v>0</v>
      </c>
      <c r="B246" s="85">
        <v>40412</v>
      </c>
      <c r="C246" s="203">
        <v>40412</v>
      </c>
      <c r="D246" s="76">
        <v>39684</v>
      </c>
      <c r="E246" s="77">
        <v>40412</v>
      </c>
      <c r="F246" s="78">
        <v>33</v>
      </c>
      <c r="G246" s="79"/>
      <c r="H246" s="80" t="s">
        <v>54</v>
      </c>
      <c r="I246" s="212"/>
      <c r="J246" s="212"/>
      <c r="K246" s="235">
        <v>2414.1176470588234</v>
      </c>
      <c r="L246" s="235">
        <v>305.88235294117646</v>
      </c>
      <c r="M246" s="231">
        <v>2720</v>
      </c>
      <c r="N246" s="231">
        <v>771.76470588235293</v>
      </c>
      <c r="O246" s="231">
        <v>169.41176470588235</v>
      </c>
      <c r="P246" s="231">
        <v>941.17647058823525</v>
      </c>
      <c r="Q246" s="231">
        <v>69.647058823529406</v>
      </c>
      <c r="R246" s="231">
        <v>0</v>
      </c>
      <c r="S246" s="231">
        <v>69.647058823529406</v>
      </c>
      <c r="T246" s="231">
        <v>498.8235294117647</v>
      </c>
      <c r="U246" s="231">
        <v>1727.0588235294117</v>
      </c>
      <c r="V246" s="231">
        <v>2225.8823529411766</v>
      </c>
      <c r="W246" s="231">
        <v>1340.2352941176471</v>
      </c>
      <c r="X246" s="231">
        <v>1896.4705882352941</v>
      </c>
      <c r="Y246" s="231">
        <v>3236.705882352941</v>
      </c>
      <c r="Z246" s="200">
        <v>5956.7058823529414</v>
      </c>
      <c r="AA246" s="231">
        <v>185.83529411764704</v>
      </c>
      <c r="AB246" s="231">
        <v>36.752941176470586</v>
      </c>
      <c r="AC246" s="231">
        <v>222.58823529411765</v>
      </c>
      <c r="AD246" s="231">
        <v>1.8823529411764706</v>
      </c>
      <c r="AE246" s="231">
        <v>0</v>
      </c>
      <c r="AF246" s="231">
        <v>1.8823529411764706</v>
      </c>
      <c r="AG246" s="231">
        <v>152.04705882352943</v>
      </c>
      <c r="AH246" s="231">
        <v>30.070588235294117</v>
      </c>
      <c r="AI246" s="231">
        <v>182.11764705882354</v>
      </c>
      <c r="AJ246" s="231">
        <v>40.470588235294116</v>
      </c>
      <c r="AK246" s="231">
        <v>149.64705882352942</v>
      </c>
      <c r="AL246" s="231">
        <v>190.11764705882354</v>
      </c>
      <c r="AM246" s="231">
        <v>194.4</v>
      </c>
      <c r="AN246" s="231">
        <v>179.71764705882353</v>
      </c>
      <c r="AO246" s="231">
        <v>374.11764705882354</v>
      </c>
      <c r="AP246" s="200">
        <v>596.70588235294122</v>
      </c>
      <c r="AQ246" s="141">
        <v>0</v>
      </c>
      <c r="AR246" s="200">
        <v>2942.5882352941176</v>
      </c>
      <c r="AS246" s="200">
        <v>3610.8235294117644</v>
      </c>
      <c r="AT246" s="66">
        <v>6553.411764705882</v>
      </c>
      <c r="AU246" s="231">
        <v>282.35294117647061</v>
      </c>
      <c r="AV246" s="231">
        <v>65.882352941176464</v>
      </c>
      <c r="AW246" s="75">
        <v>0</v>
      </c>
      <c r="AX246" s="231">
        <v>141.1764705882353</v>
      </c>
      <c r="AY246" s="66">
        <v>489.41176470588238</v>
      </c>
      <c r="AZ246" s="208">
        <v>0</v>
      </c>
      <c r="BA246" s="87">
        <v>70.588235294117652</v>
      </c>
      <c r="BB246" s="87">
        <v>53.647058823529413</v>
      </c>
      <c r="BC246" s="87">
        <v>117.64705882352941</v>
      </c>
      <c r="BD246" s="87">
        <v>82.82352941176471</v>
      </c>
      <c r="BE246" s="87">
        <v>200.47058823529412</v>
      </c>
      <c r="BF246" s="87">
        <v>37.647058823529413</v>
      </c>
      <c r="BG246" s="66">
        <v>238.11764705882354</v>
      </c>
      <c r="BH246" s="67">
        <v>7280.9411764705874</v>
      </c>
      <c r="BI246" s="67">
        <v>1156745.0365724242</v>
      </c>
    </row>
    <row r="247" spans="1:61" x14ac:dyDescent="0.25">
      <c r="A247" s="142">
        <v>0</v>
      </c>
      <c r="B247" s="68">
        <v>40413</v>
      </c>
      <c r="C247" s="198">
        <v>40413</v>
      </c>
      <c r="D247" s="69">
        <v>39685</v>
      </c>
      <c r="E247" s="70">
        <v>40413</v>
      </c>
      <c r="F247" s="71">
        <v>34</v>
      </c>
      <c r="G247" s="72"/>
      <c r="H247" s="82" t="s">
        <v>54</v>
      </c>
      <c r="I247" s="210"/>
      <c r="J247" s="210"/>
      <c r="K247" s="235">
        <v>2624</v>
      </c>
      <c r="L247" s="235">
        <v>357.64705882352939</v>
      </c>
      <c r="M247" s="231">
        <v>2981.6470588235293</v>
      </c>
      <c r="N247" s="231">
        <v>818.82352941176475</v>
      </c>
      <c r="O247" s="231">
        <v>197.64705882352942</v>
      </c>
      <c r="P247" s="231">
        <v>1016.4705882352941</v>
      </c>
      <c r="Q247" s="231">
        <v>68.705882352941174</v>
      </c>
      <c r="R247" s="231">
        <v>0</v>
      </c>
      <c r="S247" s="231">
        <v>68.705882352941174</v>
      </c>
      <c r="T247" s="231">
        <v>470.58823529411762</v>
      </c>
      <c r="U247" s="231">
        <v>1590.5882352941176</v>
      </c>
      <c r="V247" s="231">
        <v>2061.1764705882351</v>
      </c>
      <c r="W247" s="231">
        <v>1358.1176470588234</v>
      </c>
      <c r="X247" s="231">
        <v>1788.2352941176471</v>
      </c>
      <c r="Y247" s="231">
        <v>3146.3529411764707</v>
      </c>
      <c r="Z247" s="200">
        <v>6128</v>
      </c>
      <c r="AA247" s="231">
        <v>425.50588235294117</v>
      </c>
      <c r="AB247" s="231">
        <v>46.070588235294117</v>
      </c>
      <c r="AC247" s="231">
        <v>471.57647058823528</v>
      </c>
      <c r="AD247" s="231">
        <v>15.058823529411764</v>
      </c>
      <c r="AE247" s="231">
        <v>0</v>
      </c>
      <c r="AF247" s="231">
        <v>15.058823529411764</v>
      </c>
      <c r="AG247" s="231">
        <v>348.14117647058822</v>
      </c>
      <c r="AH247" s="231">
        <v>37.694117647058818</v>
      </c>
      <c r="AI247" s="231">
        <v>385.83529411764704</v>
      </c>
      <c r="AJ247" s="231">
        <v>51.764705882352942</v>
      </c>
      <c r="AK247" s="231">
        <v>155.29411764705881</v>
      </c>
      <c r="AL247" s="231">
        <v>207.05882352941177</v>
      </c>
      <c r="AM247" s="231">
        <v>414.96470588235292</v>
      </c>
      <c r="AN247" s="231">
        <v>192.98823529411766</v>
      </c>
      <c r="AO247" s="231">
        <v>607.95294117647063</v>
      </c>
      <c r="AP247" s="200">
        <v>1079.5294117647059</v>
      </c>
      <c r="AQ247" s="141">
        <v>0</v>
      </c>
      <c r="AR247" s="200">
        <v>3453.2235294117645</v>
      </c>
      <c r="AS247" s="200">
        <v>3754.3058823529414</v>
      </c>
      <c r="AT247" s="66">
        <v>7207.5294117647063</v>
      </c>
      <c r="AU247" s="231">
        <v>282.35294117647061</v>
      </c>
      <c r="AV247" s="231">
        <v>75.294117647058826</v>
      </c>
      <c r="AW247" s="75">
        <v>19.764705882352942</v>
      </c>
      <c r="AX247" s="231">
        <v>192.94117647058823</v>
      </c>
      <c r="AY247" s="66">
        <v>570.35294117647061</v>
      </c>
      <c r="AZ247" s="202">
        <v>0</v>
      </c>
      <c r="BA247" s="87">
        <v>24.470588235294116</v>
      </c>
      <c r="BB247" s="87">
        <v>0</v>
      </c>
      <c r="BC247" s="87">
        <v>71.529411764705884</v>
      </c>
      <c r="BD247" s="87">
        <v>0</v>
      </c>
      <c r="BE247" s="87">
        <v>71.529411764705884</v>
      </c>
      <c r="BF247" s="87">
        <v>18.823529411764707</v>
      </c>
      <c r="BG247" s="66">
        <v>90.352941176470594</v>
      </c>
      <c r="BH247" s="67">
        <v>7868.2352941176478</v>
      </c>
      <c r="BI247" s="67">
        <v>1164613.2718665418</v>
      </c>
    </row>
    <row r="248" spans="1:61" x14ac:dyDescent="0.25">
      <c r="A248" s="142">
        <v>0</v>
      </c>
      <c r="B248" s="68">
        <v>40414</v>
      </c>
      <c r="C248" s="198">
        <v>40414</v>
      </c>
      <c r="D248" s="69">
        <v>39686</v>
      </c>
      <c r="E248" s="70">
        <v>40414</v>
      </c>
      <c r="F248" s="71">
        <v>34</v>
      </c>
      <c r="G248" s="72"/>
      <c r="H248" s="82" t="s">
        <v>54</v>
      </c>
      <c r="I248" s="210"/>
      <c r="J248" s="210"/>
      <c r="K248" s="235">
        <v>3094.5882352941176</v>
      </c>
      <c r="L248" s="235">
        <v>456.47058823529414</v>
      </c>
      <c r="M248" s="231">
        <v>3551.0588235294117</v>
      </c>
      <c r="N248" s="231">
        <v>847.05882352941171</v>
      </c>
      <c r="O248" s="231">
        <v>291.76470588235293</v>
      </c>
      <c r="P248" s="231">
        <v>1138.8235294117646</v>
      </c>
      <c r="Q248" s="231">
        <v>70.588235294117652</v>
      </c>
      <c r="R248" s="231">
        <v>0</v>
      </c>
      <c r="S248" s="231">
        <v>70.588235294117652</v>
      </c>
      <c r="T248" s="231">
        <v>376.47058823529414</v>
      </c>
      <c r="U248" s="231">
        <v>2070.5882352941176</v>
      </c>
      <c r="V248" s="231">
        <v>2447.0588235294117</v>
      </c>
      <c r="W248" s="231">
        <v>1294.1176470588234</v>
      </c>
      <c r="X248" s="231">
        <v>2362.3529411764707</v>
      </c>
      <c r="Y248" s="231">
        <v>3656.4705882352941</v>
      </c>
      <c r="Z248" s="200">
        <v>7207.5294117647063</v>
      </c>
      <c r="AA248" s="231">
        <v>460.70588235294116</v>
      </c>
      <c r="AB248" s="231">
        <v>54.352941176470587</v>
      </c>
      <c r="AC248" s="231">
        <v>515.05882352941171</v>
      </c>
      <c r="AD248" s="231">
        <v>22.588235294117649</v>
      </c>
      <c r="AE248" s="231">
        <v>0</v>
      </c>
      <c r="AF248" s="231">
        <v>22.588235294117649</v>
      </c>
      <c r="AG248" s="231">
        <v>376.94117647058823</v>
      </c>
      <c r="AH248" s="231">
        <v>44.470588235294116</v>
      </c>
      <c r="AI248" s="231">
        <v>421.41176470588238</v>
      </c>
      <c r="AJ248" s="231">
        <v>51.764705882352942</v>
      </c>
      <c r="AK248" s="231">
        <v>192</v>
      </c>
      <c r="AL248" s="231">
        <v>243.76470588235293</v>
      </c>
      <c r="AM248" s="231">
        <v>451.29411764705884</v>
      </c>
      <c r="AN248" s="231">
        <v>236.47058823529412</v>
      </c>
      <c r="AO248" s="231">
        <v>687.76470588235293</v>
      </c>
      <c r="AP248" s="200">
        <v>1202.8235294117646</v>
      </c>
      <c r="AQ248" s="141">
        <v>0</v>
      </c>
      <c r="AR248" s="200">
        <v>4066.1176470588234</v>
      </c>
      <c r="AS248" s="200">
        <v>4344.2352941176468</v>
      </c>
      <c r="AT248" s="66">
        <v>8410.3529411764703</v>
      </c>
      <c r="AU248" s="231">
        <v>235.29411764705881</v>
      </c>
      <c r="AV248" s="231">
        <v>103.52941176470588</v>
      </c>
      <c r="AW248" s="75">
        <v>988.23529411764707</v>
      </c>
      <c r="AX248" s="231">
        <v>705.88235294117646</v>
      </c>
      <c r="AY248" s="66">
        <v>2032.9411764705883</v>
      </c>
      <c r="AZ248" s="202">
        <v>0</v>
      </c>
      <c r="BA248" s="87">
        <v>0</v>
      </c>
      <c r="BB248" s="87">
        <v>0</v>
      </c>
      <c r="BC248" s="87">
        <v>37.647058823529413</v>
      </c>
      <c r="BD248" s="87">
        <v>0</v>
      </c>
      <c r="BE248" s="87">
        <v>37.647058823529413</v>
      </c>
      <c r="BF248" s="87">
        <v>150.58823529411765</v>
      </c>
      <c r="BG248" s="66">
        <v>188.23529411764707</v>
      </c>
      <c r="BH248" s="67">
        <v>10631.529411764706</v>
      </c>
      <c r="BI248" s="67">
        <v>1175244.8012783066</v>
      </c>
    </row>
    <row r="249" spans="1:61" x14ac:dyDescent="0.25">
      <c r="A249" s="142">
        <v>0</v>
      </c>
      <c r="B249" s="68">
        <v>40415</v>
      </c>
      <c r="C249" s="198">
        <v>40415</v>
      </c>
      <c r="D249" s="69">
        <v>39687</v>
      </c>
      <c r="E249" s="70">
        <v>40415</v>
      </c>
      <c r="F249" s="71">
        <v>34</v>
      </c>
      <c r="G249" s="72"/>
      <c r="H249" s="82" t="s">
        <v>54</v>
      </c>
      <c r="I249" s="210"/>
      <c r="J249" s="210"/>
      <c r="K249" s="235">
        <v>3050.3529411764707</v>
      </c>
      <c r="L249" s="235">
        <v>417.88235294117646</v>
      </c>
      <c r="M249" s="231">
        <v>3468.2352941176473</v>
      </c>
      <c r="N249" s="231">
        <v>941.17647058823525</v>
      </c>
      <c r="O249" s="231">
        <v>320</v>
      </c>
      <c r="P249" s="231">
        <v>1261.1764705882354</v>
      </c>
      <c r="Q249" s="231">
        <v>84.705882352941174</v>
      </c>
      <c r="R249" s="231">
        <v>0</v>
      </c>
      <c r="S249" s="231">
        <v>84.705882352941174</v>
      </c>
      <c r="T249" s="231">
        <v>367.05882352941177</v>
      </c>
      <c r="U249" s="231">
        <v>1882.3529411764705</v>
      </c>
      <c r="V249" s="231">
        <v>2249.4117647058824</v>
      </c>
      <c r="W249" s="231">
        <v>1392.9411764705883</v>
      </c>
      <c r="X249" s="231">
        <v>2202.3529411764707</v>
      </c>
      <c r="Y249" s="231">
        <v>3595.294117647059</v>
      </c>
      <c r="Z249" s="200">
        <v>7063.5294117647063</v>
      </c>
      <c r="AA249" s="231">
        <v>279.52941176470586</v>
      </c>
      <c r="AB249" s="231">
        <v>33.647058823529413</v>
      </c>
      <c r="AC249" s="231">
        <v>313.1764705882353</v>
      </c>
      <c r="AD249" s="231">
        <v>9.4117647058823533</v>
      </c>
      <c r="AE249" s="231">
        <v>0</v>
      </c>
      <c r="AF249" s="231">
        <v>9.4117647058823533</v>
      </c>
      <c r="AG249" s="231">
        <v>228.70588235294119</v>
      </c>
      <c r="AH249" s="231">
        <v>27.529411764705884</v>
      </c>
      <c r="AI249" s="231">
        <v>256.23529411764707</v>
      </c>
      <c r="AJ249" s="231">
        <v>42.352941176470587</v>
      </c>
      <c r="AK249" s="231">
        <v>197.64705882352942</v>
      </c>
      <c r="AL249" s="231">
        <v>240</v>
      </c>
      <c r="AM249" s="231">
        <v>280.47058823529414</v>
      </c>
      <c r="AN249" s="231">
        <v>225.1764705882353</v>
      </c>
      <c r="AO249" s="231">
        <v>505.64705882352939</v>
      </c>
      <c r="AP249" s="200">
        <v>818.82352941176475</v>
      </c>
      <c r="AQ249" s="141">
        <v>0</v>
      </c>
      <c r="AR249" s="200">
        <v>3781.4117647058824</v>
      </c>
      <c r="AS249" s="200">
        <v>4100.9411764705883</v>
      </c>
      <c r="AT249" s="66">
        <v>7882.3529411764703</v>
      </c>
      <c r="AU249" s="231">
        <v>282.35294117647061</v>
      </c>
      <c r="AV249" s="231">
        <v>95.058823529411768</v>
      </c>
      <c r="AW249" s="75">
        <v>0</v>
      </c>
      <c r="AX249" s="231">
        <v>296.47058823529414</v>
      </c>
      <c r="AY249" s="66">
        <v>673.88235294117658</v>
      </c>
      <c r="AZ249" s="202">
        <v>0</v>
      </c>
      <c r="BA249" s="87">
        <v>0</v>
      </c>
      <c r="BB249" s="87">
        <v>0</v>
      </c>
      <c r="BC249" s="87">
        <v>21.647058823529413</v>
      </c>
      <c r="BD249" s="87">
        <v>0</v>
      </c>
      <c r="BE249" s="87">
        <v>21.647058823529413</v>
      </c>
      <c r="BF249" s="87">
        <v>351.05882352941177</v>
      </c>
      <c r="BG249" s="66">
        <v>372.70588235294116</v>
      </c>
      <c r="BH249" s="67">
        <v>8928.9411764705874</v>
      </c>
      <c r="BI249" s="67">
        <v>1184173.7424547772</v>
      </c>
    </row>
    <row r="250" spans="1:61" x14ac:dyDescent="0.25">
      <c r="A250" s="142">
        <v>0</v>
      </c>
      <c r="B250" s="68">
        <v>40416</v>
      </c>
      <c r="C250" s="198">
        <v>40416</v>
      </c>
      <c r="D250" s="69">
        <v>39688</v>
      </c>
      <c r="E250" s="70">
        <v>40416</v>
      </c>
      <c r="F250" s="71">
        <v>34</v>
      </c>
      <c r="G250" s="72"/>
      <c r="H250" s="82" t="s">
        <v>54</v>
      </c>
      <c r="I250" s="210"/>
      <c r="J250" s="210"/>
      <c r="K250" s="235">
        <v>2812.2352941176468</v>
      </c>
      <c r="L250" s="235">
        <v>322.8235294117647</v>
      </c>
      <c r="M250" s="235">
        <v>3135.0588235294117</v>
      </c>
      <c r="N250" s="235">
        <v>875.29411764705878</v>
      </c>
      <c r="O250" s="235">
        <v>235.29411764705881</v>
      </c>
      <c r="P250" s="235">
        <v>1110.5882352941176</v>
      </c>
      <c r="Q250" s="235">
        <v>86.588235294117652</v>
      </c>
      <c r="R250" s="235">
        <v>0</v>
      </c>
      <c r="S250" s="235">
        <v>86.588235294117652</v>
      </c>
      <c r="T250" s="235">
        <v>470.58823529411762</v>
      </c>
      <c r="U250" s="235">
        <v>1694.1176470588234</v>
      </c>
      <c r="V250" s="235">
        <v>2164.705882352941</v>
      </c>
      <c r="W250" s="235">
        <v>1432.4705882352941</v>
      </c>
      <c r="X250" s="235">
        <v>1929.4117647058824</v>
      </c>
      <c r="Y250" s="235">
        <v>3361.8823529411766</v>
      </c>
      <c r="Z250" s="200">
        <v>6496.9411764705883</v>
      </c>
      <c r="AA250" s="235">
        <v>289.88235294117646</v>
      </c>
      <c r="AB250" s="235">
        <v>20.705882352941178</v>
      </c>
      <c r="AC250" s="235">
        <v>310.58823529411762</v>
      </c>
      <c r="AD250" s="235">
        <v>6.5882352941176467</v>
      </c>
      <c r="AE250" s="235">
        <v>0</v>
      </c>
      <c r="AF250" s="235">
        <v>6.5882352941176467</v>
      </c>
      <c r="AG250" s="235">
        <v>237.1764705882353</v>
      </c>
      <c r="AH250" s="235">
        <v>16.941176470588236</v>
      </c>
      <c r="AI250" s="235">
        <v>254.11764705882354</v>
      </c>
      <c r="AJ250" s="235">
        <v>62.117647058823529</v>
      </c>
      <c r="AK250" s="235">
        <v>162.8235294117647</v>
      </c>
      <c r="AL250" s="235">
        <v>224.94117647058823</v>
      </c>
      <c r="AM250" s="235">
        <v>305.88235294117646</v>
      </c>
      <c r="AN250" s="235">
        <v>179.76470588235293</v>
      </c>
      <c r="AO250" s="235">
        <v>485.64705882352939</v>
      </c>
      <c r="AP250" s="200">
        <v>796.23529411764707</v>
      </c>
      <c r="AQ250" s="141">
        <v>0</v>
      </c>
      <c r="AR250" s="200">
        <v>3445.6470588235293</v>
      </c>
      <c r="AS250" s="200">
        <v>3847.5294117647059</v>
      </c>
      <c r="AT250" s="66">
        <v>7293.1764705882351</v>
      </c>
      <c r="AU250" s="235">
        <v>282.35294117647061</v>
      </c>
      <c r="AV250" s="235">
        <v>61.235922940604802</v>
      </c>
      <c r="AW250" s="75">
        <v>625.88235294117646</v>
      </c>
      <c r="AX250" s="235">
        <v>400</v>
      </c>
      <c r="AY250" s="66">
        <v>1369.4712170582518</v>
      </c>
      <c r="AZ250" s="202">
        <v>0</v>
      </c>
      <c r="BA250" s="87">
        <v>47.058823529411768</v>
      </c>
      <c r="BB250" s="87">
        <v>48.941176470588232</v>
      </c>
      <c r="BC250" s="87">
        <v>47.058823529411768</v>
      </c>
      <c r="BD250" s="87">
        <v>48.941176470588232</v>
      </c>
      <c r="BE250" s="87">
        <v>96</v>
      </c>
      <c r="BF250" s="87">
        <v>550.58823529411768</v>
      </c>
      <c r="BG250" s="66">
        <v>646.58823529411768</v>
      </c>
      <c r="BH250" s="67">
        <v>9309.2359229406047</v>
      </c>
      <c r="BI250" s="67">
        <v>1193482.9783777178</v>
      </c>
    </row>
    <row r="251" spans="1:61" x14ac:dyDescent="0.25">
      <c r="A251" s="142">
        <v>0</v>
      </c>
      <c r="B251" s="68">
        <v>40417</v>
      </c>
      <c r="C251" s="198">
        <v>40417</v>
      </c>
      <c r="D251" s="69">
        <v>39689</v>
      </c>
      <c r="E251" s="70">
        <v>40417</v>
      </c>
      <c r="F251" s="71">
        <v>34</v>
      </c>
      <c r="G251" s="72"/>
      <c r="H251" s="82" t="s">
        <v>54</v>
      </c>
      <c r="I251" s="210"/>
      <c r="J251" s="210"/>
      <c r="K251" s="235">
        <v>1902.1176470588234</v>
      </c>
      <c r="L251" s="235">
        <v>181.64705882352942</v>
      </c>
      <c r="M251" s="235">
        <v>2083.7647058823527</v>
      </c>
      <c r="N251" s="235">
        <v>640</v>
      </c>
      <c r="O251" s="235">
        <v>235.29411764705881</v>
      </c>
      <c r="P251" s="235">
        <v>875.29411764705878</v>
      </c>
      <c r="Q251" s="235">
        <v>65.882352941176464</v>
      </c>
      <c r="R251" s="235">
        <v>0</v>
      </c>
      <c r="S251" s="235">
        <v>65.882352941176464</v>
      </c>
      <c r="T251" s="235">
        <v>367.05882352941177</v>
      </c>
      <c r="U251" s="235">
        <v>1292.2352941176471</v>
      </c>
      <c r="V251" s="235">
        <v>1659.2941176470588</v>
      </c>
      <c r="W251" s="235">
        <v>1072.9411764705883</v>
      </c>
      <c r="X251" s="235">
        <v>1527.5294117647059</v>
      </c>
      <c r="Y251" s="235">
        <v>2600.4705882352941</v>
      </c>
      <c r="Z251" s="200">
        <v>4684.2352941176468</v>
      </c>
      <c r="AA251" s="235">
        <v>181.1764705882353</v>
      </c>
      <c r="AB251" s="235">
        <v>19.670588235294115</v>
      </c>
      <c r="AC251" s="235">
        <v>200.84705882352941</v>
      </c>
      <c r="AD251" s="235">
        <v>8.4705882352941178</v>
      </c>
      <c r="AE251" s="235">
        <v>0</v>
      </c>
      <c r="AF251" s="235">
        <v>8.4705882352941178</v>
      </c>
      <c r="AG251" s="235">
        <v>148.23529411764707</v>
      </c>
      <c r="AH251" s="235">
        <v>16.094117647058823</v>
      </c>
      <c r="AI251" s="235">
        <v>164.32941176470587</v>
      </c>
      <c r="AJ251" s="235">
        <v>64</v>
      </c>
      <c r="AK251" s="235">
        <v>120.47058823529412</v>
      </c>
      <c r="AL251" s="235">
        <v>184.47058823529412</v>
      </c>
      <c r="AM251" s="235">
        <v>220.70588235294119</v>
      </c>
      <c r="AN251" s="235">
        <v>136.56470588235294</v>
      </c>
      <c r="AO251" s="235">
        <v>357.27058823529416</v>
      </c>
      <c r="AP251" s="200">
        <v>558.11764705882354</v>
      </c>
      <c r="AQ251" s="141">
        <v>0</v>
      </c>
      <c r="AR251" s="200">
        <v>2284.6117647058823</v>
      </c>
      <c r="AS251" s="200">
        <v>2957.7411764705885</v>
      </c>
      <c r="AT251" s="66">
        <v>5242.3529411764703</v>
      </c>
      <c r="AU251" s="235">
        <v>235.29411764705881</v>
      </c>
      <c r="AV251" s="235">
        <v>56.470588235294116</v>
      </c>
      <c r="AW251" s="75">
        <v>0</v>
      </c>
      <c r="AX251" s="235">
        <v>282.35294117647061</v>
      </c>
      <c r="AY251" s="66">
        <v>574.11764705882354</v>
      </c>
      <c r="AZ251" s="202">
        <v>0</v>
      </c>
      <c r="BA251" s="87">
        <v>0</v>
      </c>
      <c r="BB251" s="87">
        <v>42.352941176470587</v>
      </c>
      <c r="BC251" s="87">
        <v>0</v>
      </c>
      <c r="BD251" s="87">
        <v>42.352941176470587</v>
      </c>
      <c r="BE251" s="87">
        <v>42.352941176470587</v>
      </c>
      <c r="BF251" s="87">
        <v>272.94117647058823</v>
      </c>
      <c r="BG251" s="66">
        <v>315.29411764705884</v>
      </c>
      <c r="BH251" s="67">
        <v>6131.7647058823532</v>
      </c>
      <c r="BI251" s="67">
        <v>1199614.7430836002</v>
      </c>
    </row>
    <row r="252" spans="1:61" x14ac:dyDescent="0.25">
      <c r="A252" s="142">
        <v>0</v>
      </c>
      <c r="B252" s="85">
        <v>40418</v>
      </c>
      <c r="C252" s="203">
        <v>40418</v>
      </c>
      <c r="D252" s="76">
        <v>39690</v>
      </c>
      <c r="E252" s="77">
        <v>40418</v>
      </c>
      <c r="F252" s="78">
        <v>34</v>
      </c>
      <c r="G252" s="79"/>
      <c r="H252" s="80" t="s">
        <v>54</v>
      </c>
      <c r="I252" s="212"/>
      <c r="J252" s="212"/>
      <c r="K252" s="235">
        <v>2211.7647058823532</v>
      </c>
      <c r="L252" s="235">
        <v>225.88235294117646</v>
      </c>
      <c r="M252" s="231">
        <v>2437.6470588235297</v>
      </c>
      <c r="N252" s="231">
        <v>1016.4705882352941</v>
      </c>
      <c r="O252" s="231">
        <v>188.23529411764707</v>
      </c>
      <c r="P252" s="231">
        <v>1204.7058823529412</v>
      </c>
      <c r="Q252" s="231">
        <v>82.82352941176471</v>
      </c>
      <c r="R252" s="231">
        <v>0</v>
      </c>
      <c r="S252" s="231">
        <v>82.82352941176471</v>
      </c>
      <c r="T252" s="231">
        <v>508.23529411764707</v>
      </c>
      <c r="U252" s="231">
        <v>1571.7647058823529</v>
      </c>
      <c r="V252" s="231">
        <v>2080</v>
      </c>
      <c r="W252" s="231">
        <v>1607.5294117647059</v>
      </c>
      <c r="X252" s="231">
        <v>1760</v>
      </c>
      <c r="Y252" s="231">
        <v>3367.5294117647059</v>
      </c>
      <c r="Z252" s="200">
        <v>5805.1764705882351</v>
      </c>
      <c r="AA252" s="231">
        <v>145.45882352941177</v>
      </c>
      <c r="AB252" s="231">
        <v>12.423529411764704</v>
      </c>
      <c r="AC252" s="231">
        <v>157.88235294117646</v>
      </c>
      <c r="AD252" s="231">
        <v>4.7058823529411766</v>
      </c>
      <c r="AE252" s="231">
        <v>0</v>
      </c>
      <c r="AF252" s="231">
        <v>4.7058823529411766</v>
      </c>
      <c r="AG252" s="231">
        <v>119.01176470588236</v>
      </c>
      <c r="AH252" s="231">
        <v>10.164705882352942</v>
      </c>
      <c r="AI252" s="231">
        <v>129.1764705882353</v>
      </c>
      <c r="AJ252" s="231">
        <v>77.17647058823529</v>
      </c>
      <c r="AK252" s="231">
        <v>96.941176470588232</v>
      </c>
      <c r="AL252" s="231">
        <v>174.11764705882354</v>
      </c>
      <c r="AM252" s="231">
        <v>200.89411764705881</v>
      </c>
      <c r="AN252" s="231">
        <v>107.10588235294118</v>
      </c>
      <c r="AO252" s="231">
        <v>308</v>
      </c>
      <c r="AP252" s="200">
        <v>465.88235294117646</v>
      </c>
      <c r="AQ252" s="141">
        <v>0</v>
      </c>
      <c r="AR252" s="200">
        <v>2595.5294117647063</v>
      </c>
      <c r="AS252" s="200">
        <v>3675.5294117647059</v>
      </c>
      <c r="AT252" s="66">
        <v>6271.0588235294126</v>
      </c>
      <c r="AU252" s="231">
        <v>235.29411764705881</v>
      </c>
      <c r="AV252" s="231">
        <v>42.352941176470587</v>
      </c>
      <c r="AW252" s="75">
        <v>0</v>
      </c>
      <c r="AX252" s="231">
        <v>282.35294117647061</v>
      </c>
      <c r="AY252" s="66">
        <v>560</v>
      </c>
      <c r="AZ252" s="208">
        <v>0</v>
      </c>
      <c r="BA252" s="87">
        <v>606.11764705882354</v>
      </c>
      <c r="BB252" s="87">
        <v>425.41176470588238</v>
      </c>
      <c r="BC252" s="87">
        <v>618.35294117647061</v>
      </c>
      <c r="BD252" s="87">
        <v>448</v>
      </c>
      <c r="BE252" s="87">
        <v>1066.3529411764705</v>
      </c>
      <c r="BF252" s="87">
        <v>197.64705882352942</v>
      </c>
      <c r="BG252" s="66">
        <v>1264</v>
      </c>
      <c r="BH252" s="67">
        <v>8095.0588235294126</v>
      </c>
      <c r="BI252" s="67">
        <v>1207709.8019071296</v>
      </c>
    </row>
    <row r="253" spans="1:61" x14ac:dyDescent="0.25">
      <c r="A253" s="142">
        <v>0</v>
      </c>
      <c r="B253" s="85">
        <v>40419</v>
      </c>
      <c r="C253" s="203">
        <v>40419</v>
      </c>
      <c r="D253" s="76">
        <v>39691</v>
      </c>
      <c r="E253" s="77">
        <v>40419</v>
      </c>
      <c r="F253" s="78">
        <v>34</v>
      </c>
      <c r="G253" s="79"/>
      <c r="H253" s="80" t="s">
        <v>54</v>
      </c>
      <c r="I253" s="212"/>
      <c r="J253" s="212"/>
      <c r="K253" s="235">
        <v>5364.7058823529414</v>
      </c>
      <c r="L253" s="235">
        <v>207.05882352941177</v>
      </c>
      <c r="M253" s="231">
        <v>5571.7647058823532</v>
      </c>
      <c r="N253" s="231">
        <v>545.88235294117646</v>
      </c>
      <c r="O253" s="231">
        <v>178.8235294117647</v>
      </c>
      <c r="P253" s="231">
        <v>724.70588235294122</v>
      </c>
      <c r="Q253" s="231">
        <v>31.058823529411764</v>
      </c>
      <c r="R253" s="231">
        <v>0</v>
      </c>
      <c r="S253" s="231">
        <v>31.058823529411764</v>
      </c>
      <c r="T253" s="231">
        <v>240</v>
      </c>
      <c r="U253" s="231">
        <v>1383.5294117647059</v>
      </c>
      <c r="V253" s="231">
        <v>1623.5294117647059</v>
      </c>
      <c r="W253" s="231">
        <v>816.94117647058829</v>
      </c>
      <c r="X253" s="231">
        <v>1562.3529411764705</v>
      </c>
      <c r="Y253" s="231">
        <v>2379.294117647059</v>
      </c>
      <c r="Z253" s="200">
        <v>7951.0588235294117</v>
      </c>
      <c r="AA253" s="231">
        <v>109.2235294117647</v>
      </c>
      <c r="AB253" s="231">
        <v>6.2117647058823522</v>
      </c>
      <c r="AC253" s="231">
        <v>115.43529411764705</v>
      </c>
      <c r="AD253" s="231">
        <v>3.7647058823529411</v>
      </c>
      <c r="AE253" s="231">
        <v>0</v>
      </c>
      <c r="AF253" s="231">
        <v>3.7647058823529411</v>
      </c>
      <c r="AG253" s="231">
        <v>89.364705882352951</v>
      </c>
      <c r="AH253" s="231">
        <v>5.0823529411764712</v>
      </c>
      <c r="AI253" s="231">
        <v>94.447058823529417</v>
      </c>
      <c r="AJ253" s="231">
        <v>21.647058823529413</v>
      </c>
      <c r="AK253" s="231">
        <v>79.058823529411768</v>
      </c>
      <c r="AL253" s="231">
        <v>100.70588235294117</v>
      </c>
      <c r="AM253" s="231">
        <v>114.7764705882353</v>
      </c>
      <c r="AN253" s="231">
        <v>84.141176470588235</v>
      </c>
      <c r="AO253" s="231">
        <v>198.91764705882355</v>
      </c>
      <c r="AP253" s="200">
        <v>314.35294117647061</v>
      </c>
      <c r="AQ253" s="141">
        <v>0</v>
      </c>
      <c r="AR253" s="200">
        <v>5687.2</v>
      </c>
      <c r="AS253" s="200">
        <v>2578.2117647058826</v>
      </c>
      <c r="AT253" s="66">
        <v>8265.4117647058829</v>
      </c>
      <c r="AU253" s="231">
        <v>188.23529411764707</v>
      </c>
      <c r="AV253" s="231">
        <v>47.058823529411768</v>
      </c>
      <c r="AW253" s="75">
        <v>0</v>
      </c>
      <c r="AX253" s="231">
        <v>150.58823529411765</v>
      </c>
      <c r="AY253" s="66">
        <v>385.88235294117646</v>
      </c>
      <c r="AZ253" s="208">
        <v>0</v>
      </c>
      <c r="BA253" s="87">
        <v>268.23529411764707</v>
      </c>
      <c r="BB253" s="87">
        <v>415.05882352941177</v>
      </c>
      <c r="BC253" s="87">
        <v>322.8235294117647</v>
      </c>
      <c r="BD253" s="87">
        <v>437.64705882352939</v>
      </c>
      <c r="BE253" s="87">
        <v>760.47058823529414</v>
      </c>
      <c r="BF253" s="87">
        <v>70.588235294117652</v>
      </c>
      <c r="BG253" s="66">
        <v>831.05882352941182</v>
      </c>
      <c r="BH253" s="67">
        <v>9482.3529411764721</v>
      </c>
      <c r="BI253" s="67">
        <v>1217192.154848306</v>
      </c>
    </row>
    <row r="254" spans="1:61" x14ac:dyDescent="0.25">
      <c r="A254" s="142">
        <v>0</v>
      </c>
      <c r="B254" s="68">
        <v>40420</v>
      </c>
      <c r="C254" s="198">
        <v>40420</v>
      </c>
      <c r="D254" s="69">
        <v>39692</v>
      </c>
      <c r="E254" s="70">
        <v>40420</v>
      </c>
      <c r="F254" s="71">
        <v>35</v>
      </c>
      <c r="G254" s="72"/>
      <c r="H254" s="82" t="s">
        <v>54</v>
      </c>
      <c r="I254" s="210"/>
      <c r="J254" s="210"/>
      <c r="K254" s="235">
        <v>1863.5294117647059</v>
      </c>
      <c r="L254" s="235">
        <v>85.647058823529406</v>
      </c>
      <c r="M254" s="235">
        <v>1949.1764705882354</v>
      </c>
      <c r="N254" s="235">
        <v>432.94117647058823</v>
      </c>
      <c r="O254" s="235">
        <v>56.470588235294116</v>
      </c>
      <c r="P254" s="235">
        <v>489.41176470588238</v>
      </c>
      <c r="Q254" s="235">
        <v>32.941176470588232</v>
      </c>
      <c r="R254" s="235">
        <v>0</v>
      </c>
      <c r="S254" s="235">
        <v>32.941176470588232</v>
      </c>
      <c r="T254" s="235">
        <v>207.05882352941177</v>
      </c>
      <c r="U254" s="235">
        <v>630.58823529411768</v>
      </c>
      <c r="V254" s="235">
        <v>837.64705882352939</v>
      </c>
      <c r="W254" s="235">
        <v>672.94117647058829</v>
      </c>
      <c r="X254" s="235">
        <v>687.05882352941171</v>
      </c>
      <c r="Y254" s="235">
        <v>1360</v>
      </c>
      <c r="Z254" s="200">
        <v>3309.1764705882351</v>
      </c>
      <c r="AA254" s="235">
        <v>118.54117647058824</v>
      </c>
      <c r="AB254" s="235">
        <v>4.658823529411765</v>
      </c>
      <c r="AC254" s="235">
        <v>123.2</v>
      </c>
      <c r="AD254" s="235">
        <v>1.8823529411764706</v>
      </c>
      <c r="AE254" s="235">
        <v>0</v>
      </c>
      <c r="AF254" s="235">
        <v>1.8823529411764706</v>
      </c>
      <c r="AG254" s="235">
        <v>96.988235294117644</v>
      </c>
      <c r="AH254" s="235">
        <v>3.8117647058823527</v>
      </c>
      <c r="AI254" s="235">
        <v>100.8</v>
      </c>
      <c r="AJ254" s="235">
        <v>14.117647058823529</v>
      </c>
      <c r="AK254" s="235">
        <v>48.941176470588232</v>
      </c>
      <c r="AL254" s="235">
        <v>63.058823529411768</v>
      </c>
      <c r="AM254" s="235">
        <v>112.98823529411764</v>
      </c>
      <c r="AN254" s="235">
        <v>52.752941176470586</v>
      </c>
      <c r="AO254" s="235">
        <v>165.74117647058824</v>
      </c>
      <c r="AP254" s="200">
        <v>288.94117647058823</v>
      </c>
      <c r="AQ254" s="141">
        <v>0</v>
      </c>
      <c r="AR254" s="200">
        <v>2072.3764705882354</v>
      </c>
      <c r="AS254" s="200">
        <v>1525.7411764705882</v>
      </c>
      <c r="AT254" s="66">
        <v>3598.1176470588234</v>
      </c>
      <c r="AU254" s="235">
        <v>75.294117647058826</v>
      </c>
      <c r="AV254" s="235">
        <v>42.352941176470587</v>
      </c>
      <c r="AW254" s="75">
        <v>37.647058823529413</v>
      </c>
      <c r="AX254" s="235">
        <v>131.76470588235293</v>
      </c>
      <c r="AY254" s="66">
        <v>287.05882352941177</v>
      </c>
      <c r="AZ254" s="202">
        <v>0</v>
      </c>
      <c r="BA254" s="87">
        <v>0</v>
      </c>
      <c r="BB254" s="87">
        <v>0</v>
      </c>
      <c r="BC254" s="87">
        <v>0</v>
      </c>
      <c r="BD254" s="87">
        <v>0</v>
      </c>
      <c r="BE254" s="87">
        <v>0</v>
      </c>
      <c r="BF254" s="87">
        <v>75.294117647058826</v>
      </c>
      <c r="BG254" s="66">
        <v>75.294117647058826</v>
      </c>
      <c r="BH254" s="67">
        <v>3960.4705882352941</v>
      </c>
      <c r="BI254" s="67">
        <v>1221152.6254365412</v>
      </c>
    </row>
    <row r="255" spans="1:61" x14ac:dyDescent="0.25">
      <c r="A255" s="142">
        <v>0</v>
      </c>
      <c r="B255" s="68">
        <v>40421</v>
      </c>
      <c r="C255" s="198">
        <v>40421</v>
      </c>
      <c r="D255" s="69">
        <v>39693</v>
      </c>
      <c r="E255" s="70">
        <v>1</v>
      </c>
      <c r="F255" s="71">
        <v>35</v>
      </c>
      <c r="G255" s="72"/>
      <c r="H255" s="82" t="s">
        <v>54</v>
      </c>
      <c r="I255" s="210"/>
      <c r="J255" s="210"/>
      <c r="K255" s="235">
        <v>847.05882352941171</v>
      </c>
      <c r="L255" s="235">
        <v>68.705882352941174</v>
      </c>
      <c r="M255" s="235">
        <v>915.76470588235293</v>
      </c>
      <c r="N255" s="235">
        <v>188.23529411764707</v>
      </c>
      <c r="O255" s="235">
        <v>42.352941176470587</v>
      </c>
      <c r="P255" s="235">
        <v>230.58823529411765</v>
      </c>
      <c r="Q255" s="235">
        <v>18.823529411764707</v>
      </c>
      <c r="R255" s="235">
        <v>0</v>
      </c>
      <c r="S255" s="235">
        <v>18.823529411764707</v>
      </c>
      <c r="T255" s="235">
        <v>94.117647058823536</v>
      </c>
      <c r="U255" s="235">
        <v>564.70588235294122</v>
      </c>
      <c r="V255" s="235">
        <v>658.82352941176475</v>
      </c>
      <c r="W255" s="235">
        <v>301.1764705882353</v>
      </c>
      <c r="X255" s="235">
        <v>607.05882352941171</v>
      </c>
      <c r="Y255" s="235">
        <v>908.23529411764707</v>
      </c>
      <c r="Z255" s="200">
        <v>1824</v>
      </c>
      <c r="AA255" s="235">
        <v>127.34117647058825</v>
      </c>
      <c r="AB255" s="235">
        <v>8.8000000000000007</v>
      </c>
      <c r="AC255" s="235">
        <v>136.14117647058825</v>
      </c>
      <c r="AD255" s="235">
        <v>0</v>
      </c>
      <c r="AE255" s="235">
        <v>0</v>
      </c>
      <c r="AF255" s="235">
        <v>0</v>
      </c>
      <c r="AG255" s="235">
        <v>104.18823529411765</v>
      </c>
      <c r="AH255" s="235">
        <v>7.2</v>
      </c>
      <c r="AI255" s="235">
        <v>111.38823529411765</v>
      </c>
      <c r="AJ255" s="235">
        <v>49.882352941176471</v>
      </c>
      <c r="AK255" s="235">
        <v>46.117647058823529</v>
      </c>
      <c r="AL255" s="235">
        <v>96</v>
      </c>
      <c r="AM255" s="235">
        <v>154.07058823529411</v>
      </c>
      <c r="AN255" s="235">
        <v>53.317647058823525</v>
      </c>
      <c r="AO255" s="235">
        <v>207.38823529411764</v>
      </c>
      <c r="AP255" s="200">
        <v>343.52941176470586</v>
      </c>
      <c r="AQ255" s="141">
        <v>0</v>
      </c>
      <c r="AR255" s="200">
        <v>1051.9058823529413</v>
      </c>
      <c r="AS255" s="200">
        <v>1115.6235294117646</v>
      </c>
      <c r="AT255" s="66">
        <v>2167.5294117647059</v>
      </c>
      <c r="AU255" s="235">
        <v>56.470588235294116</v>
      </c>
      <c r="AV255" s="235">
        <v>37.647058823529413</v>
      </c>
      <c r="AW255" s="75">
        <v>0</v>
      </c>
      <c r="AX255" s="235">
        <v>65.882352941176464</v>
      </c>
      <c r="AY255" s="66">
        <v>160</v>
      </c>
      <c r="AZ255" s="202">
        <v>0</v>
      </c>
      <c r="BA255" s="87">
        <v>108.23529411764706</v>
      </c>
      <c r="BB255" s="87">
        <v>0</v>
      </c>
      <c r="BC255" s="87">
        <v>108.23529411764706</v>
      </c>
      <c r="BD255" s="87">
        <v>0</v>
      </c>
      <c r="BE255" s="87">
        <v>108.23529411764706</v>
      </c>
      <c r="BF255" s="87">
        <v>129.88235294117646</v>
      </c>
      <c r="BG255" s="66">
        <v>238.11764705882354</v>
      </c>
      <c r="BH255" s="67">
        <v>2565.6470588235293</v>
      </c>
      <c r="BI255" s="67">
        <v>1223718.2724953648</v>
      </c>
    </row>
    <row r="256" spans="1:61" s="230" customFormat="1" x14ac:dyDescent="0.25">
      <c r="A256" s="215"/>
      <c r="B256" s="216"/>
      <c r="C256" s="217"/>
      <c r="D256" s="218"/>
      <c r="E256" s="219"/>
      <c r="F256" s="220"/>
      <c r="G256" s="221"/>
      <c r="H256" s="222"/>
      <c r="I256" s="223"/>
      <c r="J256" s="223"/>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c r="AH256" s="224"/>
      <c r="AI256" s="224"/>
      <c r="AJ256" s="224"/>
      <c r="AK256" s="224"/>
      <c r="AL256" s="224"/>
      <c r="AM256" s="224"/>
      <c r="AN256" s="224"/>
      <c r="AO256" s="224"/>
      <c r="AP256" s="224"/>
      <c r="AQ256" s="225"/>
      <c r="AR256" s="226"/>
      <c r="AS256" s="226"/>
      <c r="AT256" s="66">
        <v>0</v>
      </c>
      <c r="AU256" s="224"/>
      <c r="AV256" s="224"/>
      <c r="AW256" s="227"/>
      <c r="AX256" s="224"/>
      <c r="AY256" s="66">
        <v>0</v>
      </c>
      <c r="AZ256" s="224"/>
      <c r="BA256" s="224"/>
      <c r="BB256" s="224"/>
      <c r="BC256" s="224"/>
      <c r="BD256" s="224"/>
      <c r="BE256" s="224"/>
      <c r="BF256" s="224"/>
      <c r="BG256" s="228"/>
      <c r="BH256" s="229"/>
      <c r="BI256" s="229"/>
    </row>
    <row r="257" spans="1:61" x14ac:dyDescent="0.25">
      <c r="A257" s="142">
        <v>0</v>
      </c>
      <c r="B257" s="68">
        <v>40422</v>
      </c>
      <c r="C257" s="198">
        <v>40422</v>
      </c>
      <c r="D257" s="69">
        <v>39694</v>
      </c>
      <c r="E257" s="70">
        <v>2</v>
      </c>
      <c r="F257" s="71">
        <v>35</v>
      </c>
      <c r="G257" s="72"/>
      <c r="H257" s="82"/>
      <c r="I257" s="210"/>
      <c r="J257" s="210"/>
      <c r="K257" s="235">
        <v>1129.4117647058824</v>
      </c>
      <c r="L257" s="235">
        <v>42.352941176470587</v>
      </c>
      <c r="M257" s="235">
        <v>1171.7647058823529</v>
      </c>
      <c r="N257" s="235">
        <v>188.23529411764707</v>
      </c>
      <c r="O257" s="235">
        <v>47.058823529411768</v>
      </c>
      <c r="P257" s="235">
        <v>235.29411764705881</v>
      </c>
      <c r="Q257" s="235">
        <v>7.5294117647058822</v>
      </c>
      <c r="R257" s="235">
        <v>0</v>
      </c>
      <c r="S257" s="235">
        <v>7.5294117647058822</v>
      </c>
      <c r="T257" s="235">
        <v>89.411764705882348</v>
      </c>
      <c r="U257" s="235">
        <v>451.76470588235293</v>
      </c>
      <c r="V257" s="235">
        <v>541.17647058823525</v>
      </c>
      <c r="W257" s="235">
        <v>285.1764705882353</v>
      </c>
      <c r="X257" s="235">
        <v>498.8235294117647</v>
      </c>
      <c r="Y257" s="235">
        <v>784</v>
      </c>
      <c r="Z257" s="200">
        <v>1955.7647058823529</v>
      </c>
      <c r="AA257" s="235">
        <v>149.6</v>
      </c>
      <c r="AB257" s="235">
        <v>10.870588235294118</v>
      </c>
      <c r="AC257" s="235">
        <v>160.47058823529412</v>
      </c>
      <c r="AD257" s="235">
        <v>15.058823529411764</v>
      </c>
      <c r="AE257" s="235">
        <v>0</v>
      </c>
      <c r="AF257" s="235">
        <v>15.058823529411764</v>
      </c>
      <c r="AG257" s="235">
        <v>122.4</v>
      </c>
      <c r="AH257" s="235">
        <v>8.8941176470588221</v>
      </c>
      <c r="AI257" s="235">
        <v>131.29411764705881</v>
      </c>
      <c r="AJ257" s="235">
        <v>18.823529411764707</v>
      </c>
      <c r="AK257" s="235">
        <v>99.764705882352942</v>
      </c>
      <c r="AL257" s="235">
        <v>118.58823529411765</v>
      </c>
      <c r="AM257" s="235">
        <v>156.28235294117647</v>
      </c>
      <c r="AN257" s="235">
        <v>108.65882352941176</v>
      </c>
      <c r="AO257" s="235">
        <v>264.94117647058823</v>
      </c>
      <c r="AP257" s="200">
        <v>425.41176470588238</v>
      </c>
      <c r="AQ257" s="141">
        <v>0</v>
      </c>
      <c r="AR257" s="200">
        <v>1332.2352941176471</v>
      </c>
      <c r="AS257" s="200">
        <v>1048.9411764705883</v>
      </c>
      <c r="AT257" s="66">
        <v>2381.1764705882351</v>
      </c>
      <c r="AU257" s="235">
        <v>28.235294117647058</v>
      </c>
      <c r="AV257" s="235">
        <v>57.411764705882355</v>
      </c>
      <c r="AW257" s="75">
        <v>0</v>
      </c>
      <c r="AX257" s="235">
        <v>56.470588235294116</v>
      </c>
      <c r="AY257" s="66">
        <v>142.11764705882354</v>
      </c>
      <c r="AZ257" s="202">
        <v>0</v>
      </c>
      <c r="BA257" s="87">
        <v>98.82352941176471</v>
      </c>
      <c r="BB257" s="87">
        <v>0</v>
      </c>
      <c r="BC257" s="87">
        <v>127.05882352941177</v>
      </c>
      <c r="BD257" s="87">
        <v>0</v>
      </c>
      <c r="BE257" s="87">
        <v>127.05882352941177</v>
      </c>
      <c r="BF257" s="87">
        <v>0</v>
      </c>
      <c r="BG257" s="66">
        <v>127.05882352941177</v>
      </c>
      <c r="BH257" s="67">
        <v>2650.3529411764703</v>
      </c>
      <c r="BI257" s="67">
        <v>1226368.6254365412</v>
      </c>
    </row>
    <row r="258" spans="1:61" x14ac:dyDescent="0.25">
      <c r="A258" s="142">
        <v>0</v>
      </c>
      <c r="B258" s="68">
        <v>40423</v>
      </c>
      <c r="C258" s="198">
        <v>40423</v>
      </c>
      <c r="D258" s="69">
        <v>39695</v>
      </c>
      <c r="E258" s="70">
        <v>3</v>
      </c>
      <c r="F258" s="71">
        <v>35</v>
      </c>
      <c r="G258" s="72"/>
      <c r="H258" s="82"/>
      <c r="I258" s="210"/>
      <c r="J258" s="210"/>
      <c r="K258" s="235">
        <v>1035.2941176470588</v>
      </c>
      <c r="L258" s="235">
        <v>42.352941176470587</v>
      </c>
      <c r="M258" s="235">
        <v>1077.6470588235293</v>
      </c>
      <c r="N258" s="235">
        <v>175.05882352941177</v>
      </c>
      <c r="O258" s="235">
        <v>48</v>
      </c>
      <c r="P258" s="235">
        <v>223.05882352941177</v>
      </c>
      <c r="Q258" s="235">
        <v>7.5294117647058822</v>
      </c>
      <c r="R258" s="235">
        <v>0</v>
      </c>
      <c r="S258" s="235">
        <v>7.5294117647058822</v>
      </c>
      <c r="T258" s="235">
        <v>125.17647058823529</v>
      </c>
      <c r="U258" s="235">
        <v>447.05882352941177</v>
      </c>
      <c r="V258" s="235">
        <v>572.23529411764707</v>
      </c>
      <c r="W258" s="235">
        <v>307.76470588235293</v>
      </c>
      <c r="X258" s="235">
        <v>495.05882352941177</v>
      </c>
      <c r="Y258" s="235">
        <v>802.82352941176475</v>
      </c>
      <c r="Z258" s="200">
        <v>1880.4705882352941</v>
      </c>
      <c r="AA258" s="235">
        <v>154.77647058823527</v>
      </c>
      <c r="AB258" s="235">
        <v>10.352941176470589</v>
      </c>
      <c r="AC258" s="235">
        <v>165.12941176470588</v>
      </c>
      <c r="AD258" s="235">
        <v>0</v>
      </c>
      <c r="AE258" s="235">
        <v>0</v>
      </c>
      <c r="AF258" s="235">
        <v>0</v>
      </c>
      <c r="AG258" s="235">
        <v>126.63529411764706</v>
      </c>
      <c r="AH258" s="235">
        <v>8.4705882352941178</v>
      </c>
      <c r="AI258" s="235">
        <v>135.10588235294119</v>
      </c>
      <c r="AJ258" s="235">
        <v>20.705882352941178</v>
      </c>
      <c r="AK258" s="235">
        <v>105.41176470588235</v>
      </c>
      <c r="AL258" s="235">
        <v>126.11764705882354</v>
      </c>
      <c r="AM258" s="235">
        <v>147.34117647058824</v>
      </c>
      <c r="AN258" s="235">
        <v>113.88235294117646</v>
      </c>
      <c r="AO258" s="235">
        <v>261.22352941176473</v>
      </c>
      <c r="AP258" s="200">
        <v>426.35294117647061</v>
      </c>
      <c r="AQ258" s="141">
        <v>0</v>
      </c>
      <c r="AR258" s="200">
        <v>1242.776470588235</v>
      </c>
      <c r="AS258" s="200">
        <v>1064.0470588235294</v>
      </c>
      <c r="AT258" s="66">
        <v>2306.8235294117644</v>
      </c>
      <c r="AU258" s="235">
        <v>70.588235294117652</v>
      </c>
      <c r="AV258" s="235">
        <v>56.470588235294116</v>
      </c>
      <c r="AW258" s="75">
        <v>978.82352941176464</v>
      </c>
      <c r="AX258" s="235">
        <v>65.882352941176464</v>
      </c>
      <c r="AY258" s="66">
        <v>1171.7647058823527</v>
      </c>
      <c r="AZ258" s="202">
        <v>0</v>
      </c>
      <c r="BA258" s="87">
        <v>164.70588235294119</v>
      </c>
      <c r="BB258" s="87">
        <v>0</v>
      </c>
      <c r="BC258" s="87">
        <v>164.70588235294119</v>
      </c>
      <c r="BD258" s="87">
        <v>18.823529411764707</v>
      </c>
      <c r="BE258" s="87">
        <v>183.52941176470588</v>
      </c>
      <c r="BF258" s="87">
        <v>0</v>
      </c>
      <c r="BG258" s="66">
        <v>183.52941176470588</v>
      </c>
      <c r="BH258" s="67">
        <v>3662.117647058823</v>
      </c>
      <c r="BI258" s="67">
        <v>1230030.7430836</v>
      </c>
    </row>
    <row r="259" spans="1:61" x14ac:dyDescent="0.25">
      <c r="A259" s="142">
        <v>0</v>
      </c>
      <c r="B259" s="68">
        <v>40424</v>
      </c>
      <c r="C259" s="198">
        <v>40424</v>
      </c>
      <c r="D259" s="69">
        <v>39696</v>
      </c>
      <c r="E259" s="70">
        <v>4</v>
      </c>
      <c r="F259" s="71">
        <v>35</v>
      </c>
      <c r="G259" s="72"/>
      <c r="H259" s="82"/>
      <c r="I259" s="210"/>
      <c r="J259" s="210"/>
      <c r="K259" s="235">
        <v>921.41176470588232</v>
      </c>
      <c r="L259" s="235">
        <v>17.882352941176471</v>
      </c>
      <c r="M259" s="235">
        <v>939.29411764705878</v>
      </c>
      <c r="N259" s="235">
        <v>153.41176470588235</v>
      </c>
      <c r="O259" s="235">
        <v>19.764705882352942</v>
      </c>
      <c r="P259" s="235">
        <v>173.1764705882353</v>
      </c>
      <c r="Q259" s="235">
        <v>15.058823529411764</v>
      </c>
      <c r="R259" s="235">
        <v>0</v>
      </c>
      <c r="S259" s="235">
        <v>15.058823529411764</v>
      </c>
      <c r="T259" s="235">
        <v>70.588235294117652</v>
      </c>
      <c r="U259" s="235">
        <v>338.8235294117647</v>
      </c>
      <c r="V259" s="235">
        <v>409.41176470588238</v>
      </c>
      <c r="W259" s="235">
        <v>239.05882352941177</v>
      </c>
      <c r="X259" s="235">
        <v>358.58823529411762</v>
      </c>
      <c r="Y259" s="235">
        <v>597.64705882352939</v>
      </c>
      <c r="Z259" s="200">
        <v>1536.9411764705883</v>
      </c>
      <c r="AA259" s="235">
        <v>125.78823529411765</v>
      </c>
      <c r="AB259" s="235">
        <v>11.905882352941177</v>
      </c>
      <c r="AC259" s="235">
        <v>137.69411764705885</v>
      </c>
      <c r="AD259" s="235">
        <v>1.8823529411764706</v>
      </c>
      <c r="AE259" s="235">
        <v>0</v>
      </c>
      <c r="AF259" s="235">
        <v>1.8823529411764706</v>
      </c>
      <c r="AG259" s="235">
        <v>102.91764705882352</v>
      </c>
      <c r="AH259" s="235">
        <v>9.7411764705882344</v>
      </c>
      <c r="AI259" s="235">
        <v>112.65882352941175</v>
      </c>
      <c r="AJ259" s="235">
        <v>44.235294117647058</v>
      </c>
      <c r="AK259" s="235">
        <v>51.764705882352942</v>
      </c>
      <c r="AL259" s="235">
        <v>96</v>
      </c>
      <c r="AM259" s="235">
        <v>149.03529411764706</v>
      </c>
      <c r="AN259" s="235">
        <v>61.505882352941171</v>
      </c>
      <c r="AO259" s="235">
        <v>210.54117647058823</v>
      </c>
      <c r="AP259" s="200">
        <v>348.23529411764707</v>
      </c>
      <c r="AQ259" s="141">
        <v>0</v>
      </c>
      <c r="AR259" s="200">
        <v>1076.9882352941177</v>
      </c>
      <c r="AS259" s="200">
        <v>808.18823529411759</v>
      </c>
      <c r="AT259" s="66">
        <v>1885.1764705882351</v>
      </c>
      <c r="AU259" s="235">
        <v>47.058823529411768</v>
      </c>
      <c r="AV259" s="235">
        <v>37.647058823529413</v>
      </c>
      <c r="AW259" s="75">
        <v>0</v>
      </c>
      <c r="AX259" s="235">
        <v>70.588235294117652</v>
      </c>
      <c r="AY259" s="66">
        <v>155.29411764705884</v>
      </c>
      <c r="AZ259" s="202">
        <v>0</v>
      </c>
      <c r="BA259" s="87">
        <v>199.52941176470588</v>
      </c>
      <c r="BB259" s="87">
        <v>103.52941176470588</v>
      </c>
      <c r="BC259" s="87">
        <v>199.52941176470588</v>
      </c>
      <c r="BD259" s="87">
        <v>122.35294117647059</v>
      </c>
      <c r="BE259" s="87">
        <v>321.88235294117646</v>
      </c>
      <c r="BF259" s="87">
        <v>0</v>
      </c>
      <c r="BG259" s="66">
        <v>321.88235294117646</v>
      </c>
      <c r="BH259" s="67">
        <v>2362.3529411764703</v>
      </c>
      <c r="BI259" s="67">
        <v>1232393.0960247763</v>
      </c>
    </row>
    <row r="260" spans="1:61" x14ac:dyDescent="0.25">
      <c r="A260" s="142">
        <v>0</v>
      </c>
      <c r="B260" s="85">
        <v>40425</v>
      </c>
      <c r="C260" s="203">
        <v>40425</v>
      </c>
      <c r="D260" s="76">
        <v>39697</v>
      </c>
      <c r="E260" s="77">
        <v>5</v>
      </c>
      <c r="F260" s="78">
        <v>35</v>
      </c>
      <c r="G260" s="79"/>
      <c r="H260" s="80"/>
      <c r="I260" s="212"/>
      <c r="J260" s="212"/>
      <c r="K260" s="235">
        <v>1882.3529411764705</v>
      </c>
      <c r="L260" s="235">
        <v>94.117647058823536</v>
      </c>
      <c r="M260" s="231">
        <v>1976.4705882352941</v>
      </c>
      <c r="N260" s="231">
        <v>834.82352941176475</v>
      </c>
      <c r="O260" s="231">
        <v>72.470588235294116</v>
      </c>
      <c r="P260" s="231">
        <v>907.29411764705878</v>
      </c>
      <c r="Q260" s="231">
        <v>40.470588235294116</v>
      </c>
      <c r="R260" s="231">
        <v>0</v>
      </c>
      <c r="S260" s="231">
        <v>40.470588235294116</v>
      </c>
      <c r="T260" s="231">
        <v>343.52941176470586</v>
      </c>
      <c r="U260" s="231">
        <v>865.88235294117646</v>
      </c>
      <c r="V260" s="231">
        <v>1209.4117647058824</v>
      </c>
      <c r="W260" s="231">
        <v>1218.8235294117646</v>
      </c>
      <c r="X260" s="231">
        <v>938.35294117647061</v>
      </c>
      <c r="Y260" s="231">
        <v>2157.1764705882351</v>
      </c>
      <c r="Z260" s="200">
        <v>4133.6470588235297</v>
      </c>
      <c r="AA260" s="231">
        <v>88.517647058823528</v>
      </c>
      <c r="AB260" s="231">
        <v>11.905882352941177</v>
      </c>
      <c r="AC260" s="231">
        <v>100.4235294117647</v>
      </c>
      <c r="AD260" s="231">
        <v>9.4117647058823533</v>
      </c>
      <c r="AE260" s="231">
        <v>0</v>
      </c>
      <c r="AF260" s="231">
        <v>9.4117647058823533</v>
      </c>
      <c r="AG260" s="231">
        <v>72.423529411764704</v>
      </c>
      <c r="AH260" s="231">
        <v>9.7411764705882344</v>
      </c>
      <c r="AI260" s="231">
        <v>82.164705882352933</v>
      </c>
      <c r="AJ260" s="231">
        <v>27.294117647058822</v>
      </c>
      <c r="AK260" s="231">
        <v>41.411764705882355</v>
      </c>
      <c r="AL260" s="231">
        <v>68.705882352941174</v>
      </c>
      <c r="AM260" s="231">
        <v>109.12941176470588</v>
      </c>
      <c r="AN260" s="231">
        <v>51.152941176470591</v>
      </c>
      <c r="AO260" s="231">
        <v>160.28235294117647</v>
      </c>
      <c r="AP260" s="200">
        <v>260.70588235294116</v>
      </c>
      <c r="AQ260" s="141">
        <v>0</v>
      </c>
      <c r="AR260" s="200">
        <v>2076.8941176470589</v>
      </c>
      <c r="AS260" s="200">
        <v>2317.4588235294118</v>
      </c>
      <c r="AT260" s="66">
        <v>4394.3529411764703</v>
      </c>
      <c r="AU260" s="231">
        <v>131.76470588235293</v>
      </c>
      <c r="AV260" s="231">
        <v>65.722055245455849</v>
      </c>
      <c r="AW260" s="75">
        <v>0</v>
      </c>
      <c r="AX260" s="231">
        <v>216.47058823529412</v>
      </c>
      <c r="AY260" s="66">
        <v>413.95734936310294</v>
      </c>
      <c r="AZ260" s="208">
        <v>0</v>
      </c>
      <c r="BA260" s="87">
        <v>635.29411764705878</v>
      </c>
      <c r="BB260" s="87">
        <v>952.47058823529414</v>
      </c>
      <c r="BC260" s="87">
        <v>635.29411764705878</v>
      </c>
      <c r="BD260" s="87">
        <v>952.47058823529414</v>
      </c>
      <c r="BE260" s="87">
        <v>1587.7647058823529</v>
      </c>
      <c r="BF260" s="87">
        <v>0</v>
      </c>
      <c r="BG260" s="66">
        <v>1587.7647058823529</v>
      </c>
      <c r="BH260" s="67">
        <v>6396.0749964219267</v>
      </c>
      <c r="BI260" s="67">
        <v>1238789.1710211982</v>
      </c>
    </row>
    <row r="261" spans="1:61" x14ac:dyDescent="0.25">
      <c r="A261" s="142">
        <v>0</v>
      </c>
      <c r="B261" s="85">
        <v>40426</v>
      </c>
      <c r="C261" s="203">
        <v>40426</v>
      </c>
      <c r="D261" s="76">
        <v>39698</v>
      </c>
      <c r="E261" s="77">
        <v>6</v>
      </c>
      <c r="F261" s="78">
        <v>35</v>
      </c>
      <c r="G261" s="79"/>
      <c r="H261" s="80"/>
      <c r="I261" s="212"/>
      <c r="J261" s="212"/>
      <c r="K261" s="235">
        <v>1317.6470588235295</v>
      </c>
      <c r="L261" s="235">
        <v>94.117647058823536</v>
      </c>
      <c r="M261" s="231">
        <v>1411.7647058823532</v>
      </c>
      <c r="N261" s="231">
        <v>404.70588235294116</v>
      </c>
      <c r="O261" s="231">
        <v>75.294117647058826</v>
      </c>
      <c r="P261" s="231">
        <v>480</v>
      </c>
      <c r="Q261" s="231">
        <v>12.235294117647058</v>
      </c>
      <c r="R261" s="231">
        <v>0</v>
      </c>
      <c r="S261" s="231">
        <v>12.235294117647058</v>
      </c>
      <c r="T261" s="231">
        <v>70.588235294117652</v>
      </c>
      <c r="U261" s="231">
        <v>809.41176470588232</v>
      </c>
      <c r="V261" s="231">
        <v>880</v>
      </c>
      <c r="W261" s="231">
        <v>487.52941176470586</v>
      </c>
      <c r="X261" s="231">
        <v>884.70588235294122</v>
      </c>
      <c r="Y261" s="231">
        <v>1372.2352941176471</v>
      </c>
      <c r="Z261" s="200">
        <v>2784</v>
      </c>
      <c r="AA261" s="231">
        <v>38.305882352941182</v>
      </c>
      <c r="AB261" s="231">
        <v>6.7294117647058824</v>
      </c>
      <c r="AC261" s="231">
        <v>45.035294117647062</v>
      </c>
      <c r="AD261" s="231">
        <v>0</v>
      </c>
      <c r="AE261" s="231">
        <v>0</v>
      </c>
      <c r="AF261" s="231">
        <v>0</v>
      </c>
      <c r="AG261" s="231">
        <v>31.341176470588234</v>
      </c>
      <c r="AH261" s="231">
        <v>5.5058823529411764</v>
      </c>
      <c r="AI261" s="231">
        <v>36.847058823529409</v>
      </c>
      <c r="AJ261" s="231">
        <v>31.058823529411764</v>
      </c>
      <c r="AK261" s="231">
        <v>48</v>
      </c>
      <c r="AL261" s="231">
        <v>79.058823529411768</v>
      </c>
      <c r="AM261" s="231">
        <v>62.4</v>
      </c>
      <c r="AN261" s="231">
        <v>53.505882352941178</v>
      </c>
      <c r="AO261" s="231">
        <v>115.90588235294118</v>
      </c>
      <c r="AP261" s="200">
        <v>160.94117647058823</v>
      </c>
      <c r="AQ261" s="141">
        <v>0</v>
      </c>
      <c r="AR261" s="200">
        <v>1456.8</v>
      </c>
      <c r="AS261" s="200">
        <v>1488.1411764705883</v>
      </c>
      <c r="AT261" s="66">
        <v>2944.9411764705883</v>
      </c>
      <c r="AU261" s="231">
        <v>80</v>
      </c>
      <c r="AV261" s="231">
        <v>47.058823529411768</v>
      </c>
      <c r="AW261" s="75">
        <v>56.470588235294116</v>
      </c>
      <c r="AX261" s="231">
        <v>131.76470588235293</v>
      </c>
      <c r="AY261" s="66">
        <v>315.29411764705878</v>
      </c>
      <c r="AZ261" s="208">
        <v>0</v>
      </c>
      <c r="BA261" s="87">
        <v>259.76470588235293</v>
      </c>
      <c r="BB261" s="87">
        <v>903.52941176470586</v>
      </c>
      <c r="BC261" s="87">
        <v>283.29411764705884</v>
      </c>
      <c r="BD261" s="87">
        <v>903.52941176470586</v>
      </c>
      <c r="BE261" s="87">
        <v>1186.8235294117646</v>
      </c>
      <c r="BF261" s="87">
        <v>0</v>
      </c>
      <c r="BG261" s="66">
        <v>1186.8235294117646</v>
      </c>
      <c r="BH261" s="67">
        <v>4447.0588235294117</v>
      </c>
      <c r="BI261" s="67">
        <v>1243236.2298447276</v>
      </c>
    </row>
    <row r="262" spans="1:61" x14ac:dyDescent="0.25">
      <c r="A262" s="142">
        <v>0</v>
      </c>
      <c r="B262" s="68">
        <v>40427</v>
      </c>
      <c r="C262" s="198">
        <v>40427</v>
      </c>
      <c r="D262" s="69">
        <v>39699</v>
      </c>
      <c r="E262" s="70">
        <v>7</v>
      </c>
      <c r="F262" s="71">
        <v>36</v>
      </c>
      <c r="G262" s="72"/>
      <c r="H262" s="82"/>
      <c r="I262" s="210"/>
      <c r="J262" s="210"/>
      <c r="K262" s="235">
        <v>658.82352941176475</v>
      </c>
      <c r="L262" s="235">
        <v>29.176470588235293</v>
      </c>
      <c r="M262" s="235">
        <v>688</v>
      </c>
      <c r="N262" s="235">
        <v>122.35294117647059</v>
      </c>
      <c r="O262" s="235">
        <v>18.823529411764707</v>
      </c>
      <c r="P262" s="235">
        <v>141.1764705882353</v>
      </c>
      <c r="Q262" s="235">
        <v>21.647058823529413</v>
      </c>
      <c r="R262" s="235">
        <v>0</v>
      </c>
      <c r="S262" s="235">
        <v>21.647058823529413</v>
      </c>
      <c r="T262" s="235">
        <v>70.588235294117652</v>
      </c>
      <c r="U262" s="235">
        <v>324.70588235294116</v>
      </c>
      <c r="V262" s="235">
        <v>395.29411764705884</v>
      </c>
      <c r="W262" s="235">
        <v>214.58823529411765</v>
      </c>
      <c r="X262" s="235">
        <v>343.52941176470586</v>
      </c>
      <c r="Y262" s="235">
        <v>558.11764705882354</v>
      </c>
      <c r="Z262" s="200">
        <v>1246.1176470588234</v>
      </c>
      <c r="AA262" s="235">
        <v>50.72941176470588</v>
      </c>
      <c r="AB262" s="235">
        <v>3.1058823529411761</v>
      </c>
      <c r="AC262" s="235">
        <v>53.835294117647052</v>
      </c>
      <c r="AD262" s="235">
        <v>1.8823529411764706</v>
      </c>
      <c r="AE262" s="235">
        <v>0</v>
      </c>
      <c r="AF262" s="235">
        <v>1.8823529411764706</v>
      </c>
      <c r="AG262" s="235">
        <v>41.505882352941178</v>
      </c>
      <c r="AH262" s="235">
        <v>2.5411764705882356</v>
      </c>
      <c r="AI262" s="235">
        <v>44.047058823529419</v>
      </c>
      <c r="AJ262" s="235">
        <v>22.588235294117649</v>
      </c>
      <c r="AK262" s="235">
        <v>50.823529411764703</v>
      </c>
      <c r="AL262" s="235">
        <v>73.411764705882348</v>
      </c>
      <c r="AM262" s="235">
        <v>65.976470588235287</v>
      </c>
      <c r="AN262" s="235">
        <v>53.364705882352943</v>
      </c>
      <c r="AO262" s="235">
        <v>119.34117647058824</v>
      </c>
      <c r="AP262" s="200">
        <v>173.1764705882353</v>
      </c>
      <c r="AQ262" s="141">
        <v>0</v>
      </c>
      <c r="AR262" s="200">
        <v>741.83529411764709</v>
      </c>
      <c r="AS262" s="200">
        <v>677.4588235294118</v>
      </c>
      <c r="AT262" s="66">
        <v>1419.294117647059</v>
      </c>
      <c r="AU262" s="235">
        <v>47.058823529411768</v>
      </c>
      <c r="AV262" s="235">
        <v>18.823529411764707</v>
      </c>
      <c r="AW262" s="75">
        <v>0</v>
      </c>
      <c r="AX262" s="235">
        <v>84.705882352941174</v>
      </c>
      <c r="AY262" s="66">
        <v>150.58823529411765</v>
      </c>
      <c r="AZ262" s="202">
        <v>0</v>
      </c>
      <c r="BA262" s="87">
        <v>150.58823529411765</v>
      </c>
      <c r="BB262" s="87">
        <v>18.823529411764707</v>
      </c>
      <c r="BC262" s="87">
        <v>150.58823529411765</v>
      </c>
      <c r="BD262" s="87">
        <v>45.176470588235297</v>
      </c>
      <c r="BE262" s="87">
        <v>195.76470588235293</v>
      </c>
      <c r="BF262" s="87">
        <v>37.647058823529413</v>
      </c>
      <c r="BG262" s="66">
        <v>233.41176470588235</v>
      </c>
      <c r="BH262" s="67">
        <v>1803.294117647059</v>
      </c>
      <c r="BI262" s="67">
        <v>1245039.5239623745</v>
      </c>
    </row>
    <row r="263" spans="1:61" x14ac:dyDescent="0.25">
      <c r="A263" s="142">
        <v>0</v>
      </c>
      <c r="B263" s="68">
        <v>40428</v>
      </c>
      <c r="C263" s="198">
        <v>40428</v>
      </c>
      <c r="D263" s="69">
        <v>39700</v>
      </c>
      <c r="E263" s="70">
        <v>8</v>
      </c>
      <c r="F263" s="71">
        <v>36</v>
      </c>
      <c r="G263" s="72"/>
      <c r="H263" s="82"/>
      <c r="I263" s="210"/>
      <c r="J263" s="210"/>
      <c r="K263" s="235">
        <v>847.05882352941171</v>
      </c>
      <c r="L263" s="235">
        <v>32.941176470588232</v>
      </c>
      <c r="M263" s="235">
        <v>880</v>
      </c>
      <c r="N263" s="235">
        <v>174.11764705882354</v>
      </c>
      <c r="O263" s="235">
        <v>30.117647058823529</v>
      </c>
      <c r="P263" s="235">
        <v>204.23529411764707</v>
      </c>
      <c r="Q263" s="235">
        <v>12.235294117647058</v>
      </c>
      <c r="R263" s="235">
        <v>0</v>
      </c>
      <c r="S263" s="235">
        <v>12.235294117647058</v>
      </c>
      <c r="T263" s="235">
        <v>80</v>
      </c>
      <c r="U263" s="235">
        <v>456.47058823529414</v>
      </c>
      <c r="V263" s="235">
        <v>536.47058823529414</v>
      </c>
      <c r="W263" s="235">
        <v>266.35294117647061</v>
      </c>
      <c r="X263" s="235">
        <v>486.58823529411762</v>
      </c>
      <c r="Y263" s="235">
        <v>752.94117647058829</v>
      </c>
      <c r="Z263" s="200">
        <v>1632.9411764705883</v>
      </c>
      <c r="AA263" s="235">
        <v>64.705882352941174</v>
      </c>
      <c r="AB263" s="235">
        <v>6.2117647058823522</v>
      </c>
      <c r="AC263" s="235">
        <v>70.917647058823519</v>
      </c>
      <c r="AD263" s="235">
        <v>1.8823529411764706</v>
      </c>
      <c r="AE263" s="235">
        <v>0</v>
      </c>
      <c r="AF263" s="235">
        <v>1.8823529411764706</v>
      </c>
      <c r="AG263" s="235">
        <v>52.941176470588232</v>
      </c>
      <c r="AH263" s="235">
        <v>5.0823529411764712</v>
      </c>
      <c r="AI263" s="235">
        <v>58.023529411764706</v>
      </c>
      <c r="AJ263" s="235">
        <v>8.4705882352941178</v>
      </c>
      <c r="AK263" s="235">
        <v>64</v>
      </c>
      <c r="AL263" s="235">
        <v>72.470588235294116</v>
      </c>
      <c r="AM263" s="235">
        <v>63.294117647058826</v>
      </c>
      <c r="AN263" s="235">
        <v>69.082352941176481</v>
      </c>
      <c r="AO263" s="235">
        <v>132.37647058823529</v>
      </c>
      <c r="AP263" s="200">
        <v>203.29411764705881</v>
      </c>
      <c r="AQ263" s="141">
        <v>0</v>
      </c>
      <c r="AR263" s="200">
        <v>950.91764705882349</v>
      </c>
      <c r="AS263" s="200">
        <v>885.31764705882358</v>
      </c>
      <c r="AT263" s="66">
        <v>1836.2352941176471</v>
      </c>
      <c r="AU263" s="235">
        <v>65.882352941176464</v>
      </c>
      <c r="AV263" s="235">
        <v>23.529411764705884</v>
      </c>
      <c r="AW263" s="75">
        <v>0</v>
      </c>
      <c r="AX263" s="235">
        <v>65.882352941176464</v>
      </c>
      <c r="AY263" s="66">
        <v>155.29411764705881</v>
      </c>
      <c r="AZ263" s="202">
        <v>0</v>
      </c>
      <c r="BA263" s="87">
        <v>122.35294117647059</v>
      </c>
      <c r="BB263" s="87">
        <v>61.176470588235297</v>
      </c>
      <c r="BC263" s="87">
        <v>151.52941176470588</v>
      </c>
      <c r="BD263" s="87">
        <v>90.352941176470594</v>
      </c>
      <c r="BE263" s="87">
        <v>241.88235294117646</v>
      </c>
      <c r="BF263" s="87">
        <v>0</v>
      </c>
      <c r="BG263" s="66">
        <v>241.88235294117646</v>
      </c>
      <c r="BH263" s="67">
        <v>2233.4117647058824</v>
      </c>
      <c r="BI263" s="67">
        <v>1247272.9357270803</v>
      </c>
    </row>
    <row r="264" spans="1:61" x14ac:dyDescent="0.25">
      <c r="A264" s="142">
        <v>0</v>
      </c>
      <c r="B264" s="68">
        <v>40429</v>
      </c>
      <c r="C264" s="198">
        <v>40429</v>
      </c>
      <c r="D264" s="69">
        <v>39701</v>
      </c>
      <c r="E264" s="70">
        <v>9</v>
      </c>
      <c r="F264" s="71">
        <v>36</v>
      </c>
      <c r="G264" s="72"/>
      <c r="H264" s="82"/>
      <c r="I264" s="210"/>
      <c r="J264" s="210"/>
      <c r="K264" s="235">
        <v>800</v>
      </c>
      <c r="L264" s="235">
        <v>28.235294117647058</v>
      </c>
      <c r="M264" s="235">
        <v>828.23529411764707</v>
      </c>
      <c r="N264" s="235">
        <v>102.58823529411765</v>
      </c>
      <c r="O264" s="235">
        <v>25.411764705882351</v>
      </c>
      <c r="P264" s="235">
        <v>128</v>
      </c>
      <c r="Q264" s="235">
        <v>16.941176470588236</v>
      </c>
      <c r="R264" s="235">
        <v>0</v>
      </c>
      <c r="S264" s="235">
        <v>16.941176470588236</v>
      </c>
      <c r="T264" s="235">
        <v>51.764705882352942</v>
      </c>
      <c r="U264" s="235">
        <v>381.1764705882353</v>
      </c>
      <c r="V264" s="235">
        <v>432.94117647058823</v>
      </c>
      <c r="W264" s="235">
        <v>171.29411764705881</v>
      </c>
      <c r="X264" s="235">
        <v>406.58823529411762</v>
      </c>
      <c r="Y264" s="235">
        <v>577.88235294117646</v>
      </c>
      <c r="Z264" s="200">
        <v>1406.1176470588234</v>
      </c>
      <c r="AA264" s="235">
        <v>64.188235294117646</v>
      </c>
      <c r="AB264" s="235">
        <v>6.7294117647058824</v>
      </c>
      <c r="AC264" s="235">
        <v>70.917647058823533</v>
      </c>
      <c r="AD264" s="235">
        <v>0</v>
      </c>
      <c r="AE264" s="235">
        <v>0</v>
      </c>
      <c r="AF264" s="235">
        <v>0</v>
      </c>
      <c r="AG264" s="235">
        <v>52.517647058823528</v>
      </c>
      <c r="AH264" s="235">
        <v>5.5058823529411764</v>
      </c>
      <c r="AI264" s="235">
        <v>58.023529411764706</v>
      </c>
      <c r="AJ264" s="235">
        <v>18.823529411764707</v>
      </c>
      <c r="AK264" s="235">
        <v>73.411764705882348</v>
      </c>
      <c r="AL264" s="235">
        <v>92.235294117647058</v>
      </c>
      <c r="AM264" s="235">
        <v>71.341176470588238</v>
      </c>
      <c r="AN264" s="235">
        <v>78.917647058823519</v>
      </c>
      <c r="AO264" s="235">
        <v>150.25882352941176</v>
      </c>
      <c r="AP264" s="200">
        <v>221.1764705882353</v>
      </c>
      <c r="AQ264" s="141">
        <v>0</v>
      </c>
      <c r="AR264" s="200">
        <v>899.15294117647056</v>
      </c>
      <c r="AS264" s="200">
        <v>728.14117647058822</v>
      </c>
      <c r="AT264" s="66">
        <v>1627.2941176470588</v>
      </c>
      <c r="AU264" s="235">
        <v>47.058823529411768</v>
      </c>
      <c r="AV264" s="235">
        <v>42.352941176470587</v>
      </c>
      <c r="AW264" s="75">
        <v>81.882352941176464</v>
      </c>
      <c r="AX264" s="235">
        <v>47.058823529411768</v>
      </c>
      <c r="AY264" s="66">
        <v>218.35294117647058</v>
      </c>
      <c r="AZ264" s="202">
        <v>0</v>
      </c>
      <c r="BA264" s="87">
        <v>47.058823529411768</v>
      </c>
      <c r="BB264" s="87">
        <v>108.23529411764706</v>
      </c>
      <c r="BC264" s="87">
        <v>75.294117647058826</v>
      </c>
      <c r="BD264" s="87">
        <v>108.23529411764706</v>
      </c>
      <c r="BE264" s="87">
        <v>183.52941176470588</v>
      </c>
      <c r="BF264" s="87">
        <v>56.470588235294116</v>
      </c>
      <c r="BG264" s="66">
        <v>240</v>
      </c>
      <c r="BH264" s="67">
        <v>2085.6470588235293</v>
      </c>
      <c r="BI264" s="67">
        <v>1249358.5827859039</v>
      </c>
    </row>
    <row r="265" spans="1:61" x14ac:dyDescent="0.25">
      <c r="A265" s="142">
        <v>0</v>
      </c>
      <c r="B265" s="68">
        <v>40430</v>
      </c>
      <c r="C265" s="198">
        <v>40430</v>
      </c>
      <c r="D265" s="69">
        <v>39702</v>
      </c>
      <c r="E265" s="70">
        <v>10</v>
      </c>
      <c r="F265" s="71">
        <v>36</v>
      </c>
      <c r="G265" s="72"/>
      <c r="H265" s="82"/>
      <c r="I265" s="210"/>
      <c r="J265" s="210"/>
      <c r="K265" s="235">
        <v>705.88235294117646</v>
      </c>
      <c r="L265" s="235">
        <v>23.529411764705884</v>
      </c>
      <c r="M265" s="235">
        <v>729.41176470588232</v>
      </c>
      <c r="N265" s="235">
        <v>118.58823529411765</v>
      </c>
      <c r="O265" s="235">
        <v>21.647058823529413</v>
      </c>
      <c r="P265" s="235">
        <v>140.23529411764707</v>
      </c>
      <c r="Q265" s="235">
        <v>13.176470588235293</v>
      </c>
      <c r="R265" s="235">
        <v>0</v>
      </c>
      <c r="S265" s="235">
        <v>13.176470588235293</v>
      </c>
      <c r="T265" s="235">
        <v>70.588235294117652</v>
      </c>
      <c r="U265" s="235">
        <v>324.70588235294116</v>
      </c>
      <c r="V265" s="235">
        <v>395.29411764705884</v>
      </c>
      <c r="W265" s="235">
        <v>202.35294117647058</v>
      </c>
      <c r="X265" s="235">
        <v>346.35294117647061</v>
      </c>
      <c r="Y265" s="235">
        <v>548.70588235294122</v>
      </c>
      <c r="Z265" s="200">
        <v>1278.1176470588234</v>
      </c>
      <c r="AA265" s="235">
        <v>73.505882352941171</v>
      </c>
      <c r="AB265" s="235">
        <v>5.6941176470588237</v>
      </c>
      <c r="AC265" s="235">
        <v>79.2</v>
      </c>
      <c r="AD265" s="235">
        <v>0</v>
      </c>
      <c r="AE265" s="235">
        <v>0</v>
      </c>
      <c r="AF265" s="235">
        <v>0</v>
      </c>
      <c r="AG265" s="235">
        <v>60.141176470588235</v>
      </c>
      <c r="AH265" s="235">
        <v>4.658823529411765</v>
      </c>
      <c r="AI265" s="235">
        <v>64.8</v>
      </c>
      <c r="AJ265" s="235">
        <v>20.705882352941178</v>
      </c>
      <c r="AK265" s="235">
        <v>69.647058823529406</v>
      </c>
      <c r="AL265" s="235">
        <v>90.352941176470594</v>
      </c>
      <c r="AM265" s="235">
        <v>80.847058823529423</v>
      </c>
      <c r="AN265" s="235">
        <v>74.305882352941182</v>
      </c>
      <c r="AO265" s="235">
        <v>155.15294117647062</v>
      </c>
      <c r="AP265" s="200">
        <v>234.35294117647058</v>
      </c>
      <c r="AQ265" s="141">
        <v>0</v>
      </c>
      <c r="AR265" s="200">
        <v>808.61176470588225</v>
      </c>
      <c r="AS265" s="200">
        <v>703.85882352941189</v>
      </c>
      <c r="AT265" s="66">
        <v>1512.4705882352941</v>
      </c>
      <c r="AU265" s="235">
        <v>84.705882352941174</v>
      </c>
      <c r="AV265" s="235">
        <v>18.823529411764707</v>
      </c>
      <c r="AW265" s="75">
        <v>978.82352941176475</v>
      </c>
      <c r="AX265" s="235">
        <v>56.470588235294116</v>
      </c>
      <c r="AY265" s="66">
        <v>1138.8235294117649</v>
      </c>
      <c r="AZ265" s="202">
        <v>0</v>
      </c>
      <c r="BA265" s="87">
        <v>145.88235294117646</v>
      </c>
      <c r="BB265" s="87">
        <v>127.05882352941177</v>
      </c>
      <c r="BC265" s="87">
        <v>145.88235294117646</v>
      </c>
      <c r="BD265" s="87">
        <v>127.05882352941177</v>
      </c>
      <c r="BE265" s="87">
        <v>272.94117647058823</v>
      </c>
      <c r="BF265" s="87">
        <v>0</v>
      </c>
      <c r="BG265" s="66">
        <v>272.94117647058823</v>
      </c>
      <c r="BH265" s="67">
        <v>2924.2352941176473</v>
      </c>
      <c r="BI265" s="67">
        <v>1252282.8180800215</v>
      </c>
    </row>
    <row r="266" spans="1:61" x14ac:dyDescent="0.25">
      <c r="A266" s="142">
        <v>0</v>
      </c>
      <c r="B266" s="68">
        <v>40431</v>
      </c>
      <c r="C266" s="198">
        <v>40431</v>
      </c>
      <c r="D266" s="69">
        <v>39703</v>
      </c>
      <c r="E266" s="70">
        <v>11</v>
      </c>
      <c r="F266" s="71">
        <v>36</v>
      </c>
      <c r="G266" s="72"/>
      <c r="H266" s="82"/>
      <c r="I266" s="210"/>
      <c r="J266" s="210"/>
      <c r="K266" s="235">
        <v>658.82352941176475</v>
      </c>
      <c r="L266" s="235">
        <v>23.529411764705884</v>
      </c>
      <c r="M266" s="235">
        <v>682.35294117647061</v>
      </c>
      <c r="N266" s="235">
        <v>131.76470588235293</v>
      </c>
      <c r="O266" s="235">
        <v>29.176470588235293</v>
      </c>
      <c r="P266" s="235">
        <v>160.94117647058823</v>
      </c>
      <c r="Q266" s="235">
        <v>6.5882352941176467</v>
      </c>
      <c r="R266" s="235">
        <v>0</v>
      </c>
      <c r="S266" s="235">
        <v>6.5882352941176467</v>
      </c>
      <c r="T266" s="235">
        <v>70.588235294117652</v>
      </c>
      <c r="U266" s="235">
        <v>258.8235294117647</v>
      </c>
      <c r="V266" s="235">
        <v>329.41176470588238</v>
      </c>
      <c r="W266" s="235">
        <v>208.94117647058823</v>
      </c>
      <c r="X266" s="235">
        <v>288</v>
      </c>
      <c r="Y266" s="235">
        <v>496.94117647058823</v>
      </c>
      <c r="Z266" s="200">
        <v>1179.2941176470588</v>
      </c>
      <c r="AA266" s="235">
        <v>63.152941176470584</v>
      </c>
      <c r="AB266" s="235">
        <v>19.670588235294115</v>
      </c>
      <c r="AC266" s="235">
        <v>82.82352941176471</v>
      </c>
      <c r="AD266" s="235">
        <v>0</v>
      </c>
      <c r="AE266" s="235">
        <v>0</v>
      </c>
      <c r="AF266" s="235">
        <v>0</v>
      </c>
      <c r="AG266" s="235">
        <v>51.670588235294119</v>
      </c>
      <c r="AH266" s="235">
        <v>16.094117647058823</v>
      </c>
      <c r="AI266" s="235">
        <v>67.764705882352942</v>
      </c>
      <c r="AJ266" s="235">
        <v>9.4117647058823533</v>
      </c>
      <c r="AK266" s="235">
        <v>88.470588235294116</v>
      </c>
      <c r="AL266" s="235">
        <v>97.882352941176464</v>
      </c>
      <c r="AM266" s="235">
        <v>61.082352941176474</v>
      </c>
      <c r="AN266" s="235">
        <v>104.56470588235294</v>
      </c>
      <c r="AO266" s="235">
        <v>165.64705882352942</v>
      </c>
      <c r="AP266" s="200">
        <v>248.47058823529412</v>
      </c>
      <c r="AQ266" s="141">
        <v>0</v>
      </c>
      <c r="AR266" s="200">
        <v>765.17647058823536</v>
      </c>
      <c r="AS266" s="200">
        <v>662.58823529411768</v>
      </c>
      <c r="AT266" s="66">
        <v>1427.7647058823532</v>
      </c>
      <c r="AU266" s="235">
        <v>84.705882352941174</v>
      </c>
      <c r="AV266" s="235">
        <v>9.4117647058823533</v>
      </c>
      <c r="AW266" s="75">
        <v>37.647058823529413</v>
      </c>
      <c r="AX266" s="235">
        <v>47.058823529411768</v>
      </c>
      <c r="AY266" s="66">
        <v>178.8235294117647</v>
      </c>
      <c r="AZ266" s="202">
        <v>0</v>
      </c>
      <c r="BA266" s="87">
        <v>296.47058823529414</v>
      </c>
      <c r="BB266" s="87">
        <v>108.23529411764706</v>
      </c>
      <c r="BC266" s="87">
        <v>296.47058823529414</v>
      </c>
      <c r="BD266" s="87">
        <v>108.23529411764706</v>
      </c>
      <c r="BE266" s="87">
        <v>404.70588235294116</v>
      </c>
      <c r="BF266" s="87">
        <v>213.64705882352942</v>
      </c>
      <c r="BG266" s="66">
        <v>618.35294117647061</v>
      </c>
      <c r="BH266" s="67">
        <v>2224.9411764705883</v>
      </c>
      <c r="BI266" s="67">
        <v>1254507.7592564921</v>
      </c>
    </row>
    <row r="267" spans="1:61" x14ac:dyDescent="0.25">
      <c r="A267" s="142">
        <v>0</v>
      </c>
      <c r="B267" s="85">
        <v>40432</v>
      </c>
      <c r="C267" s="203">
        <v>40432</v>
      </c>
      <c r="D267" s="76">
        <v>39704</v>
      </c>
      <c r="E267" s="77">
        <v>12</v>
      </c>
      <c r="F267" s="78">
        <v>36</v>
      </c>
      <c r="G267" s="79"/>
      <c r="H267" s="80"/>
      <c r="I267" s="212"/>
      <c r="J267" s="212"/>
      <c r="K267" s="235">
        <v>1882.3529411764705</v>
      </c>
      <c r="L267" s="235">
        <v>94.117647058823536</v>
      </c>
      <c r="M267" s="231">
        <v>1976.4705882352941</v>
      </c>
      <c r="N267" s="231">
        <v>1024.9411764705883</v>
      </c>
      <c r="O267" s="231">
        <v>112</v>
      </c>
      <c r="P267" s="231">
        <v>1136.9411764705883</v>
      </c>
      <c r="Q267" s="231">
        <v>29.176470588235293</v>
      </c>
      <c r="R267" s="231">
        <v>0</v>
      </c>
      <c r="S267" s="231">
        <v>29.176470588235293</v>
      </c>
      <c r="T267" s="231">
        <v>236.23529411764707</v>
      </c>
      <c r="U267" s="231">
        <v>734.11764705882354</v>
      </c>
      <c r="V267" s="231">
        <v>970.35294117647061</v>
      </c>
      <c r="W267" s="231">
        <v>1290.3529411764705</v>
      </c>
      <c r="X267" s="231">
        <v>846.11764705882354</v>
      </c>
      <c r="Y267" s="231">
        <v>2136.4705882352941</v>
      </c>
      <c r="Z267" s="200">
        <v>4112.9411764705883</v>
      </c>
      <c r="AA267" s="231">
        <v>53.317647058823525</v>
      </c>
      <c r="AB267" s="231">
        <v>15.011764705882353</v>
      </c>
      <c r="AC267" s="231">
        <v>68.329411764705881</v>
      </c>
      <c r="AD267" s="231">
        <v>3.7647058823529411</v>
      </c>
      <c r="AE267" s="231">
        <v>0</v>
      </c>
      <c r="AF267" s="231">
        <v>3.7647058823529411</v>
      </c>
      <c r="AG267" s="231">
        <v>43.623529411764707</v>
      </c>
      <c r="AH267" s="231">
        <v>12.282352941176471</v>
      </c>
      <c r="AI267" s="231">
        <v>55.905882352941184</v>
      </c>
      <c r="AJ267" s="231">
        <v>14.117647058823529</v>
      </c>
      <c r="AK267" s="231">
        <v>60.235294117647058</v>
      </c>
      <c r="AL267" s="231">
        <v>74.352941176470594</v>
      </c>
      <c r="AM267" s="231">
        <v>61.505882352941171</v>
      </c>
      <c r="AN267" s="231">
        <v>72.517647058823528</v>
      </c>
      <c r="AO267" s="231">
        <v>134.02352941176468</v>
      </c>
      <c r="AP267" s="200">
        <v>202.35294117647055</v>
      </c>
      <c r="AQ267" s="141">
        <v>0</v>
      </c>
      <c r="AR267" s="200">
        <v>2044.8</v>
      </c>
      <c r="AS267" s="200">
        <v>2270.4941176470588</v>
      </c>
      <c r="AT267" s="66">
        <v>4315.2941176470586</v>
      </c>
      <c r="AU267" s="231">
        <v>112.94117647058823</v>
      </c>
      <c r="AV267" s="231">
        <v>48.822098182338628</v>
      </c>
      <c r="AW267" s="75">
        <v>56.470588235294116</v>
      </c>
      <c r="AX267" s="231">
        <v>291.76470588235293</v>
      </c>
      <c r="AY267" s="66">
        <v>509.99856877057391</v>
      </c>
      <c r="AZ267" s="208">
        <v>0</v>
      </c>
      <c r="BA267" s="87">
        <v>216.47058823529412</v>
      </c>
      <c r="BB267" s="87">
        <v>1701.6470588235295</v>
      </c>
      <c r="BC267" s="87">
        <v>272.94117647058823</v>
      </c>
      <c r="BD267" s="87">
        <v>1701.6470588235295</v>
      </c>
      <c r="BE267" s="87">
        <v>1974.5882352941176</v>
      </c>
      <c r="BF267" s="87">
        <v>0</v>
      </c>
      <c r="BG267" s="66">
        <v>1974.5882352941176</v>
      </c>
      <c r="BH267" s="67">
        <v>6799.8809217117505</v>
      </c>
      <c r="BI267" s="67">
        <v>1261307.6401782038</v>
      </c>
    </row>
    <row r="268" spans="1:61" x14ac:dyDescent="0.25">
      <c r="A268" s="142">
        <v>0</v>
      </c>
      <c r="B268" s="85">
        <v>40433</v>
      </c>
      <c r="C268" s="203">
        <v>40433</v>
      </c>
      <c r="D268" s="76">
        <v>39705</v>
      </c>
      <c r="E268" s="77">
        <v>13</v>
      </c>
      <c r="F268" s="78">
        <v>36</v>
      </c>
      <c r="G268" s="79"/>
      <c r="H268" s="80"/>
      <c r="I268" s="212"/>
      <c r="J268" s="212"/>
      <c r="K268" s="235">
        <v>1317.6470588235295</v>
      </c>
      <c r="L268" s="235">
        <v>94.117647058823536</v>
      </c>
      <c r="M268" s="231">
        <v>1411.7647058823532</v>
      </c>
      <c r="N268" s="231">
        <v>352.94117647058823</v>
      </c>
      <c r="O268" s="231">
        <v>92.235294117647058</v>
      </c>
      <c r="P268" s="231">
        <v>445.1764705882353</v>
      </c>
      <c r="Q268" s="231">
        <v>5.6470588235294121</v>
      </c>
      <c r="R268" s="231">
        <v>0</v>
      </c>
      <c r="S268" s="231">
        <v>5.6470588235294121</v>
      </c>
      <c r="T268" s="231">
        <v>89.411764705882348</v>
      </c>
      <c r="U268" s="231">
        <v>696.47058823529414</v>
      </c>
      <c r="V268" s="231">
        <v>785.88235294117646</v>
      </c>
      <c r="W268" s="231">
        <v>448</v>
      </c>
      <c r="X268" s="231">
        <v>788.70588235294122</v>
      </c>
      <c r="Y268" s="231">
        <v>1236.7058823529412</v>
      </c>
      <c r="Z268" s="200">
        <v>2648.4705882352941</v>
      </c>
      <c r="AA268" s="231">
        <v>32.611764705882351</v>
      </c>
      <c r="AB268" s="231">
        <v>5.1764705882352944</v>
      </c>
      <c r="AC268" s="231">
        <v>37.788235294117648</v>
      </c>
      <c r="AD268" s="231">
        <v>0</v>
      </c>
      <c r="AE268" s="231">
        <v>0</v>
      </c>
      <c r="AF268" s="231">
        <v>0</v>
      </c>
      <c r="AG268" s="231">
        <v>26.682352941176472</v>
      </c>
      <c r="AH268" s="231">
        <v>4.2352941176470589</v>
      </c>
      <c r="AI268" s="231">
        <v>30.91764705882353</v>
      </c>
      <c r="AJ268" s="231">
        <v>1.8823529411764706</v>
      </c>
      <c r="AK268" s="231">
        <v>24.470588235294116</v>
      </c>
      <c r="AL268" s="231">
        <v>26.352941176470587</v>
      </c>
      <c r="AM268" s="231">
        <v>28.564705882352943</v>
      </c>
      <c r="AN268" s="231">
        <v>28.705882352941178</v>
      </c>
      <c r="AO268" s="231">
        <v>57.27058823529412</v>
      </c>
      <c r="AP268" s="200">
        <v>95.058823529411768</v>
      </c>
      <c r="AQ268" s="141">
        <v>0</v>
      </c>
      <c r="AR268" s="200">
        <v>1449.5529411764708</v>
      </c>
      <c r="AS268" s="200">
        <v>1293.9764705882353</v>
      </c>
      <c r="AT268" s="66">
        <v>2743.5294117647063</v>
      </c>
      <c r="AU268" s="231">
        <v>61.176470588235297</v>
      </c>
      <c r="AV268" s="231">
        <v>70.588235294117652</v>
      </c>
      <c r="AW268" s="75">
        <v>0</v>
      </c>
      <c r="AX268" s="231">
        <v>164.70588235294119</v>
      </c>
      <c r="AY268" s="66">
        <v>296.47058823529414</v>
      </c>
      <c r="AZ268" s="208">
        <v>0</v>
      </c>
      <c r="BA268" s="87">
        <v>541.17647058823525</v>
      </c>
      <c r="BB268" s="87">
        <v>1746.8235294117646</v>
      </c>
      <c r="BC268" s="87">
        <v>541.17647058823525</v>
      </c>
      <c r="BD268" s="87">
        <v>1746.8235294117646</v>
      </c>
      <c r="BE268" s="87">
        <v>2288</v>
      </c>
      <c r="BF268" s="87">
        <v>19.764705882352942</v>
      </c>
      <c r="BG268" s="66">
        <v>2307.7647058823532</v>
      </c>
      <c r="BH268" s="67">
        <v>5347.7647058823532</v>
      </c>
      <c r="BI268" s="67">
        <v>1266655.4048840862</v>
      </c>
    </row>
    <row r="269" spans="1:61" x14ac:dyDescent="0.25">
      <c r="A269" s="142">
        <v>0</v>
      </c>
      <c r="B269" s="68">
        <v>40434</v>
      </c>
      <c r="C269" s="198">
        <v>40434</v>
      </c>
      <c r="D269" s="69">
        <v>39706</v>
      </c>
      <c r="E269" s="70">
        <v>14</v>
      </c>
      <c r="F269" s="71">
        <v>37</v>
      </c>
      <c r="G269" s="72"/>
      <c r="H269" s="82"/>
      <c r="I269" s="210"/>
      <c r="J269" s="210"/>
      <c r="K269" s="235">
        <v>564.70588235294122</v>
      </c>
      <c r="L269" s="235">
        <v>28.235294117647058</v>
      </c>
      <c r="M269" s="235">
        <v>592.94117647058829</v>
      </c>
      <c r="N269" s="235">
        <v>85.647058823529406</v>
      </c>
      <c r="O269" s="235">
        <v>11.294117647058824</v>
      </c>
      <c r="P269" s="235">
        <v>96.941176470588232</v>
      </c>
      <c r="Q269" s="235">
        <v>10.352941176470589</v>
      </c>
      <c r="R269" s="235">
        <v>0</v>
      </c>
      <c r="S269" s="235">
        <v>10.352941176470589</v>
      </c>
      <c r="T269" s="235">
        <v>23.529411764705884</v>
      </c>
      <c r="U269" s="235">
        <v>244.70588235294119</v>
      </c>
      <c r="V269" s="235">
        <v>268.23529411764707</v>
      </c>
      <c r="W269" s="235">
        <v>119.52941176470588</v>
      </c>
      <c r="X269" s="235">
        <v>256</v>
      </c>
      <c r="Y269" s="235">
        <v>375.52941176470586</v>
      </c>
      <c r="Z269" s="200">
        <v>968.47058823529414</v>
      </c>
      <c r="AA269" s="235">
        <v>53.835294117647059</v>
      </c>
      <c r="AB269" s="235">
        <v>8.8000000000000007</v>
      </c>
      <c r="AC269" s="235">
        <v>62.635294117647057</v>
      </c>
      <c r="AD269" s="235">
        <v>0</v>
      </c>
      <c r="AE269" s="235">
        <v>0</v>
      </c>
      <c r="AF269" s="235">
        <v>0</v>
      </c>
      <c r="AG269" s="235">
        <v>44.047058823529412</v>
      </c>
      <c r="AH269" s="235">
        <v>7.2</v>
      </c>
      <c r="AI269" s="235">
        <v>51.247058823529407</v>
      </c>
      <c r="AJ269" s="235">
        <v>5.6470588235294121</v>
      </c>
      <c r="AK269" s="235">
        <v>24.470588235294116</v>
      </c>
      <c r="AL269" s="235">
        <v>30.117647058823529</v>
      </c>
      <c r="AM269" s="235">
        <v>49.694117647058818</v>
      </c>
      <c r="AN269" s="235">
        <v>31.670588235294115</v>
      </c>
      <c r="AO269" s="235">
        <v>81.364705882352936</v>
      </c>
      <c r="AP269" s="200">
        <v>144</v>
      </c>
      <c r="AQ269" s="141">
        <v>0</v>
      </c>
      <c r="AR269" s="200">
        <v>655.57647058823534</v>
      </c>
      <c r="AS269" s="200">
        <v>456.89411764705881</v>
      </c>
      <c r="AT269" s="66">
        <v>1112.4705882352941</v>
      </c>
      <c r="AU269" s="235">
        <v>47.058823529411768</v>
      </c>
      <c r="AV269" s="235">
        <v>9.4117647058823533</v>
      </c>
      <c r="AW269" s="75">
        <v>0</v>
      </c>
      <c r="AX269" s="235">
        <v>37.647058823529413</v>
      </c>
      <c r="AY269" s="66">
        <v>94.117647058823536</v>
      </c>
      <c r="AZ269" s="202">
        <v>0</v>
      </c>
      <c r="BA269" s="87">
        <v>51.764705882352942</v>
      </c>
      <c r="BB269" s="87">
        <v>61.176470588235297</v>
      </c>
      <c r="BC269" s="87">
        <v>51.764705882352942</v>
      </c>
      <c r="BD269" s="87">
        <v>61.176470588235297</v>
      </c>
      <c r="BE269" s="87">
        <v>112.94117647058823</v>
      </c>
      <c r="BF269" s="87">
        <v>0</v>
      </c>
      <c r="BG269" s="66">
        <v>112.94117647058823</v>
      </c>
      <c r="BH269" s="67">
        <v>1319.5294117647059</v>
      </c>
      <c r="BI269" s="67">
        <v>1267974.934295851</v>
      </c>
    </row>
    <row r="270" spans="1:61" x14ac:dyDescent="0.25">
      <c r="A270" s="142">
        <v>0</v>
      </c>
      <c r="B270" s="68">
        <v>40435</v>
      </c>
      <c r="C270" s="198">
        <v>40435</v>
      </c>
      <c r="D270" s="69">
        <v>39707</v>
      </c>
      <c r="E270" s="70">
        <v>15</v>
      </c>
      <c r="F270" s="71">
        <v>37</v>
      </c>
      <c r="G270" s="72"/>
      <c r="H270" s="82"/>
      <c r="I270" s="210"/>
      <c r="J270" s="210"/>
      <c r="K270" s="235">
        <v>517.64705882352939</v>
      </c>
      <c r="L270" s="235">
        <v>23.529411764705884</v>
      </c>
      <c r="M270" s="235">
        <v>541.17647058823525</v>
      </c>
      <c r="N270" s="235">
        <v>80</v>
      </c>
      <c r="O270" s="235">
        <v>16.941176470588236</v>
      </c>
      <c r="P270" s="235">
        <v>96.941176470588232</v>
      </c>
      <c r="Q270" s="235">
        <v>3.7647058823529411</v>
      </c>
      <c r="R270" s="235">
        <v>0</v>
      </c>
      <c r="S270" s="235">
        <v>3.7647058823529411</v>
      </c>
      <c r="T270" s="235">
        <v>51.764705882352942</v>
      </c>
      <c r="U270" s="235">
        <v>329.41176470588238</v>
      </c>
      <c r="V270" s="235">
        <v>381.1764705882353</v>
      </c>
      <c r="W270" s="235">
        <v>135.52941176470588</v>
      </c>
      <c r="X270" s="235">
        <v>346.35294117647061</v>
      </c>
      <c r="Y270" s="235">
        <v>481.88235294117646</v>
      </c>
      <c r="Z270" s="200">
        <v>1023.0588235294117</v>
      </c>
      <c r="AA270" s="235">
        <v>24.329411764705885</v>
      </c>
      <c r="AB270" s="235">
        <v>5.1764705882352944</v>
      </c>
      <c r="AC270" s="235">
        <v>29.505882352941178</v>
      </c>
      <c r="AD270" s="235">
        <v>0</v>
      </c>
      <c r="AE270" s="235">
        <v>0</v>
      </c>
      <c r="AF270" s="235">
        <v>0</v>
      </c>
      <c r="AG270" s="235">
        <v>19.905882352941177</v>
      </c>
      <c r="AH270" s="235">
        <v>4.2352941176470589</v>
      </c>
      <c r="AI270" s="235">
        <v>24.141176470588235</v>
      </c>
      <c r="AJ270" s="235">
        <v>5.6470588235294121</v>
      </c>
      <c r="AK270" s="235">
        <v>32</v>
      </c>
      <c r="AL270" s="235">
        <v>37.647058823529413</v>
      </c>
      <c r="AM270" s="235">
        <v>25.552941176470586</v>
      </c>
      <c r="AN270" s="235">
        <v>36.235294117647058</v>
      </c>
      <c r="AO270" s="235">
        <v>61.788235294117655</v>
      </c>
      <c r="AP270" s="200">
        <v>91.294117647058826</v>
      </c>
      <c r="AQ270" s="141">
        <v>0</v>
      </c>
      <c r="AR270" s="200">
        <v>570.68235294117642</v>
      </c>
      <c r="AS270" s="200">
        <v>543.67058823529408</v>
      </c>
      <c r="AT270" s="66">
        <v>1114.3529411764705</v>
      </c>
      <c r="AU270" s="235">
        <v>28.235294117647058</v>
      </c>
      <c r="AV270" s="235">
        <v>4.7058823529411766</v>
      </c>
      <c r="AW270" s="75">
        <v>0</v>
      </c>
      <c r="AX270" s="235">
        <v>70.588235294117652</v>
      </c>
      <c r="AY270" s="66">
        <v>103.52941176470588</v>
      </c>
      <c r="AZ270" s="202">
        <v>0</v>
      </c>
      <c r="BA270" s="87">
        <v>0</v>
      </c>
      <c r="BB270" s="87">
        <v>0</v>
      </c>
      <c r="BC270" s="87">
        <v>0</v>
      </c>
      <c r="BD270" s="87">
        <v>0</v>
      </c>
      <c r="BE270" s="87">
        <v>0</v>
      </c>
      <c r="BF270" s="87">
        <v>0</v>
      </c>
      <c r="BG270" s="66">
        <v>0</v>
      </c>
      <c r="BH270" s="67">
        <v>1217.8823529411764</v>
      </c>
      <c r="BI270" s="67">
        <v>1269192.8166487922</v>
      </c>
    </row>
    <row r="271" spans="1:61" x14ac:dyDescent="0.25">
      <c r="A271" s="142">
        <v>0</v>
      </c>
      <c r="B271" s="68">
        <v>40436</v>
      </c>
      <c r="C271" s="198">
        <v>40436</v>
      </c>
      <c r="D271" s="69">
        <v>39708</v>
      </c>
      <c r="E271" s="70">
        <v>16</v>
      </c>
      <c r="F271" s="71">
        <v>37</v>
      </c>
      <c r="G271" s="72"/>
      <c r="H271" s="82"/>
      <c r="I271" s="210"/>
      <c r="J271" s="210"/>
      <c r="K271" s="235">
        <v>517.64705882352939</v>
      </c>
      <c r="L271" s="235">
        <v>10.352941176470589</v>
      </c>
      <c r="M271" s="235">
        <v>528</v>
      </c>
      <c r="N271" s="235">
        <v>102.58823529411765</v>
      </c>
      <c r="O271" s="235">
        <v>20.705882352941178</v>
      </c>
      <c r="P271" s="235">
        <v>123.29411764705883</v>
      </c>
      <c r="Q271" s="235">
        <v>3.7647058823529411</v>
      </c>
      <c r="R271" s="235">
        <v>0</v>
      </c>
      <c r="S271" s="235">
        <v>3.7647058823529411</v>
      </c>
      <c r="T271" s="235">
        <v>67.764705882352942</v>
      </c>
      <c r="U271" s="235">
        <v>311.52941176470586</v>
      </c>
      <c r="V271" s="235">
        <v>379.29411764705884</v>
      </c>
      <c r="W271" s="235">
        <v>174.11764705882354</v>
      </c>
      <c r="X271" s="235">
        <v>332.23529411764707</v>
      </c>
      <c r="Y271" s="235">
        <v>506.35294117647061</v>
      </c>
      <c r="Z271" s="200">
        <v>1034.3529411764705</v>
      </c>
      <c r="AA271" s="235">
        <v>40.376470588235293</v>
      </c>
      <c r="AB271" s="235">
        <v>4.658823529411765</v>
      </c>
      <c r="AC271" s="235">
        <v>45.035294117647062</v>
      </c>
      <c r="AD271" s="235">
        <v>0</v>
      </c>
      <c r="AE271" s="235">
        <v>0</v>
      </c>
      <c r="AF271" s="235">
        <v>0</v>
      </c>
      <c r="AG271" s="235">
        <v>33.035294117647062</v>
      </c>
      <c r="AH271" s="235">
        <v>3.8117647058823527</v>
      </c>
      <c r="AI271" s="235">
        <v>36.847058823529409</v>
      </c>
      <c r="AJ271" s="235">
        <v>0</v>
      </c>
      <c r="AK271" s="235">
        <v>19.764705882352942</v>
      </c>
      <c r="AL271" s="235">
        <v>19.764705882352942</v>
      </c>
      <c r="AM271" s="235">
        <v>33.035294117647062</v>
      </c>
      <c r="AN271" s="235">
        <v>23.576470588235296</v>
      </c>
      <c r="AO271" s="235">
        <v>56.611764705882358</v>
      </c>
      <c r="AP271" s="200">
        <v>101.64705882352941</v>
      </c>
      <c r="AQ271" s="141">
        <v>0</v>
      </c>
      <c r="AR271" s="200">
        <v>573.03529411764703</v>
      </c>
      <c r="AS271" s="200">
        <v>562.96470588235297</v>
      </c>
      <c r="AT271" s="66">
        <v>1136</v>
      </c>
      <c r="AU271" s="235">
        <v>18.823529411764707</v>
      </c>
      <c r="AV271" s="235">
        <v>18.823529411764707</v>
      </c>
      <c r="AW271" s="75">
        <v>225.88235294117649</v>
      </c>
      <c r="AX271" s="235">
        <v>37.647058823529413</v>
      </c>
      <c r="AY271" s="66">
        <v>301.1764705882353</v>
      </c>
      <c r="AZ271" s="202">
        <v>0</v>
      </c>
      <c r="BA271" s="87">
        <v>0</v>
      </c>
      <c r="BB271" s="87">
        <v>0</v>
      </c>
      <c r="BC271" s="87">
        <v>0</v>
      </c>
      <c r="BD271" s="87">
        <v>0</v>
      </c>
      <c r="BE271" s="87">
        <v>0</v>
      </c>
      <c r="BF271" s="87">
        <v>31.058823529411764</v>
      </c>
      <c r="BG271" s="66">
        <v>31.058823529411764</v>
      </c>
      <c r="BH271" s="67">
        <v>1468.2352941176471</v>
      </c>
      <c r="BI271" s="67">
        <v>1270661.0519429098</v>
      </c>
    </row>
    <row r="272" spans="1:61" x14ac:dyDescent="0.25">
      <c r="A272" s="142">
        <v>0</v>
      </c>
      <c r="B272" s="68">
        <v>40437</v>
      </c>
      <c r="C272" s="198">
        <v>40437</v>
      </c>
      <c r="D272" s="69">
        <v>39709</v>
      </c>
      <c r="E272" s="70">
        <v>17</v>
      </c>
      <c r="F272" s="71">
        <v>37</v>
      </c>
      <c r="G272" s="72"/>
      <c r="H272" s="82"/>
      <c r="I272" s="210"/>
      <c r="J272" s="210"/>
      <c r="K272" s="235">
        <v>517.64705882352939</v>
      </c>
      <c r="L272" s="235">
        <v>5.6470588235294121</v>
      </c>
      <c r="M272" s="235">
        <v>523.29411764705878</v>
      </c>
      <c r="N272" s="235">
        <v>80</v>
      </c>
      <c r="O272" s="235">
        <v>20.705882352941178</v>
      </c>
      <c r="P272" s="235">
        <v>100.70588235294117</v>
      </c>
      <c r="Q272" s="235">
        <v>20.705882352941178</v>
      </c>
      <c r="R272" s="235">
        <v>0</v>
      </c>
      <c r="S272" s="235">
        <v>20.705882352941178</v>
      </c>
      <c r="T272" s="235">
        <v>31.058823529411764</v>
      </c>
      <c r="U272" s="235">
        <v>265.41176470588238</v>
      </c>
      <c r="V272" s="235">
        <v>296.47058823529414</v>
      </c>
      <c r="W272" s="235">
        <v>131.76470588235293</v>
      </c>
      <c r="X272" s="235">
        <v>286.11764705882354</v>
      </c>
      <c r="Y272" s="235">
        <v>417.88235294117646</v>
      </c>
      <c r="Z272" s="200">
        <v>941.17647058823525</v>
      </c>
      <c r="AA272" s="235">
        <v>34.682352941176475</v>
      </c>
      <c r="AB272" s="235">
        <v>3.1058823529411761</v>
      </c>
      <c r="AC272" s="235">
        <v>37.788235294117648</v>
      </c>
      <c r="AD272" s="235">
        <v>0</v>
      </c>
      <c r="AE272" s="235">
        <v>0</v>
      </c>
      <c r="AF272" s="235">
        <v>0</v>
      </c>
      <c r="AG272" s="235">
        <v>28.376470588235293</v>
      </c>
      <c r="AH272" s="235">
        <v>2.5411764705882356</v>
      </c>
      <c r="AI272" s="235">
        <v>30.91764705882353</v>
      </c>
      <c r="AJ272" s="235">
        <v>7.5294117647058822</v>
      </c>
      <c r="AK272" s="235">
        <v>11.294117647058824</v>
      </c>
      <c r="AL272" s="235">
        <v>18.823529411764707</v>
      </c>
      <c r="AM272" s="235">
        <v>35.905882352941177</v>
      </c>
      <c r="AN272" s="235">
        <v>13.835294117647058</v>
      </c>
      <c r="AO272" s="235">
        <v>49.741176470588229</v>
      </c>
      <c r="AP272" s="200">
        <v>87.529411764705884</v>
      </c>
      <c r="AQ272" s="141">
        <v>0</v>
      </c>
      <c r="AR272" s="200">
        <v>561.0823529411764</v>
      </c>
      <c r="AS272" s="200">
        <v>467.62352941176471</v>
      </c>
      <c r="AT272" s="66">
        <v>1028.705882352941</v>
      </c>
      <c r="AU272" s="235">
        <v>28.235294117647058</v>
      </c>
      <c r="AV272" s="235">
        <v>9.4117647058823533</v>
      </c>
      <c r="AW272" s="75">
        <v>0</v>
      </c>
      <c r="AX272" s="235">
        <v>112.94117647058823</v>
      </c>
      <c r="AY272" s="66">
        <v>150.58823529411765</v>
      </c>
      <c r="AZ272" s="202">
        <v>0</v>
      </c>
      <c r="BA272" s="87">
        <v>67.764705882352942</v>
      </c>
      <c r="BB272" s="87">
        <v>0</v>
      </c>
      <c r="BC272" s="87">
        <v>67.764705882352942</v>
      </c>
      <c r="BD272" s="87">
        <v>0</v>
      </c>
      <c r="BE272" s="87">
        <v>67.764705882352942</v>
      </c>
      <c r="BF272" s="87">
        <v>144</v>
      </c>
      <c r="BG272" s="66">
        <v>211.76470588235293</v>
      </c>
      <c r="BH272" s="67">
        <v>1391.0588235294117</v>
      </c>
      <c r="BI272" s="67">
        <v>1272052.1107664392</v>
      </c>
    </row>
    <row r="273" spans="1:61" x14ac:dyDescent="0.25">
      <c r="A273" s="142">
        <v>0</v>
      </c>
      <c r="B273" s="68">
        <v>40438</v>
      </c>
      <c r="C273" s="198">
        <v>40438</v>
      </c>
      <c r="D273" s="69">
        <v>39710</v>
      </c>
      <c r="E273" s="70">
        <v>18</v>
      </c>
      <c r="F273" s="71">
        <v>37</v>
      </c>
      <c r="G273" s="72"/>
      <c r="H273" s="82"/>
      <c r="I273" s="210"/>
      <c r="J273" s="210"/>
      <c r="K273" s="235">
        <v>517.64705882352939</v>
      </c>
      <c r="L273" s="235">
        <v>10.352941176470589</v>
      </c>
      <c r="M273" s="235">
        <v>528</v>
      </c>
      <c r="N273" s="235">
        <v>89.411764705882348</v>
      </c>
      <c r="O273" s="235">
        <v>13.176470588235293</v>
      </c>
      <c r="P273" s="235">
        <v>102.58823529411765</v>
      </c>
      <c r="Q273" s="235">
        <v>5.6470588235294121</v>
      </c>
      <c r="R273" s="235">
        <v>0</v>
      </c>
      <c r="S273" s="235">
        <v>5.6470588235294121</v>
      </c>
      <c r="T273" s="235">
        <v>80.941176470588232</v>
      </c>
      <c r="U273" s="235">
        <v>226.8235294117647</v>
      </c>
      <c r="V273" s="235">
        <v>307.76470588235293</v>
      </c>
      <c r="W273" s="235">
        <v>176</v>
      </c>
      <c r="X273" s="235">
        <v>240</v>
      </c>
      <c r="Y273" s="235">
        <v>416</v>
      </c>
      <c r="Z273" s="200">
        <v>944</v>
      </c>
      <c r="AA273" s="235">
        <v>37.788235294117648</v>
      </c>
      <c r="AB273" s="235">
        <v>4.658823529411765</v>
      </c>
      <c r="AC273" s="235">
        <v>42.44705882352941</v>
      </c>
      <c r="AD273" s="235">
        <v>0</v>
      </c>
      <c r="AE273" s="235">
        <v>0</v>
      </c>
      <c r="AF273" s="235">
        <v>0</v>
      </c>
      <c r="AG273" s="235">
        <v>30.91764705882353</v>
      </c>
      <c r="AH273" s="235">
        <v>3.8117647058823527</v>
      </c>
      <c r="AI273" s="235">
        <v>34.72941176470588</v>
      </c>
      <c r="AJ273" s="235">
        <v>0</v>
      </c>
      <c r="AK273" s="235">
        <v>16</v>
      </c>
      <c r="AL273" s="235">
        <v>16</v>
      </c>
      <c r="AM273" s="235">
        <v>30.91764705882353</v>
      </c>
      <c r="AN273" s="235">
        <v>19.811764705882354</v>
      </c>
      <c r="AO273" s="235">
        <v>50.729411764705887</v>
      </c>
      <c r="AP273" s="200">
        <v>93.17647058823529</v>
      </c>
      <c r="AQ273" s="141">
        <v>0</v>
      </c>
      <c r="AR273" s="200">
        <v>570.44705882352946</v>
      </c>
      <c r="AS273" s="200">
        <v>466.7294117647059</v>
      </c>
      <c r="AT273" s="66">
        <v>1037.1764705882354</v>
      </c>
      <c r="AU273" s="235">
        <v>28.235294117647058</v>
      </c>
      <c r="AV273" s="235">
        <v>5.6333190210390729</v>
      </c>
      <c r="AW273" s="75">
        <v>0</v>
      </c>
      <c r="AX273" s="235">
        <v>47.058823529411768</v>
      </c>
      <c r="AY273" s="66">
        <v>80.927436668097897</v>
      </c>
      <c r="AZ273" s="202">
        <v>0</v>
      </c>
      <c r="BA273" s="87">
        <v>245.64705882352942</v>
      </c>
      <c r="BB273" s="87">
        <v>51.764705882352942</v>
      </c>
      <c r="BC273" s="87">
        <v>245.64705882352942</v>
      </c>
      <c r="BD273" s="87">
        <v>51.764705882352942</v>
      </c>
      <c r="BE273" s="87">
        <v>297.41176470588238</v>
      </c>
      <c r="BF273" s="87">
        <v>229.64705882352942</v>
      </c>
      <c r="BG273" s="66">
        <v>527.05882352941182</v>
      </c>
      <c r="BH273" s="67">
        <v>1645.1627307857452</v>
      </c>
      <c r="BI273" s="67">
        <v>1273697.273497225</v>
      </c>
    </row>
    <row r="274" spans="1:61" x14ac:dyDescent="0.25">
      <c r="A274" s="142">
        <v>0</v>
      </c>
      <c r="B274" s="85">
        <v>40439</v>
      </c>
      <c r="C274" s="203">
        <v>40439</v>
      </c>
      <c r="D274" s="76">
        <v>39711</v>
      </c>
      <c r="E274" s="77">
        <v>19</v>
      </c>
      <c r="F274" s="78">
        <v>37</v>
      </c>
      <c r="G274" s="79"/>
      <c r="H274" s="80"/>
      <c r="I274" s="212"/>
      <c r="J274" s="212"/>
      <c r="K274" s="235">
        <v>1882.3529411764705</v>
      </c>
      <c r="L274" s="235">
        <v>94.117647058823536</v>
      </c>
      <c r="M274" s="231">
        <v>1976.4705882352941</v>
      </c>
      <c r="N274" s="231">
        <v>859.29411764705878</v>
      </c>
      <c r="O274" s="231">
        <v>84.705882352941174</v>
      </c>
      <c r="P274" s="231">
        <v>944</v>
      </c>
      <c r="Q274" s="231">
        <v>89.411764705882348</v>
      </c>
      <c r="R274" s="231">
        <v>0</v>
      </c>
      <c r="S274" s="231">
        <v>89.411764705882348</v>
      </c>
      <c r="T274" s="231">
        <v>164.70588235294119</v>
      </c>
      <c r="U274" s="231">
        <v>745.41176470588232</v>
      </c>
      <c r="V274" s="231">
        <v>910.11764705882354</v>
      </c>
      <c r="W274" s="231">
        <v>1113.4117647058824</v>
      </c>
      <c r="X274" s="231">
        <v>830.11764705882354</v>
      </c>
      <c r="Y274" s="231">
        <v>1943.5294117647059</v>
      </c>
      <c r="Z274" s="200">
        <v>3920</v>
      </c>
      <c r="AA274" s="231">
        <v>27.435294117647057</v>
      </c>
      <c r="AB274" s="231">
        <v>19.152941176470591</v>
      </c>
      <c r="AC274" s="231">
        <v>46.588235294117645</v>
      </c>
      <c r="AD274" s="231">
        <v>0</v>
      </c>
      <c r="AE274" s="231">
        <v>0</v>
      </c>
      <c r="AF274" s="231">
        <v>0</v>
      </c>
      <c r="AG274" s="231">
        <v>22.447058823529414</v>
      </c>
      <c r="AH274" s="231">
        <v>15.670588235294117</v>
      </c>
      <c r="AI274" s="231">
        <v>38.117647058823529</v>
      </c>
      <c r="AJ274" s="231">
        <v>5.6470588235294121</v>
      </c>
      <c r="AK274" s="231">
        <v>47.058823529411768</v>
      </c>
      <c r="AL274" s="231">
        <v>52.705882352941174</v>
      </c>
      <c r="AM274" s="231">
        <v>28.094117647058823</v>
      </c>
      <c r="AN274" s="231">
        <v>62.729411764705887</v>
      </c>
      <c r="AO274" s="231">
        <v>90.82352941176471</v>
      </c>
      <c r="AP274" s="200">
        <v>137.41176470588235</v>
      </c>
      <c r="AQ274" s="141">
        <v>0</v>
      </c>
      <c r="AR274" s="200">
        <v>2023.0588235294117</v>
      </c>
      <c r="AS274" s="200">
        <v>2034.3529411764705</v>
      </c>
      <c r="AT274" s="66">
        <v>4057.411764705882</v>
      </c>
      <c r="AU274" s="231">
        <v>94.117647058823536</v>
      </c>
      <c r="AV274" s="231">
        <v>37.647058823529413</v>
      </c>
      <c r="AW274" s="75">
        <v>0</v>
      </c>
      <c r="AX274" s="231">
        <v>658.82352941176475</v>
      </c>
      <c r="AY274" s="66">
        <v>790.58823529411768</v>
      </c>
      <c r="AZ274" s="208">
        <v>0</v>
      </c>
      <c r="BA274" s="87">
        <v>1835.2941176470588</v>
      </c>
      <c r="BB274" s="87">
        <v>1604.7058823529412</v>
      </c>
      <c r="BC274" s="87">
        <v>1848.4705882352941</v>
      </c>
      <c r="BD274" s="87">
        <v>1604.7058823529412</v>
      </c>
      <c r="BE274" s="87">
        <v>3453.1764705882351</v>
      </c>
      <c r="BF274" s="87">
        <v>149.64705882352942</v>
      </c>
      <c r="BG274" s="66">
        <v>3602.8235294117644</v>
      </c>
      <c r="BH274" s="67">
        <v>8450.823529411764</v>
      </c>
      <c r="BI274" s="67">
        <v>1282148.0970266368</v>
      </c>
    </row>
    <row r="275" spans="1:61" x14ac:dyDescent="0.25">
      <c r="A275" s="142">
        <v>0</v>
      </c>
      <c r="B275" s="85">
        <v>40440</v>
      </c>
      <c r="C275" s="203">
        <v>40440</v>
      </c>
      <c r="D275" s="76">
        <v>39712</v>
      </c>
      <c r="E275" s="77">
        <v>20</v>
      </c>
      <c r="F275" s="78">
        <v>37</v>
      </c>
      <c r="G275" s="79"/>
      <c r="H275" s="80"/>
      <c r="I275" s="212"/>
      <c r="J275" s="212"/>
      <c r="K275" s="235">
        <v>1317.6470588235295</v>
      </c>
      <c r="L275" s="235">
        <v>94.117647058823536</v>
      </c>
      <c r="M275" s="231">
        <v>1411.7647058823532</v>
      </c>
      <c r="N275" s="231">
        <v>366.11764705882354</v>
      </c>
      <c r="O275" s="231">
        <v>96.941176470588232</v>
      </c>
      <c r="P275" s="231">
        <v>463.05882352941177</v>
      </c>
      <c r="Q275" s="231">
        <v>12.235294117647058</v>
      </c>
      <c r="R275" s="231">
        <v>0</v>
      </c>
      <c r="S275" s="231">
        <v>12.235294117647058</v>
      </c>
      <c r="T275" s="231">
        <v>50.823529411764703</v>
      </c>
      <c r="U275" s="231">
        <v>720</v>
      </c>
      <c r="V275" s="231">
        <v>770.82352941176475</v>
      </c>
      <c r="W275" s="231">
        <v>429.1764705882353</v>
      </c>
      <c r="X275" s="231">
        <v>816.94117647058829</v>
      </c>
      <c r="Y275" s="231">
        <v>1246.1176470588234</v>
      </c>
      <c r="Z275" s="200">
        <v>2657.8823529411766</v>
      </c>
      <c r="AA275" s="231">
        <v>19.670588235294115</v>
      </c>
      <c r="AB275" s="231">
        <v>16.047058823529412</v>
      </c>
      <c r="AC275" s="231">
        <v>35.71764705882353</v>
      </c>
      <c r="AD275" s="231">
        <v>0</v>
      </c>
      <c r="AE275" s="231">
        <v>0</v>
      </c>
      <c r="AF275" s="231">
        <v>0</v>
      </c>
      <c r="AG275" s="231">
        <v>16.094117647058823</v>
      </c>
      <c r="AH275" s="231">
        <v>13.129411764705882</v>
      </c>
      <c r="AI275" s="231">
        <v>29.223529411764705</v>
      </c>
      <c r="AJ275" s="231">
        <v>9.4117647058823533</v>
      </c>
      <c r="AK275" s="231">
        <v>29.176470588235293</v>
      </c>
      <c r="AL275" s="231">
        <v>38.588235294117645</v>
      </c>
      <c r="AM275" s="231">
        <v>25.505882352941178</v>
      </c>
      <c r="AN275" s="231">
        <v>42.305882352941182</v>
      </c>
      <c r="AO275" s="231">
        <v>67.811764705882368</v>
      </c>
      <c r="AP275" s="200">
        <v>103.5294117647059</v>
      </c>
      <c r="AQ275" s="141">
        <v>0</v>
      </c>
      <c r="AR275" s="200">
        <v>1447.4823529411767</v>
      </c>
      <c r="AS275" s="200">
        <v>1313.9294117647057</v>
      </c>
      <c r="AT275" s="66">
        <v>2761.4117647058824</v>
      </c>
      <c r="AU275" s="231">
        <v>28.235294117647058</v>
      </c>
      <c r="AV275" s="231">
        <v>56.470588235294116</v>
      </c>
      <c r="AW275" s="75">
        <v>0</v>
      </c>
      <c r="AX275" s="231">
        <v>301.1764705882353</v>
      </c>
      <c r="AY275" s="66">
        <v>385.88235294117646</v>
      </c>
      <c r="AZ275" s="208">
        <v>0</v>
      </c>
      <c r="BA275" s="87">
        <v>302.11764705882354</v>
      </c>
      <c r="BB275" s="87">
        <v>1587.7647058823529</v>
      </c>
      <c r="BC275" s="87">
        <v>302.11764705882354</v>
      </c>
      <c r="BD275" s="87">
        <v>1587.7647058823529</v>
      </c>
      <c r="BE275" s="87">
        <v>1889.8823529411766</v>
      </c>
      <c r="BF275" s="87">
        <v>65.882352941176464</v>
      </c>
      <c r="BG275" s="66">
        <v>1955.7647058823532</v>
      </c>
      <c r="BH275" s="67">
        <v>5103.0588235294126</v>
      </c>
      <c r="BI275" s="67">
        <v>1287251.1558501662</v>
      </c>
    </row>
    <row r="276" spans="1:61" x14ac:dyDescent="0.25">
      <c r="A276" s="142">
        <v>0</v>
      </c>
      <c r="B276" s="68">
        <v>40441</v>
      </c>
      <c r="C276" s="198">
        <v>40441</v>
      </c>
      <c r="D276" s="69">
        <v>39713</v>
      </c>
      <c r="E276" s="70">
        <v>21</v>
      </c>
      <c r="F276" s="71">
        <v>38</v>
      </c>
      <c r="G276" s="72"/>
      <c r="H276" s="82"/>
      <c r="I276" s="210"/>
      <c r="J276" s="210"/>
      <c r="K276" s="235">
        <v>470.58823529411762</v>
      </c>
      <c r="L276" s="235">
        <v>10.352941176470589</v>
      </c>
      <c r="M276" s="235">
        <v>480.94117647058823</v>
      </c>
      <c r="N276" s="235">
        <v>83.764705882352942</v>
      </c>
      <c r="O276" s="235">
        <v>37.647058823529413</v>
      </c>
      <c r="P276" s="235">
        <v>121.41176470588235</v>
      </c>
      <c r="Q276" s="235">
        <v>0</v>
      </c>
      <c r="R276" s="235">
        <v>0</v>
      </c>
      <c r="S276" s="235">
        <v>0</v>
      </c>
      <c r="T276" s="235">
        <v>61.176470588235297</v>
      </c>
      <c r="U276" s="235">
        <v>192.94117647058823</v>
      </c>
      <c r="V276" s="235">
        <v>254.11764705882354</v>
      </c>
      <c r="W276" s="235">
        <v>144.94117647058823</v>
      </c>
      <c r="X276" s="235">
        <v>230.58823529411765</v>
      </c>
      <c r="Y276" s="235">
        <v>375.52941176470586</v>
      </c>
      <c r="Z276" s="200">
        <v>856.47058823529414</v>
      </c>
      <c r="AA276" s="235">
        <v>37.788235294117648</v>
      </c>
      <c r="AB276" s="235">
        <v>4.1411764705882357</v>
      </c>
      <c r="AC276" s="235">
        <v>41.929411764705883</v>
      </c>
      <c r="AD276" s="235">
        <v>0</v>
      </c>
      <c r="AE276" s="235">
        <v>0</v>
      </c>
      <c r="AF276" s="235">
        <v>0</v>
      </c>
      <c r="AG276" s="235">
        <v>30.91764705882353</v>
      </c>
      <c r="AH276" s="235">
        <v>3.388235294117647</v>
      </c>
      <c r="AI276" s="235">
        <v>34.305882352941182</v>
      </c>
      <c r="AJ276" s="235">
        <v>10.352941176470589</v>
      </c>
      <c r="AK276" s="235">
        <v>12.235294117647058</v>
      </c>
      <c r="AL276" s="235">
        <v>22.588235294117649</v>
      </c>
      <c r="AM276" s="235">
        <v>41.27058823529412</v>
      </c>
      <c r="AN276" s="235">
        <v>15.623529411764707</v>
      </c>
      <c r="AO276" s="235">
        <v>56.894117647058827</v>
      </c>
      <c r="AP276" s="200">
        <v>98.82352941176471</v>
      </c>
      <c r="AQ276" s="141">
        <v>0</v>
      </c>
      <c r="AR276" s="200">
        <v>522.87058823529412</v>
      </c>
      <c r="AS276" s="200">
        <v>432.42352941176466</v>
      </c>
      <c r="AT276" s="66">
        <v>955.29411764705878</v>
      </c>
      <c r="AU276" s="235">
        <v>9.4117647058823533</v>
      </c>
      <c r="AV276" s="235">
        <v>9.4117647058823533</v>
      </c>
      <c r="AW276" s="75">
        <v>0</v>
      </c>
      <c r="AX276" s="235">
        <v>47.058823529411768</v>
      </c>
      <c r="AY276" s="66">
        <v>65.882352941176478</v>
      </c>
      <c r="AZ276" s="202">
        <v>0</v>
      </c>
      <c r="BA276" s="87">
        <v>0</v>
      </c>
      <c r="BB276" s="87">
        <v>0</v>
      </c>
      <c r="BC276" s="87">
        <v>0</v>
      </c>
      <c r="BD276" s="87">
        <v>0</v>
      </c>
      <c r="BE276" s="87">
        <v>0</v>
      </c>
      <c r="BF276" s="87">
        <v>0</v>
      </c>
      <c r="BG276" s="66">
        <v>0</v>
      </c>
      <c r="BH276" s="67">
        <v>1021.1764705882352</v>
      </c>
      <c r="BI276" s="67">
        <v>1288272.3323207544</v>
      </c>
    </row>
    <row r="277" spans="1:61" x14ac:dyDescent="0.25">
      <c r="A277" s="142">
        <v>0</v>
      </c>
      <c r="B277" s="68">
        <v>40442</v>
      </c>
      <c r="C277" s="198">
        <v>40442</v>
      </c>
      <c r="D277" s="69">
        <v>39714</v>
      </c>
      <c r="E277" s="70">
        <v>22</v>
      </c>
      <c r="F277" s="71">
        <v>38</v>
      </c>
      <c r="G277" s="72"/>
      <c r="H277" s="82"/>
      <c r="I277" s="210"/>
      <c r="J277" s="210"/>
      <c r="K277" s="235">
        <v>517.64705882352939</v>
      </c>
      <c r="L277" s="235">
        <v>15.058823529411764</v>
      </c>
      <c r="M277" s="235">
        <v>532.7058823529411</v>
      </c>
      <c r="N277" s="235">
        <v>95.058823529411768</v>
      </c>
      <c r="O277" s="235">
        <v>28.235294117647058</v>
      </c>
      <c r="P277" s="235">
        <v>123.29411764705883</v>
      </c>
      <c r="Q277" s="235">
        <v>2.8235294117647061</v>
      </c>
      <c r="R277" s="235">
        <v>0</v>
      </c>
      <c r="S277" s="235">
        <v>2.8235294117647061</v>
      </c>
      <c r="T277" s="235">
        <v>32.941176470588232</v>
      </c>
      <c r="U277" s="235">
        <v>240</v>
      </c>
      <c r="V277" s="235">
        <v>272.94117647058823</v>
      </c>
      <c r="W277" s="235">
        <v>130.8235294117647</v>
      </c>
      <c r="X277" s="235">
        <v>268.23529411764707</v>
      </c>
      <c r="Y277" s="235">
        <v>399.05882352941177</v>
      </c>
      <c r="Z277" s="200">
        <v>931.76470588235293</v>
      </c>
      <c r="AA277" s="235">
        <v>42.44705882352941</v>
      </c>
      <c r="AB277" s="235">
        <v>6.2117647058823522</v>
      </c>
      <c r="AC277" s="235">
        <v>48.658823529411769</v>
      </c>
      <c r="AD277" s="235">
        <v>0</v>
      </c>
      <c r="AE277" s="235">
        <v>0</v>
      </c>
      <c r="AF277" s="235">
        <v>0</v>
      </c>
      <c r="AG277" s="235">
        <v>34.72941176470588</v>
      </c>
      <c r="AH277" s="235">
        <v>5.0823529411764712</v>
      </c>
      <c r="AI277" s="235">
        <v>39.811764705882354</v>
      </c>
      <c r="AJ277" s="235">
        <v>4.7058823529411766</v>
      </c>
      <c r="AK277" s="235">
        <v>20.705882352941178</v>
      </c>
      <c r="AL277" s="235">
        <v>25.411764705882351</v>
      </c>
      <c r="AM277" s="235">
        <v>39.435294117647061</v>
      </c>
      <c r="AN277" s="235">
        <v>25.788235294117644</v>
      </c>
      <c r="AO277" s="235">
        <v>65.223529411764702</v>
      </c>
      <c r="AP277" s="200">
        <v>113.88235294117646</v>
      </c>
      <c r="AQ277" s="141">
        <v>0</v>
      </c>
      <c r="AR277" s="200">
        <v>581.36470588235284</v>
      </c>
      <c r="AS277" s="200">
        <v>464.28235294117644</v>
      </c>
      <c r="AT277" s="66">
        <v>1045.6470588235293</v>
      </c>
      <c r="AU277" s="235">
        <v>32.941176470588232</v>
      </c>
      <c r="AV277" s="235">
        <v>4.6944325175325607</v>
      </c>
      <c r="AW277" s="75">
        <v>0</v>
      </c>
      <c r="AX277" s="235">
        <v>56.470588235294116</v>
      </c>
      <c r="AY277" s="66">
        <v>94.10619722341491</v>
      </c>
      <c r="AZ277" s="202">
        <v>0</v>
      </c>
      <c r="BA277" s="87">
        <v>0</v>
      </c>
      <c r="BB277" s="87">
        <v>0</v>
      </c>
      <c r="BC277" s="87">
        <v>32</v>
      </c>
      <c r="BD277" s="87">
        <v>0</v>
      </c>
      <c r="BE277" s="87">
        <v>32</v>
      </c>
      <c r="BF277" s="87">
        <v>62.117647058823529</v>
      </c>
      <c r="BG277" s="66">
        <v>94.117647058823536</v>
      </c>
      <c r="BH277" s="67">
        <v>1233.8709031057676</v>
      </c>
      <c r="BI277" s="67">
        <v>1289506.2032238601</v>
      </c>
    </row>
    <row r="278" spans="1:61" x14ac:dyDescent="0.25">
      <c r="A278" s="142">
        <v>0</v>
      </c>
      <c r="B278" s="68">
        <v>40443</v>
      </c>
      <c r="C278" s="198">
        <v>40443</v>
      </c>
      <c r="D278" s="69">
        <v>39715</v>
      </c>
      <c r="E278" s="70">
        <v>23</v>
      </c>
      <c r="F278" s="71">
        <v>38</v>
      </c>
      <c r="G278" s="72"/>
      <c r="H278" s="82"/>
      <c r="I278" s="210"/>
      <c r="J278" s="210"/>
      <c r="K278" s="235">
        <v>423.52941176470586</v>
      </c>
      <c r="L278" s="235">
        <v>13.176470588235293</v>
      </c>
      <c r="M278" s="235">
        <v>436.70588235294116</v>
      </c>
      <c r="N278" s="235">
        <v>111.05882352941177</v>
      </c>
      <c r="O278" s="235">
        <v>4.7058823529411766</v>
      </c>
      <c r="P278" s="235">
        <v>115.76470588235294</v>
      </c>
      <c r="Q278" s="235">
        <v>0</v>
      </c>
      <c r="R278" s="235">
        <v>0</v>
      </c>
      <c r="S278" s="235">
        <v>0</v>
      </c>
      <c r="T278" s="235">
        <v>51.764705882352942</v>
      </c>
      <c r="U278" s="235">
        <v>249.41176470588235</v>
      </c>
      <c r="V278" s="235">
        <v>301.1764705882353</v>
      </c>
      <c r="W278" s="235">
        <v>162.8235294117647</v>
      </c>
      <c r="X278" s="235">
        <v>254.11764705882354</v>
      </c>
      <c r="Y278" s="235">
        <v>416.94117647058823</v>
      </c>
      <c r="Z278" s="200">
        <v>853.64705882352939</v>
      </c>
      <c r="AA278" s="235">
        <v>25.882352941176471</v>
      </c>
      <c r="AB278" s="235">
        <v>3.1058823529411761</v>
      </c>
      <c r="AC278" s="235">
        <v>28.988235294117647</v>
      </c>
      <c r="AD278" s="235">
        <v>0</v>
      </c>
      <c r="AE278" s="235">
        <v>0</v>
      </c>
      <c r="AF278" s="235">
        <v>0</v>
      </c>
      <c r="AG278" s="235">
        <v>21.176470588235293</v>
      </c>
      <c r="AH278" s="235">
        <v>2.5411764705882356</v>
      </c>
      <c r="AI278" s="235">
        <v>23.71764705882353</v>
      </c>
      <c r="AJ278" s="235">
        <v>4.7058823529411766</v>
      </c>
      <c r="AK278" s="235">
        <v>10.352941176470589</v>
      </c>
      <c r="AL278" s="235">
        <v>15.058823529411764</v>
      </c>
      <c r="AM278" s="235">
        <v>25.882352941176471</v>
      </c>
      <c r="AN278" s="235">
        <v>12.894117647058822</v>
      </c>
      <c r="AO278" s="235">
        <v>38.776470588235298</v>
      </c>
      <c r="AP278" s="200">
        <v>67.764705882352942</v>
      </c>
      <c r="AQ278" s="141">
        <v>0</v>
      </c>
      <c r="AR278" s="200">
        <v>465.69411764705882</v>
      </c>
      <c r="AS278" s="200">
        <v>455.71764705882356</v>
      </c>
      <c r="AT278" s="66">
        <v>921.41176470588243</v>
      </c>
      <c r="AU278" s="235">
        <v>42.352941176470587</v>
      </c>
      <c r="AV278" s="235">
        <v>23.529411764705884</v>
      </c>
      <c r="AW278" s="75">
        <v>0</v>
      </c>
      <c r="AX278" s="235">
        <v>47.058823529411768</v>
      </c>
      <c r="AY278" s="66">
        <v>112.94117647058823</v>
      </c>
      <c r="AZ278" s="202">
        <v>0</v>
      </c>
      <c r="BA278" s="87">
        <v>0</v>
      </c>
      <c r="BB278" s="87">
        <v>0</v>
      </c>
      <c r="BC278" s="87">
        <v>0</v>
      </c>
      <c r="BD278" s="87">
        <v>0</v>
      </c>
      <c r="BE278" s="87">
        <v>0</v>
      </c>
      <c r="BF278" s="87">
        <v>61.176470588235297</v>
      </c>
      <c r="BG278" s="66">
        <v>61.176470588235297</v>
      </c>
      <c r="BH278" s="67">
        <v>1095.5294117647059</v>
      </c>
      <c r="BI278" s="67">
        <v>1290601.7326356249</v>
      </c>
    </row>
    <row r="279" spans="1:61" x14ac:dyDescent="0.25">
      <c r="A279" s="142">
        <v>0</v>
      </c>
      <c r="B279" s="68">
        <v>40444</v>
      </c>
      <c r="C279" s="198">
        <v>40444</v>
      </c>
      <c r="D279" s="69">
        <v>39716</v>
      </c>
      <c r="E279" s="70">
        <v>24</v>
      </c>
      <c r="F279" s="71">
        <v>38</v>
      </c>
      <c r="G279" s="72"/>
      <c r="H279" s="82"/>
      <c r="I279" s="210"/>
      <c r="J279" s="210"/>
      <c r="K279" s="235">
        <v>470.58823529411762</v>
      </c>
      <c r="L279" s="235">
        <v>9.4117647058823533</v>
      </c>
      <c r="M279" s="235">
        <v>480</v>
      </c>
      <c r="N279" s="235">
        <v>75.294117647058826</v>
      </c>
      <c r="O279" s="235">
        <v>25.411764705882351</v>
      </c>
      <c r="P279" s="235">
        <v>100.70588235294117</v>
      </c>
      <c r="Q279" s="235">
        <v>5.6470588235294121</v>
      </c>
      <c r="R279" s="235">
        <v>0</v>
      </c>
      <c r="S279" s="235">
        <v>5.6470588235294121</v>
      </c>
      <c r="T279" s="235">
        <v>48</v>
      </c>
      <c r="U279" s="235">
        <v>236.23529411764707</v>
      </c>
      <c r="V279" s="235">
        <v>284.23529411764707</v>
      </c>
      <c r="W279" s="235">
        <v>128.94117647058823</v>
      </c>
      <c r="X279" s="235">
        <v>261.64705882352939</v>
      </c>
      <c r="Y279" s="235">
        <v>390.58823529411762</v>
      </c>
      <c r="Z279" s="200">
        <v>870.58823529411768</v>
      </c>
      <c r="AA279" s="235">
        <v>23.294117647058822</v>
      </c>
      <c r="AB279" s="235">
        <v>2.5882352941176472</v>
      </c>
      <c r="AC279" s="235">
        <v>25.882352941176471</v>
      </c>
      <c r="AD279" s="235">
        <v>0</v>
      </c>
      <c r="AE279" s="235">
        <v>0</v>
      </c>
      <c r="AF279" s="235">
        <v>0</v>
      </c>
      <c r="AG279" s="235">
        <v>19.058823529411764</v>
      </c>
      <c r="AH279" s="235">
        <v>2.1176470588235294</v>
      </c>
      <c r="AI279" s="235">
        <v>21.176470588235293</v>
      </c>
      <c r="AJ279" s="235">
        <v>4.7058823529411766</v>
      </c>
      <c r="AK279" s="235">
        <v>11.294117647058824</v>
      </c>
      <c r="AL279" s="235">
        <v>16</v>
      </c>
      <c r="AM279" s="235">
        <v>23.764705882352942</v>
      </c>
      <c r="AN279" s="235">
        <v>13.411764705882353</v>
      </c>
      <c r="AO279" s="235">
        <v>37.176470588235297</v>
      </c>
      <c r="AP279" s="200">
        <v>63.058823529411768</v>
      </c>
      <c r="AQ279" s="141">
        <v>0</v>
      </c>
      <c r="AR279" s="200">
        <v>505.88235294117646</v>
      </c>
      <c r="AS279" s="200">
        <v>427.76470588235293</v>
      </c>
      <c r="AT279" s="66">
        <v>933.64705882352939</v>
      </c>
      <c r="AU279" s="235">
        <v>23.529411764705884</v>
      </c>
      <c r="AV279" s="235">
        <v>9.4117647058823533</v>
      </c>
      <c r="AW279" s="75">
        <v>37.647058823529413</v>
      </c>
      <c r="AX279" s="235">
        <v>65.882352941176464</v>
      </c>
      <c r="AY279" s="66">
        <v>136.47058823529412</v>
      </c>
      <c r="AZ279" s="202">
        <v>0</v>
      </c>
      <c r="BA279" s="87">
        <v>249.41176470588235</v>
      </c>
      <c r="BB279" s="87">
        <v>0</v>
      </c>
      <c r="BC279" s="87">
        <v>249.41176470588235</v>
      </c>
      <c r="BD279" s="87">
        <v>0</v>
      </c>
      <c r="BE279" s="87">
        <v>249.41176470588235</v>
      </c>
      <c r="BF279" s="87">
        <v>54.588235294117645</v>
      </c>
      <c r="BG279" s="66">
        <v>304</v>
      </c>
      <c r="BH279" s="67">
        <v>1374.1176470588234</v>
      </c>
      <c r="BI279" s="67">
        <v>1291975.8502826837</v>
      </c>
    </row>
    <row r="280" spans="1:61" x14ac:dyDescent="0.25">
      <c r="A280" s="142">
        <v>0</v>
      </c>
      <c r="B280" s="68">
        <v>40445</v>
      </c>
      <c r="C280" s="198">
        <v>40445</v>
      </c>
      <c r="D280" s="69">
        <v>39717</v>
      </c>
      <c r="E280" s="70">
        <v>25</v>
      </c>
      <c r="F280" s="71">
        <v>38</v>
      </c>
      <c r="G280" s="72"/>
      <c r="H280" s="82"/>
      <c r="I280" s="210"/>
      <c r="J280" s="210"/>
      <c r="K280" s="235">
        <v>423.52941176470586</v>
      </c>
      <c r="L280" s="235">
        <v>6.5882352941176467</v>
      </c>
      <c r="M280" s="235">
        <v>430.11764705882348</v>
      </c>
      <c r="N280" s="235">
        <v>101.64705882352941</v>
      </c>
      <c r="O280" s="235">
        <v>29.176470588235293</v>
      </c>
      <c r="P280" s="235">
        <v>130.8235294117647</v>
      </c>
      <c r="Q280" s="235">
        <v>3.7647058823529411</v>
      </c>
      <c r="R280" s="235">
        <v>0</v>
      </c>
      <c r="S280" s="235">
        <v>3.7647058823529411</v>
      </c>
      <c r="T280" s="235">
        <v>41.411764705882355</v>
      </c>
      <c r="U280" s="235">
        <v>211.76470588235293</v>
      </c>
      <c r="V280" s="235">
        <v>253.1764705882353</v>
      </c>
      <c r="W280" s="235">
        <v>146.8235294117647</v>
      </c>
      <c r="X280" s="235">
        <v>240.94117647058823</v>
      </c>
      <c r="Y280" s="235">
        <v>387.76470588235293</v>
      </c>
      <c r="Z280" s="200">
        <v>817.88235294117646</v>
      </c>
      <c r="AA280" s="235">
        <v>35.200000000000003</v>
      </c>
      <c r="AB280" s="235">
        <v>4.658823529411765</v>
      </c>
      <c r="AC280" s="235">
        <v>39.858823529411765</v>
      </c>
      <c r="AD280" s="235">
        <v>0</v>
      </c>
      <c r="AE280" s="235">
        <v>0</v>
      </c>
      <c r="AF280" s="235">
        <v>0</v>
      </c>
      <c r="AG280" s="235">
        <v>28.8</v>
      </c>
      <c r="AH280" s="235">
        <v>3.8117647058823527</v>
      </c>
      <c r="AI280" s="235">
        <v>32.611764705882351</v>
      </c>
      <c r="AJ280" s="235">
        <v>5.6470588235294121</v>
      </c>
      <c r="AK280" s="235">
        <v>24.470588235294116</v>
      </c>
      <c r="AL280" s="235">
        <v>30.117647058823529</v>
      </c>
      <c r="AM280" s="235">
        <v>34.44705882352941</v>
      </c>
      <c r="AN280" s="235">
        <v>28.28235294117647</v>
      </c>
      <c r="AO280" s="235">
        <v>62.729411764705887</v>
      </c>
      <c r="AP280" s="200">
        <v>102.58823529411765</v>
      </c>
      <c r="AQ280" s="141">
        <v>0</v>
      </c>
      <c r="AR280" s="200">
        <v>469.97647058823526</v>
      </c>
      <c r="AS280" s="200">
        <v>450.49411764705883</v>
      </c>
      <c r="AT280" s="66">
        <v>920.47058823529414</v>
      </c>
      <c r="AU280" s="235">
        <v>42.352941176470587</v>
      </c>
      <c r="AV280" s="235">
        <v>14.117647058823529</v>
      </c>
      <c r="AW280" s="75">
        <v>517.64705882352939</v>
      </c>
      <c r="AX280" s="235">
        <v>178.8235294117647</v>
      </c>
      <c r="AY280" s="66">
        <v>752.94117647058829</v>
      </c>
      <c r="AZ280" s="202">
        <v>0</v>
      </c>
      <c r="BA280" s="87">
        <v>160</v>
      </c>
      <c r="BB280" s="87">
        <v>82.82352941176471</v>
      </c>
      <c r="BC280" s="87">
        <v>160</v>
      </c>
      <c r="BD280" s="87">
        <v>82.82352941176471</v>
      </c>
      <c r="BE280" s="87">
        <v>242.8235294117647</v>
      </c>
      <c r="BF280" s="87">
        <v>56.470588235294116</v>
      </c>
      <c r="BG280" s="66">
        <v>299.29411764705878</v>
      </c>
      <c r="BH280" s="67">
        <v>1972.7058823529412</v>
      </c>
      <c r="BI280" s="67">
        <v>1293948.5561650367</v>
      </c>
    </row>
    <row r="281" spans="1:61" x14ac:dyDescent="0.25">
      <c r="A281" s="142">
        <v>0</v>
      </c>
      <c r="B281" s="85">
        <v>40446</v>
      </c>
      <c r="C281" s="203">
        <v>40446</v>
      </c>
      <c r="D281" s="76">
        <v>39718</v>
      </c>
      <c r="E281" s="77">
        <v>26</v>
      </c>
      <c r="F281" s="78">
        <v>38</v>
      </c>
      <c r="G281" s="79"/>
      <c r="H281" s="80"/>
      <c r="I281" s="212"/>
      <c r="J281" s="212"/>
      <c r="K281" s="235">
        <v>1976.4705882352941</v>
      </c>
      <c r="L281" s="235">
        <v>112.94117647058823</v>
      </c>
      <c r="M281" s="231">
        <v>2089.4117647058824</v>
      </c>
      <c r="N281" s="231">
        <v>1010.8235294117648</v>
      </c>
      <c r="O281" s="231">
        <v>136.47058823529412</v>
      </c>
      <c r="P281" s="231">
        <v>1147.2941176470588</v>
      </c>
      <c r="Q281" s="231">
        <v>82.82352941176471</v>
      </c>
      <c r="R281" s="231">
        <v>0</v>
      </c>
      <c r="S281" s="231">
        <v>82.82352941176471</v>
      </c>
      <c r="T281" s="231">
        <v>240</v>
      </c>
      <c r="U281" s="231">
        <v>762.35294117647061</v>
      </c>
      <c r="V281" s="231">
        <v>1002.3529411764706</v>
      </c>
      <c r="W281" s="231">
        <v>1333.6470588235295</v>
      </c>
      <c r="X281" s="231">
        <v>898.82352941176475</v>
      </c>
      <c r="Y281" s="231">
        <v>2232.4705882352941</v>
      </c>
      <c r="Z281" s="200">
        <v>4321.8823529411766</v>
      </c>
      <c r="AA281" s="231">
        <v>49.176470588235297</v>
      </c>
      <c r="AB281" s="231">
        <v>4.1411764705882357</v>
      </c>
      <c r="AC281" s="231">
        <v>53.317647058823525</v>
      </c>
      <c r="AD281" s="231">
        <v>9.4117647058823533</v>
      </c>
      <c r="AE281" s="231">
        <v>0</v>
      </c>
      <c r="AF281" s="231">
        <v>9.4117647058823533</v>
      </c>
      <c r="AG281" s="231">
        <v>40.235294117647058</v>
      </c>
      <c r="AH281" s="231">
        <v>3.388235294117647</v>
      </c>
      <c r="AI281" s="231">
        <v>43.623529411764707</v>
      </c>
      <c r="AJ281" s="231">
        <v>2.8235294117647061</v>
      </c>
      <c r="AK281" s="231">
        <v>41.411764705882355</v>
      </c>
      <c r="AL281" s="231">
        <v>44.235294117647058</v>
      </c>
      <c r="AM281" s="231">
        <v>52.470588235294116</v>
      </c>
      <c r="AN281" s="231">
        <v>44.8</v>
      </c>
      <c r="AO281" s="231">
        <v>97.270588235294113</v>
      </c>
      <c r="AP281" s="200">
        <v>150.58823529411765</v>
      </c>
      <c r="AQ281" s="141">
        <v>0</v>
      </c>
      <c r="AR281" s="200">
        <v>2142.7294117647061</v>
      </c>
      <c r="AS281" s="200">
        <v>2329.7411764705885</v>
      </c>
      <c r="AT281" s="66">
        <v>4472.4705882352946</v>
      </c>
      <c r="AU281" s="231">
        <v>94.117647058823536</v>
      </c>
      <c r="AV281" s="231">
        <v>42.352941176470587</v>
      </c>
      <c r="AW281" s="75">
        <v>800</v>
      </c>
      <c r="AX281" s="231">
        <v>517.64705882352939</v>
      </c>
      <c r="AY281" s="66">
        <v>1454.1176470588234</v>
      </c>
      <c r="AZ281" s="208">
        <v>0</v>
      </c>
      <c r="BA281" s="87">
        <v>1319.5294117647059</v>
      </c>
      <c r="BB281" s="87">
        <v>1693.1764705882354</v>
      </c>
      <c r="BC281" s="87">
        <v>1333.6470588235295</v>
      </c>
      <c r="BD281" s="87">
        <v>1693.1764705882354</v>
      </c>
      <c r="BE281" s="87">
        <v>3026.8235294117649</v>
      </c>
      <c r="BF281" s="87">
        <v>151.52941176470588</v>
      </c>
      <c r="BG281" s="66">
        <v>3178.3529411764707</v>
      </c>
      <c r="BH281" s="67">
        <v>9104.9411764705874</v>
      </c>
      <c r="BI281" s="67">
        <v>1303053.4973415073</v>
      </c>
    </row>
    <row r="282" spans="1:61" x14ac:dyDescent="0.25">
      <c r="A282" s="142">
        <v>0</v>
      </c>
      <c r="B282" s="85">
        <v>40447</v>
      </c>
      <c r="C282" s="203">
        <v>40447</v>
      </c>
      <c r="D282" s="76">
        <v>39719</v>
      </c>
      <c r="E282" s="77">
        <v>27</v>
      </c>
      <c r="F282" s="78">
        <v>38</v>
      </c>
      <c r="G282" s="79"/>
      <c r="H282" s="80"/>
      <c r="I282" s="212"/>
      <c r="J282" s="212"/>
      <c r="K282" s="235">
        <v>1317.6470588235295</v>
      </c>
      <c r="L282" s="235">
        <v>103.52941176470588</v>
      </c>
      <c r="M282" s="231">
        <v>1421.1764705882354</v>
      </c>
      <c r="N282" s="231">
        <v>410.35294117647061</v>
      </c>
      <c r="O282" s="231">
        <v>133.64705882352942</v>
      </c>
      <c r="P282" s="231">
        <v>544</v>
      </c>
      <c r="Q282" s="231">
        <v>11.294117647058824</v>
      </c>
      <c r="R282" s="231">
        <v>0</v>
      </c>
      <c r="S282" s="231">
        <v>11.294117647058824</v>
      </c>
      <c r="T282" s="231">
        <v>60.235294117647058</v>
      </c>
      <c r="U282" s="231">
        <v>718.11764705882354</v>
      </c>
      <c r="V282" s="231">
        <v>778.35294117647061</v>
      </c>
      <c r="W282" s="231">
        <v>481.88235294117646</v>
      </c>
      <c r="X282" s="231">
        <v>851.76470588235293</v>
      </c>
      <c r="Y282" s="231">
        <v>1333.6470588235295</v>
      </c>
      <c r="Z282" s="200">
        <v>2754.8235294117649</v>
      </c>
      <c r="AA282" s="231">
        <v>17.08235294117647</v>
      </c>
      <c r="AB282" s="231">
        <v>1.552941176470588</v>
      </c>
      <c r="AC282" s="231">
        <v>18.635294117647057</v>
      </c>
      <c r="AD282" s="231">
        <v>0</v>
      </c>
      <c r="AE282" s="231">
        <v>0</v>
      </c>
      <c r="AF282" s="231">
        <v>0</v>
      </c>
      <c r="AG282" s="231">
        <v>13.976470588235294</v>
      </c>
      <c r="AH282" s="231">
        <v>1.2705882352941178</v>
      </c>
      <c r="AI282" s="231">
        <v>15.247058823529411</v>
      </c>
      <c r="AJ282" s="231">
        <v>1.8823529411764706</v>
      </c>
      <c r="AK282" s="231">
        <v>28.235294117647058</v>
      </c>
      <c r="AL282" s="231">
        <v>30.117647058823529</v>
      </c>
      <c r="AM282" s="231">
        <v>15.858823529411765</v>
      </c>
      <c r="AN282" s="231">
        <v>29.505882352941178</v>
      </c>
      <c r="AO282" s="231">
        <v>45.364705882352943</v>
      </c>
      <c r="AP282" s="200">
        <v>64</v>
      </c>
      <c r="AQ282" s="141">
        <v>0</v>
      </c>
      <c r="AR282" s="200">
        <v>1439.8117647058825</v>
      </c>
      <c r="AS282" s="200">
        <v>1379.0117647058823</v>
      </c>
      <c r="AT282" s="66">
        <v>2818.8235294117649</v>
      </c>
      <c r="AU282" s="231">
        <v>28.235294117647058</v>
      </c>
      <c r="AV282" s="231">
        <v>42.352941176470587</v>
      </c>
      <c r="AW282" s="75">
        <v>65.882352941176464</v>
      </c>
      <c r="AX282" s="231">
        <v>207.05882352941177</v>
      </c>
      <c r="AY282" s="66">
        <v>343.52941176470586</v>
      </c>
      <c r="AZ282" s="208">
        <v>0</v>
      </c>
      <c r="BA282" s="87">
        <v>378.35294117647061</v>
      </c>
      <c r="BB282" s="87">
        <v>1689.4117647058824</v>
      </c>
      <c r="BC282" s="87">
        <v>378.35294117647061</v>
      </c>
      <c r="BD282" s="87">
        <v>1689.4117647058824</v>
      </c>
      <c r="BE282" s="87">
        <v>2067.7647058823532</v>
      </c>
      <c r="BF282" s="87">
        <v>39.529411764705884</v>
      </c>
      <c r="BG282" s="66">
        <v>2107.294117647059</v>
      </c>
      <c r="BH282" s="67">
        <v>5269.6470588235297</v>
      </c>
      <c r="BI282" s="67">
        <v>1308323.144400331</v>
      </c>
    </row>
    <row r="283" spans="1:61" x14ac:dyDescent="0.25">
      <c r="A283" s="142">
        <v>0</v>
      </c>
      <c r="B283" s="68">
        <v>40448</v>
      </c>
      <c r="C283" s="198">
        <v>40448</v>
      </c>
      <c r="D283" s="69">
        <v>39720</v>
      </c>
      <c r="E283" s="70">
        <v>28</v>
      </c>
      <c r="F283" s="71">
        <v>39</v>
      </c>
      <c r="G283" s="72"/>
      <c r="H283" s="82"/>
      <c r="I283" s="210"/>
      <c r="J283" s="210"/>
      <c r="K283" s="235">
        <v>376.47058823529414</v>
      </c>
      <c r="L283" s="235">
        <v>13.176470588235293</v>
      </c>
      <c r="M283" s="235">
        <v>389.64705882352945</v>
      </c>
      <c r="N283" s="235">
        <v>57.411764705882355</v>
      </c>
      <c r="O283" s="235">
        <v>8.4705882352941178</v>
      </c>
      <c r="P283" s="235">
        <v>65.882352941176464</v>
      </c>
      <c r="Q283" s="235">
        <v>1.8823529411764706</v>
      </c>
      <c r="R283" s="235">
        <v>0</v>
      </c>
      <c r="S283" s="235">
        <v>1.8823529411764706</v>
      </c>
      <c r="T283" s="235">
        <v>28.235294117647058</v>
      </c>
      <c r="U283" s="235">
        <v>136.47058823529412</v>
      </c>
      <c r="V283" s="235">
        <v>164.70588235294119</v>
      </c>
      <c r="W283" s="235">
        <v>87.529411764705884</v>
      </c>
      <c r="X283" s="235">
        <v>144.94117647058823</v>
      </c>
      <c r="Y283" s="235">
        <v>232.47058823529412</v>
      </c>
      <c r="Z283" s="200">
        <v>622.11764705882354</v>
      </c>
      <c r="AA283" s="235">
        <v>13.976470588235294</v>
      </c>
      <c r="AB283" s="235">
        <v>2.5882352941176472</v>
      </c>
      <c r="AC283" s="235">
        <v>16.564705882352943</v>
      </c>
      <c r="AD283" s="235">
        <v>0</v>
      </c>
      <c r="AE283" s="235">
        <v>0</v>
      </c>
      <c r="AF283" s="235">
        <v>0</v>
      </c>
      <c r="AG283" s="235">
        <v>11.435294117647059</v>
      </c>
      <c r="AH283" s="235">
        <v>2.1176470588235294</v>
      </c>
      <c r="AI283" s="235">
        <v>13.552941176470588</v>
      </c>
      <c r="AJ283" s="235">
        <v>2.8235294117647061</v>
      </c>
      <c r="AK283" s="235">
        <v>15.058823529411764</v>
      </c>
      <c r="AL283" s="235">
        <v>17.882352941176471</v>
      </c>
      <c r="AM283" s="235">
        <v>14.258823529411766</v>
      </c>
      <c r="AN283" s="235">
        <v>17.176470588235293</v>
      </c>
      <c r="AO283" s="235">
        <v>31.435294117647057</v>
      </c>
      <c r="AP283" s="200">
        <v>48</v>
      </c>
      <c r="AQ283" s="141">
        <v>0</v>
      </c>
      <c r="AR283" s="200">
        <v>406.21176470588239</v>
      </c>
      <c r="AS283" s="200">
        <v>263.90588235294115</v>
      </c>
      <c r="AT283" s="66">
        <v>670.11764705882354</v>
      </c>
      <c r="AU283" s="235">
        <v>47.058823529411768</v>
      </c>
      <c r="AV283" s="235">
        <v>9.4117647058823533</v>
      </c>
      <c r="AW283" s="75">
        <v>0</v>
      </c>
      <c r="AX283" s="235">
        <v>47.058823529411768</v>
      </c>
      <c r="AY283" s="66">
        <v>103.52941176470588</v>
      </c>
      <c r="AZ283" s="202">
        <v>0</v>
      </c>
      <c r="BA283" s="87">
        <v>0</v>
      </c>
      <c r="BB283" s="87">
        <v>84.705882352941174</v>
      </c>
      <c r="BC283" s="87">
        <v>32</v>
      </c>
      <c r="BD283" s="87">
        <v>84.705882352941174</v>
      </c>
      <c r="BE283" s="87">
        <v>116.70588235294117</v>
      </c>
      <c r="BF283" s="87">
        <v>0</v>
      </c>
      <c r="BG283" s="66">
        <v>116.70588235294117</v>
      </c>
      <c r="BH283" s="67">
        <v>890.35294117647061</v>
      </c>
      <c r="BI283" s="67">
        <v>1309213.4973415073</v>
      </c>
    </row>
    <row r="284" spans="1:61" x14ac:dyDescent="0.25">
      <c r="A284" s="142">
        <v>0</v>
      </c>
      <c r="B284" s="68">
        <v>40449</v>
      </c>
      <c r="C284" s="198">
        <v>40449</v>
      </c>
      <c r="D284" s="69">
        <v>39721</v>
      </c>
      <c r="E284" s="70">
        <v>29</v>
      </c>
      <c r="F284" s="71">
        <v>39</v>
      </c>
      <c r="G284" s="72"/>
      <c r="H284" s="82"/>
      <c r="I284" s="210"/>
      <c r="J284" s="210"/>
      <c r="K284" s="235">
        <v>329.41176470588238</v>
      </c>
      <c r="L284" s="235">
        <v>10.352941176470589</v>
      </c>
      <c r="M284" s="235">
        <v>339.76470588235298</v>
      </c>
      <c r="N284" s="235">
        <v>51.764705882352942</v>
      </c>
      <c r="O284" s="235">
        <v>16.941176470588236</v>
      </c>
      <c r="P284" s="235">
        <v>68.705882352941174</v>
      </c>
      <c r="Q284" s="235">
        <v>0</v>
      </c>
      <c r="R284" s="235">
        <v>0</v>
      </c>
      <c r="S284" s="235">
        <v>0</v>
      </c>
      <c r="T284" s="235">
        <v>32.941176470588232</v>
      </c>
      <c r="U284" s="235">
        <v>178.8235294117647</v>
      </c>
      <c r="V284" s="235">
        <v>211.76470588235293</v>
      </c>
      <c r="W284" s="235">
        <v>84.705882352941174</v>
      </c>
      <c r="X284" s="235">
        <v>195.76470588235293</v>
      </c>
      <c r="Y284" s="235">
        <v>280.47058823529414</v>
      </c>
      <c r="Z284" s="200">
        <v>620.23529411764707</v>
      </c>
      <c r="AA284" s="235">
        <v>16.047058823529412</v>
      </c>
      <c r="AB284" s="235">
        <v>5.1764705882352944</v>
      </c>
      <c r="AC284" s="235">
        <v>21.223529411764705</v>
      </c>
      <c r="AD284" s="235">
        <v>0</v>
      </c>
      <c r="AE284" s="235">
        <v>0</v>
      </c>
      <c r="AF284" s="235">
        <v>0</v>
      </c>
      <c r="AG284" s="235">
        <v>13.129411764705882</v>
      </c>
      <c r="AH284" s="235">
        <v>4.2352941176470589</v>
      </c>
      <c r="AI284" s="235">
        <v>17.36470588235294</v>
      </c>
      <c r="AJ284" s="235">
        <v>8.4705882352941178</v>
      </c>
      <c r="AK284" s="235">
        <v>13.176470588235293</v>
      </c>
      <c r="AL284" s="235">
        <v>21.647058823529413</v>
      </c>
      <c r="AM284" s="235">
        <v>21.6</v>
      </c>
      <c r="AN284" s="235">
        <v>17.411764705882351</v>
      </c>
      <c r="AO284" s="235">
        <v>39.011764705882356</v>
      </c>
      <c r="AP284" s="200">
        <v>60.235294117647058</v>
      </c>
      <c r="AQ284" s="141">
        <v>0</v>
      </c>
      <c r="AR284" s="200">
        <v>360.98823529411771</v>
      </c>
      <c r="AS284" s="200">
        <v>319.48235294117649</v>
      </c>
      <c r="AT284" s="66">
        <v>680.47058823529414</v>
      </c>
      <c r="AU284" s="235">
        <v>28.235294117647058</v>
      </c>
      <c r="AV284" s="235">
        <v>9.4117647058823533</v>
      </c>
      <c r="AW284" s="75">
        <v>0</v>
      </c>
      <c r="AX284" s="235">
        <v>37.647058823529413</v>
      </c>
      <c r="AY284" s="66">
        <v>75.294117647058826</v>
      </c>
      <c r="AZ284" s="202">
        <v>0</v>
      </c>
      <c r="BA284" s="87">
        <v>0</v>
      </c>
      <c r="BB284" s="87">
        <v>80</v>
      </c>
      <c r="BC284" s="87">
        <v>0</v>
      </c>
      <c r="BD284" s="87">
        <v>80</v>
      </c>
      <c r="BE284" s="87">
        <v>80</v>
      </c>
      <c r="BF284" s="87">
        <v>116.70588235294117</v>
      </c>
      <c r="BG284" s="66">
        <v>196.70588235294116</v>
      </c>
      <c r="BH284" s="67">
        <v>952.47058823529414</v>
      </c>
      <c r="BI284" s="67">
        <v>1310165.9679297425</v>
      </c>
    </row>
    <row r="285" spans="1:61" x14ac:dyDescent="0.25">
      <c r="A285" s="142">
        <v>0</v>
      </c>
      <c r="B285" s="68">
        <v>40450</v>
      </c>
      <c r="C285" s="198">
        <v>40450</v>
      </c>
      <c r="D285" s="69">
        <v>39722</v>
      </c>
      <c r="E285" s="70">
        <v>30</v>
      </c>
      <c r="F285" s="71">
        <v>39</v>
      </c>
      <c r="G285" s="72"/>
      <c r="H285" s="82"/>
      <c r="I285" s="210"/>
      <c r="J285" s="210"/>
      <c r="K285" s="235">
        <v>376.47058823529414</v>
      </c>
      <c r="L285" s="235">
        <v>9.4117647058823533</v>
      </c>
      <c r="M285" s="235">
        <v>385.88235294117652</v>
      </c>
      <c r="N285" s="235">
        <v>57.411764705882355</v>
      </c>
      <c r="O285" s="235">
        <v>19.764705882352942</v>
      </c>
      <c r="P285" s="235">
        <v>77.17647058823529</v>
      </c>
      <c r="Q285" s="235">
        <v>15.058823529411764</v>
      </c>
      <c r="R285" s="235">
        <v>0</v>
      </c>
      <c r="S285" s="235">
        <v>15.058823529411764</v>
      </c>
      <c r="T285" s="235">
        <v>28.235294117647058</v>
      </c>
      <c r="U285" s="235">
        <v>178.8235294117647</v>
      </c>
      <c r="V285" s="235">
        <v>207.05882352941177</v>
      </c>
      <c r="W285" s="235">
        <v>100.70588235294117</v>
      </c>
      <c r="X285" s="235">
        <v>198.58823529411765</v>
      </c>
      <c r="Y285" s="235">
        <v>299.29411764705884</v>
      </c>
      <c r="Z285" s="200">
        <v>685.17647058823525</v>
      </c>
      <c r="AA285" s="235">
        <v>27.435294117647057</v>
      </c>
      <c r="AB285" s="235">
        <v>1.0352941176470589</v>
      </c>
      <c r="AC285" s="235">
        <v>28.470588235294116</v>
      </c>
      <c r="AD285" s="235">
        <v>0</v>
      </c>
      <c r="AE285" s="235">
        <v>0</v>
      </c>
      <c r="AF285" s="235">
        <v>0</v>
      </c>
      <c r="AG285" s="235">
        <v>22.447058823529414</v>
      </c>
      <c r="AH285" s="235">
        <v>0.84705882352941175</v>
      </c>
      <c r="AI285" s="235">
        <v>23.294117647058822</v>
      </c>
      <c r="AJ285" s="235">
        <v>0</v>
      </c>
      <c r="AK285" s="235">
        <v>0.94117647058823528</v>
      </c>
      <c r="AL285" s="235">
        <v>0.94117647058823528</v>
      </c>
      <c r="AM285" s="235">
        <v>22.447058823529414</v>
      </c>
      <c r="AN285" s="235">
        <v>1.7882352941176469</v>
      </c>
      <c r="AO285" s="235">
        <v>24.235294117647058</v>
      </c>
      <c r="AP285" s="200">
        <v>52.705882352941174</v>
      </c>
      <c r="AQ285" s="141">
        <v>0</v>
      </c>
      <c r="AR285" s="200">
        <v>414.35294117647061</v>
      </c>
      <c r="AS285" s="200">
        <v>323.52941176470591</v>
      </c>
      <c r="AT285" s="66">
        <v>737.88235294117658</v>
      </c>
      <c r="AU285" s="235">
        <v>23.529411764705884</v>
      </c>
      <c r="AV285" s="235">
        <v>14.117647058823529</v>
      </c>
      <c r="AW285" s="75">
        <v>0</v>
      </c>
      <c r="AX285" s="235">
        <v>47.058823529411768</v>
      </c>
      <c r="AY285" s="66">
        <v>84.705882352941188</v>
      </c>
      <c r="AZ285" s="202">
        <v>0</v>
      </c>
      <c r="BA285" s="87">
        <v>80.941176470588232</v>
      </c>
      <c r="BB285" s="87">
        <v>64</v>
      </c>
      <c r="BC285" s="87">
        <v>80.941176470588232</v>
      </c>
      <c r="BD285" s="87">
        <v>64</v>
      </c>
      <c r="BE285" s="87">
        <v>144.94117647058823</v>
      </c>
      <c r="BF285" s="87">
        <v>284.23529411764707</v>
      </c>
      <c r="BG285" s="66">
        <v>429.1764705882353</v>
      </c>
      <c r="BH285" s="67">
        <v>1251.7647058823532</v>
      </c>
      <c r="BI285" s="67">
        <v>1311417.7326356249</v>
      </c>
    </row>
    <row r="286" spans="1:61" x14ac:dyDescent="0.25">
      <c r="A286" s="142">
        <v>0</v>
      </c>
      <c r="B286" s="68">
        <v>40451</v>
      </c>
      <c r="C286" s="198">
        <v>40451</v>
      </c>
      <c r="D286" s="69">
        <v>39723</v>
      </c>
      <c r="E286" s="70">
        <v>30</v>
      </c>
      <c r="F286" s="71">
        <v>39</v>
      </c>
      <c r="G286" s="72"/>
      <c r="H286" s="82"/>
      <c r="I286" s="210"/>
      <c r="J286" s="210"/>
      <c r="K286" s="235">
        <v>376.47058823529414</v>
      </c>
      <c r="L286" s="235">
        <v>10.352941176470589</v>
      </c>
      <c r="M286" s="235">
        <v>386.82352941176475</v>
      </c>
      <c r="N286" s="235">
        <v>78.117647058823536</v>
      </c>
      <c r="O286" s="235">
        <v>7.5294117647058822</v>
      </c>
      <c r="P286" s="235">
        <v>85.647058823529406</v>
      </c>
      <c r="Q286" s="235">
        <v>5.6470588235294121</v>
      </c>
      <c r="R286" s="235">
        <v>0</v>
      </c>
      <c r="S286" s="235">
        <v>5.6470588235294121</v>
      </c>
      <c r="T286" s="235">
        <v>35.764705882352942</v>
      </c>
      <c r="U286" s="235">
        <v>178.8235294117647</v>
      </c>
      <c r="V286" s="235">
        <v>214.58823529411765</v>
      </c>
      <c r="W286" s="235">
        <v>119.52941176470588</v>
      </c>
      <c r="X286" s="235">
        <v>186.35294117647058</v>
      </c>
      <c r="Y286" s="235">
        <v>305.88235294117646</v>
      </c>
      <c r="Z286" s="200">
        <v>692.70588235294122</v>
      </c>
      <c r="AA286" s="235">
        <v>20.188235294117646</v>
      </c>
      <c r="AB286" s="235">
        <v>1.552941176470588</v>
      </c>
      <c r="AC286" s="235">
        <v>21.741176470588233</v>
      </c>
      <c r="AD286" s="235">
        <v>0</v>
      </c>
      <c r="AE286" s="235">
        <v>0</v>
      </c>
      <c r="AF286" s="235">
        <v>0</v>
      </c>
      <c r="AG286" s="235">
        <v>16.517647058823531</v>
      </c>
      <c r="AH286" s="235">
        <v>1.2705882352941178</v>
      </c>
      <c r="AI286" s="235">
        <v>17.788235294117648</v>
      </c>
      <c r="AJ286" s="235">
        <v>0</v>
      </c>
      <c r="AK286" s="235">
        <v>11.294117647058824</v>
      </c>
      <c r="AL286" s="235">
        <v>11.294117647058824</v>
      </c>
      <c r="AM286" s="235">
        <v>16.517647058823531</v>
      </c>
      <c r="AN286" s="235">
        <v>12.564705882352941</v>
      </c>
      <c r="AO286" s="235">
        <v>29.08235294117647</v>
      </c>
      <c r="AP286" s="200">
        <v>50.823529411764703</v>
      </c>
      <c r="AQ286" s="141">
        <v>0</v>
      </c>
      <c r="AR286" s="200">
        <v>408.564705882353</v>
      </c>
      <c r="AS286" s="200">
        <v>334.96470588235292</v>
      </c>
      <c r="AT286" s="66">
        <v>743.52941176470586</v>
      </c>
      <c r="AU286" s="235">
        <v>28.235294117647058</v>
      </c>
      <c r="AV286" s="235">
        <v>18.823529411764707</v>
      </c>
      <c r="AW286" s="75">
        <v>0</v>
      </c>
      <c r="AX286" s="235">
        <v>42.352941176470587</v>
      </c>
      <c r="AY286" s="66">
        <v>89.411764705882348</v>
      </c>
      <c r="AZ286" s="202">
        <v>0</v>
      </c>
      <c r="BA286" s="87">
        <v>18.823529411764707</v>
      </c>
      <c r="BB286" s="87">
        <v>0</v>
      </c>
      <c r="BC286" s="87">
        <v>18.823529411764707</v>
      </c>
      <c r="BD286" s="87">
        <v>0</v>
      </c>
      <c r="BE286" s="87">
        <v>18.823529411764707</v>
      </c>
      <c r="BF286" s="87">
        <v>92.235294117647058</v>
      </c>
      <c r="BG286" s="66">
        <v>111.05882352941177</v>
      </c>
      <c r="BH286" s="67">
        <v>944</v>
      </c>
      <c r="BI286" s="67">
        <v>1312361.7326356249</v>
      </c>
    </row>
    <row r="287" spans="1:61" s="230" customFormat="1" x14ac:dyDescent="0.25">
      <c r="A287" s="215"/>
      <c r="B287" s="216"/>
      <c r="C287" s="217"/>
      <c r="D287" s="218"/>
      <c r="E287" s="219"/>
      <c r="F287" s="220"/>
      <c r="G287" s="221"/>
      <c r="H287" s="222"/>
      <c r="I287" s="223"/>
      <c r="J287" s="223"/>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c r="AH287" s="224"/>
      <c r="AI287" s="224"/>
      <c r="AJ287" s="224"/>
      <c r="AK287" s="224"/>
      <c r="AL287" s="224"/>
      <c r="AM287" s="224"/>
      <c r="AN287" s="224"/>
      <c r="AO287" s="224"/>
      <c r="AP287" s="224"/>
      <c r="AQ287" s="225"/>
      <c r="AR287" s="226"/>
      <c r="AS287" s="226"/>
      <c r="AT287" s="66">
        <v>0</v>
      </c>
      <c r="AU287" s="224"/>
      <c r="AV287" s="224"/>
      <c r="AW287" s="227"/>
      <c r="AX287" s="224"/>
      <c r="AY287" s="66">
        <v>0</v>
      </c>
      <c r="AZ287" s="224"/>
      <c r="BA287" s="224"/>
      <c r="BB287" s="224"/>
      <c r="BC287" s="224"/>
      <c r="BD287" s="224"/>
      <c r="BE287" s="224"/>
      <c r="BF287" s="224"/>
      <c r="BG287" s="228"/>
      <c r="BH287" s="229"/>
      <c r="BI287" s="229"/>
    </row>
    <row r="288" spans="1:61" x14ac:dyDescent="0.25">
      <c r="A288" s="142">
        <v>0</v>
      </c>
      <c r="B288" s="68">
        <v>40452</v>
      </c>
      <c r="C288" s="198">
        <v>40452</v>
      </c>
      <c r="D288" s="69">
        <v>39724</v>
      </c>
      <c r="E288" s="70">
        <v>1</v>
      </c>
      <c r="F288" s="71">
        <v>39</v>
      </c>
      <c r="G288" s="72"/>
      <c r="H288" s="82"/>
      <c r="I288" s="210"/>
      <c r="J288" s="210"/>
      <c r="K288" s="235">
        <v>197.64705882352942</v>
      </c>
      <c r="L288" s="235">
        <v>9.4117647058823533</v>
      </c>
      <c r="M288" s="235">
        <v>207.05882352941177</v>
      </c>
      <c r="N288" s="235">
        <v>66.82352941176471</v>
      </c>
      <c r="O288" s="235">
        <v>5.6470588235294121</v>
      </c>
      <c r="P288" s="235">
        <v>72.470588235294116</v>
      </c>
      <c r="Q288" s="235">
        <v>3.7647058823529411</v>
      </c>
      <c r="R288" s="235">
        <v>0</v>
      </c>
      <c r="S288" s="235">
        <v>3.7647058823529411</v>
      </c>
      <c r="T288" s="235">
        <v>23.529411764705884</v>
      </c>
      <c r="U288" s="235">
        <v>151.52941176470588</v>
      </c>
      <c r="V288" s="235">
        <v>175.05882352941177</v>
      </c>
      <c r="W288" s="235">
        <v>94.117647058823536</v>
      </c>
      <c r="X288" s="235">
        <v>157.1764705882353</v>
      </c>
      <c r="Y288" s="235">
        <v>251.29411764705881</v>
      </c>
      <c r="Z288" s="200">
        <v>458.35294117647061</v>
      </c>
      <c r="AA288" s="235">
        <v>19.670588235294115</v>
      </c>
      <c r="AB288" s="235">
        <v>1.0352941176470589</v>
      </c>
      <c r="AC288" s="235">
        <v>20.705882352941178</v>
      </c>
      <c r="AD288" s="235">
        <v>0</v>
      </c>
      <c r="AE288" s="235">
        <v>0</v>
      </c>
      <c r="AF288" s="235">
        <v>0</v>
      </c>
      <c r="AG288" s="235">
        <v>16.094117647058823</v>
      </c>
      <c r="AH288" s="235">
        <v>0.84705882352941175</v>
      </c>
      <c r="AI288" s="235">
        <v>16.941176470588236</v>
      </c>
      <c r="AJ288" s="235">
        <v>1.8823529411764706</v>
      </c>
      <c r="AK288" s="235">
        <v>13.176470588235293</v>
      </c>
      <c r="AL288" s="235">
        <v>15.058823529411764</v>
      </c>
      <c r="AM288" s="235">
        <v>17.976470588235294</v>
      </c>
      <c r="AN288" s="235">
        <v>14.023529411764706</v>
      </c>
      <c r="AO288" s="235">
        <v>32</v>
      </c>
      <c r="AP288" s="200">
        <v>52.705882352941174</v>
      </c>
      <c r="AQ288" s="141">
        <v>0</v>
      </c>
      <c r="AR288" s="200">
        <v>227.76470588235296</v>
      </c>
      <c r="AS288" s="200">
        <v>283.29411764705878</v>
      </c>
      <c r="AT288" s="66">
        <v>511.05882352941171</v>
      </c>
      <c r="AU288" s="235">
        <v>51.764705882352942</v>
      </c>
      <c r="AV288" s="235">
        <v>14.117647058823529</v>
      </c>
      <c r="AW288" s="75">
        <v>0</v>
      </c>
      <c r="AX288" s="235">
        <v>28.235294117647058</v>
      </c>
      <c r="AY288" s="66">
        <v>94.117647058823522</v>
      </c>
      <c r="AZ288" s="202">
        <v>0</v>
      </c>
      <c r="BA288" s="87">
        <v>83.764705882352942</v>
      </c>
      <c r="BB288" s="87">
        <v>61.176470588235297</v>
      </c>
      <c r="BC288" s="87">
        <v>83.764705882352942</v>
      </c>
      <c r="BD288" s="87">
        <v>61.176470588235297</v>
      </c>
      <c r="BE288" s="87">
        <v>144.94117647058823</v>
      </c>
      <c r="BF288" s="87">
        <v>112</v>
      </c>
      <c r="BG288" s="66">
        <v>256.94117647058823</v>
      </c>
      <c r="BH288" s="67">
        <v>862.11764705882342</v>
      </c>
      <c r="BI288" s="67">
        <v>1313223.8502826837</v>
      </c>
    </row>
    <row r="289" spans="1:61" x14ac:dyDescent="0.25">
      <c r="A289" s="142">
        <v>0</v>
      </c>
      <c r="B289" s="85">
        <v>40453</v>
      </c>
      <c r="C289" s="203">
        <v>40453</v>
      </c>
      <c r="D289" s="76">
        <v>39725</v>
      </c>
      <c r="E289" s="77">
        <v>2</v>
      </c>
      <c r="F289" s="78">
        <v>39</v>
      </c>
      <c r="G289" s="79"/>
      <c r="H289" s="80"/>
      <c r="I289" s="212"/>
      <c r="J289" s="212"/>
      <c r="K289" s="235">
        <v>1712.9411764705883</v>
      </c>
      <c r="L289" s="235">
        <v>70.588235294117652</v>
      </c>
      <c r="M289" s="231">
        <v>1783.5294117647059</v>
      </c>
      <c r="N289" s="231">
        <v>898.82352941176475</v>
      </c>
      <c r="O289" s="231">
        <v>169.41176470588235</v>
      </c>
      <c r="P289" s="231">
        <v>1068.2352941176471</v>
      </c>
      <c r="Q289" s="231">
        <v>69.647058823529406</v>
      </c>
      <c r="R289" s="231">
        <v>0</v>
      </c>
      <c r="S289" s="231">
        <v>69.647058823529406</v>
      </c>
      <c r="T289" s="231">
        <v>155.29411764705881</v>
      </c>
      <c r="U289" s="231">
        <v>440.47058823529414</v>
      </c>
      <c r="V289" s="231">
        <v>595.76470588235293</v>
      </c>
      <c r="W289" s="231">
        <v>1123.7647058823529</v>
      </c>
      <c r="X289" s="231">
        <v>609.88235294117646</v>
      </c>
      <c r="Y289" s="231">
        <v>1733.6470588235295</v>
      </c>
      <c r="Z289" s="200">
        <v>3517.1764705882351</v>
      </c>
      <c r="AA289" s="231">
        <v>38.823529411764703</v>
      </c>
      <c r="AB289" s="231">
        <v>4.1411764705882357</v>
      </c>
      <c r="AC289" s="231">
        <v>42.964705882352938</v>
      </c>
      <c r="AD289" s="231">
        <v>0</v>
      </c>
      <c r="AE289" s="231">
        <v>0</v>
      </c>
      <c r="AF289" s="231">
        <v>0</v>
      </c>
      <c r="AG289" s="231">
        <v>31.764705882352942</v>
      </c>
      <c r="AH289" s="231">
        <v>3.388235294117647</v>
      </c>
      <c r="AI289" s="231">
        <v>35.152941176470591</v>
      </c>
      <c r="AJ289" s="231">
        <v>4.7058823529411766</v>
      </c>
      <c r="AK289" s="231">
        <v>18.823529411764707</v>
      </c>
      <c r="AL289" s="231">
        <v>23.529411764705884</v>
      </c>
      <c r="AM289" s="231">
        <v>36.470588235294116</v>
      </c>
      <c r="AN289" s="231">
        <v>22.211764705882356</v>
      </c>
      <c r="AO289" s="231">
        <v>58.682352941176475</v>
      </c>
      <c r="AP289" s="200">
        <v>101.64705882352941</v>
      </c>
      <c r="AQ289" s="141">
        <v>0</v>
      </c>
      <c r="AR289" s="200">
        <v>1826.4941176470588</v>
      </c>
      <c r="AS289" s="200">
        <v>1792.329411764706</v>
      </c>
      <c r="AT289" s="66">
        <v>3618.8235294117649</v>
      </c>
      <c r="AU289" s="231">
        <v>103.52941176470588</v>
      </c>
      <c r="AV289" s="231">
        <v>37.647058823529413</v>
      </c>
      <c r="AW289" s="75">
        <v>235.29411764705881</v>
      </c>
      <c r="AX289" s="231">
        <v>320</v>
      </c>
      <c r="AY289" s="66">
        <v>696.47058823529414</v>
      </c>
      <c r="AZ289" s="208">
        <v>0</v>
      </c>
      <c r="BA289" s="87">
        <v>385.88235294117646</v>
      </c>
      <c r="BB289" s="87">
        <v>2183.5294117647059</v>
      </c>
      <c r="BC289" s="87">
        <v>385.88235294117646</v>
      </c>
      <c r="BD289" s="87">
        <v>2183.5294117647059</v>
      </c>
      <c r="BE289" s="87">
        <v>2569.4117647058824</v>
      </c>
      <c r="BF289" s="87">
        <v>197.64705882352942</v>
      </c>
      <c r="BG289" s="66">
        <v>2767.0588235294117</v>
      </c>
      <c r="BH289" s="67">
        <v>7082.3529411764703</v>
      </c>
      <c r="BI289" s="67">
        <v>1320306.2032238601</v>
      </c>
    </row>
    <row r="290" spans="1:61" x14ac:dyDescent="0.25">
      <c r="A290" s="142">
        <v>0</v>
      </c>
      <c r="B290" s="85">
        <v>40454</v>
      </c>
      <c r="C290" s="203">
        <v>40454</v>
      </c>
      <c r="D290" s="76">
        <v>39726</v>
      </c>
      <c r="E290" s="77">
        <v>3</v>
      </c>
      <c r="F290" s="78">
        <v>39</v>
      </c>
      <c r="G290" s="79"/>
      <c r="H290" s="80"/>
      <c r="I290" s="212"/>
      <c r="J290" s="212"/>
      <c r="K290" s="235">
        <v>978.82352941176475</v>
      </c>
      <c r="L290" s="235">
        <v>47.058823529411768</v>
      </c>
      <c r="M290" s="231">
        <v>1025.8823529411766</v>
      </c>
      <c r="N290" s="231">
        <v>404.70588235294116</v>
      </c>
      <c r="O290" s="231">
        <v>164.70588235294119</v>
      </c>
      <c r="P290" s="231">
        <v>569.41176470588232</v>
      </c>
      <c r="Q290" s="231">
        <v>16.941176470588236</v>
      </c>
      <c r="R290" s="231">
        <v>0</v>
      </c>
      <c r="S290" s="231">
        <v>16.941176470588236</v>
      </c>
      <c r="T290" s="231">
        <v>56.470588235294116</v>
      </c>
      <c r="U290" s="231">
        <v>395.29411764705884</v>
      </c>
      <c r="V290" s="231">
        <v>451.76470588235293</v>
      </c>
      <c r="W290" s="231">
        <v>478.11764705882354</v>
      </c>
      <c r="X290" s="231">
        <v>560</v>
      </c>
      <c r="Y290" s="231">
        <v>1038.1176470588234</v>
      </c>
      <c r="Z290" s="200">
        <v>2064</v>
      </c>
      <c r="AA290" s="231">
        <v>20.705882352941178</v>
      </c>
      <c r="AB290" s="231">
        <v>4.658823529411765</v>
      </c>
      <c r="AC290" s="231">
        <v>25.36470588235294</v>
      </c>
      <c r="AD290" s="231">
        <v>0</v>
      </c>
      <c r="AE290" s="231">
        <v>0</v>
      </c>
      <c r="AF290" s="231">
        <v>0</v>
      </c>
      <c r="AG290" s="231">
        <v>16.941176470588236</v>
      </c>
      <c r="AH290" s="231">
        <v>3.8117647058823527</v>
      </c>
      <c r="AI290" s="231">
        <v>20.752941176470589</v>
      </c>
      <c r="AJ290" s="231">
        <v>1.8823529411764706</v>
      </c>
      <c r="AK290" s="231">
        <v>17.882352941176471</v>
      </c>
      <c r="AL290" s="231">
        <v>19.764705882352942</v>
      </c>
      <c r="AM290" s="231">
        <v>18.823529411764707</v>
      </c>
      <c r="AN290" s="231">
        <v>21.694117647058825</v>
      </c>
      <c r="AO290" s="231">
        <v>40.517647058823528</v>
      </c>
      <c r="AP290" s="200">
        <v>65.882352941176464</v>
      </c>
      <c r="AQ290" s="141">
        <v>0</v>
      </c>
      <c r="AR290" s="200">
        <v>1051.2470588235294</v>
      </c>
      <c r="AS290" s="200">
        <v>1078.6352941176469</v>
      </c>
      <c r="AT290" s="66">
        <v>2129.8823529411766</v>
      </c>
      <c r="AU290" s="231">
        <v>0</v>
      </c>
      <c r="AV290" s="231">
        <v>47.058823529411768</v>
      </c>
      <c r="AW290" s="75">
        <v>0</v>
      </c>
      <c r="AX290" s="231">
        <v>197.64705882352942</v>
      </c>
      <c r="AY290" s="66">
        <v>244.70588235294119</v>
      </c>
      <c r="AZ290" s="208">
        <v>0</v>
      </c>
      <c r="BA290" s="87">
        <v>112.94117647058823</v>
      </c>
      <c r="BB290" s="87">
        <v>2192.9411764705883</v>
      </c>
      <c r="BC290" s="87">
        <v>126.11764705882354</v>
      </c>
      <c r="BD290" s="87">
        <v>2192.9411764705883</v>
      </c>
      <c r="BE290" s="87">
        <v>2319.0588235294117</v>
      </c>
      <c r="BF290" s="87">
        <v>202.35294117647058</v>
      </c>
      <c r="BG290" s="66">
        <v>2521.4117647058824</v>
      </c>
      <c r="BH290" s="67">
        <v>4896</v>
      </c>
      <c r="BI290" s="67">
        <v>1325202.2032238601</v>
      </c>
    </row>
    <row r="291" spans="1:61" x14ac:dyDescent="0.25">
      <c r="A291" s="142">
        <v>0</v>
      </c>
      <c r="B291" s="68">
        <v>40455</v>
      </c>
      <c r="C291" s="198">
        <v>40455</v>
      </c>
      <c r="D291" s="69">
        <v>39727</v>
      </c>
      <c r="E291" s="70">
        <v>4</v>
      </c>
      <c r="F291" s="71">
        <v>40</v>
      </c>
      <c r="G291" s="72"/>
      <c r="H291" s="82"/>
      <c r="I291" s="210"/>
      <c r="J291" s="210"/>
      <c r="K291" s="235">
        <v>131.76470588235293</v>
      </c>
      <c r="L291" s="235">
        <v>7.5294117647058822</v>
      </c>
      <c r="M291" s="235">
        <v>139.29411764705881</v>
      </c>
      <c r="N291" s="235">
        <v>67.764705882352942</v>
      </c>
      <c r="O291" s="235">
        <v>12.235294117647058</v>
      </c>
      <c r="P291" s="235">
        <v>80</v>
      </c>
      <c r="Q291" s="235">
        <v>1.8823529411764706</v>
      </c>
      <c r="R291" s="235">
        <v>0</v>
      </c>
      <c r="S291" s="235">
        <v>1.8823529411764706</v>
      </c>
      <c r="T291" s="235">
        <v>24.470588235294116</v>
      </c>
      <c r="U291" s="235">
        <v>124.23529411764706</v>
      </c>
      <c r="V291" s="235">
        <v>148.70588235294119</v>
      </c>
      <c r="W291" s="235">
        <v>94.117647058823536</v>
      </c>
      <c r="X291" s="235">
        <v>136.47058823529412</v>
      </c>
      <c r="Y291" s="235">
        <v>230.58823529411765</v>
      </c>
      <c r="Z291" s="200">
        <v>369.88235294117646</v>
      </c>
      <c r="AA291" s="235">
        <v>10.352941176470589</v>
      </c>
      <c r="AB291" s="235">
        <v>10.352941176470589</v>
      </c>
      <c r="AC291" s="235">
        <v>20.705882352941178</v>
      </c>
      <c r="AD291" s="235">
        <v>0</v>
      </c>
      <c r="AE291" s="235">
        <v>0</v>
      </c>
      <c r="AF291" s="235">
        <v>0</v>
      </c>
      <c r="AG291" s="235">
        <v>8.4705882352941178</v>
      </c>
      <c r="AH291" s="235">
        <v>8.4705882352941178</v>
      </c>
      <c r="AI291" s="235">
        <v>16.941176470588236</v>
      </c>
      <c r="AJ291" s="235">
        <v>0</v>
      </c>
      <c r="AK291" s="235">
        <v>10.352941176470589</v>
      </c>
      <c r="AL291" s="235">
        <v>10.352941176470589</v>
      </c>
      <c r="AM291" s="235">
        <v>8.4705882352941178</v>
      </c>
      <c r="AN291" s="235">
        <v>18.823529411764707</v>
      </c>
      <c r="AO291" s="235">
        <v>27.294117647058822</v>
      </c>
      <c r="AP291" s="200">
        <v>48</v>
      </c>
      <c r="AQ291" s="141">
        <v>0</v>
      </c>
      <c r="AR291" s="200">
        <v>160</v>
      </c>
      <c r="AS291" s="200">
        <v>257.88235294117646</v>
      </c>
      <c r="AT291" s="66">
        <v>417.88235294117646</v>
      </c>
      <c r="AU291" s="235">
        <v>0</v>
      </c>
      <c r="AV291" s="235">
        <v>9.4117647058823533</v>
      </c>
      <c r="AW291" s="75">
        <v>0</v>
      </c>
      <c r="AX291" s="235">
        <v>42.352941176470587</v>
      </c>
      <c r="AY291" s="66">
        <v>51.764705882352942</v>
      </c>
      <c r="AZ291" s="202">
        <v>0</v>
      </c>
      <c r="BA291" s="87">
        <v>0</v>
      </c>
      <c r="BB291" s="87">
        <v>0</v>
      </c>
      <c r="BC291" s="87">
        <v>0</v>
      </c>
      <c r="BD291" s="87">
        <v>0</v>
      </c>
      <c r="BE291" s="87">
        <v>0</v>
      </c>
      <c r="BF291" s="87">
        <v>108.23529411764706</v>
      </c>
      <c r="BG291" s="66">
        <v>108.23529411764706</v>
      </c>
      <c r="BH291" s="67">
        <v>577.88235294117646</v>
      </c>
      <c r="BI291" s="67">
        <v>1325780.0855768013</v>
      </c>
    </row>
    <row r="292" spans="1:61" x14ac:dyDescent="0.25">
      <c r="A292" s="142">
        <v>0</v>
      </c>
      <c r="B292" s="68">
        <v>40456</v>
      </c>
      <c r="C292" s="198">
        <v>40456</v>
      </c>
      <c r="D292" s="69">
        <v>39728</v>
      </c>
      <c r="E292" s="70">
        <v>5</v>
      </c>
      <c r="F292" s="71">
        <v>40</v>
      </c>
      <c r="G292" s="72"/>
      <c r="H292" s="82"/>
      <c r="I292" s="210"/>
      <c r="J292" s="210"/>
      <c r="K292" s="235">
        <v>70.588235294117652</v>
      </c>
      <c r="L292" s="235">
        <v>7.5294117647058822</v>
      </c>
      <c r="M292" s="235">
        <v>78.117647058823536</v>
      </c>
      <c r="N292" s="235">
        <v>38.588235294117645</v>
      </c>
      <c r="O292" s="235">
        <v>17.882352941176471</v>
      </c>
      <c r="P292" s="235">
        <v>56.470588235294116</v>
      </c>
      <c r="Q292" s="235">
        <v>5.6470588235294121</v>
      </c>
      <c r="R292" s="235">
        <v>0</v>
      </c>
      <c r="S292" s="235">
        <v>5.6470588235294121</v>
      </c>
      <c r="T292" s="235">
        <v>4.7058823529411766</v>
      </c>
      <c r="U292" s="235">
        <v>150.58823529411765</v>
      </c>
      <c r="V292" s="235">
        <v>155.29411764705881</v>
      </c>
      <c r="W292" s="235">
        <v>48.941176470588232</v>
      </c>
      <c r="X292" s="235">
        <v>168.47058823529412</v>
      </c>
      <c r="Y292" s="235">
        <v>217.41176470588235</v>
      </c>
      <c r="Z292" s="200">
        <v>295.52941176470586</v>
      </c>
      <c r="AA292" s="235">
        <v>23.294117647058822</v>
      </c>
      <c r="AB292" s="235">
        <v>12.941176470588236</v>
      </c>
      <c r="AC292" s="235">
        <v>36.235294117647058</v>
      </c>
      <c r="AD292" s="235">
        <v>0</v>
      </c>
      <c r="AE292" s="235">
        <v>0</v>
      </c>
      <c r="AF292" s="235">
        <v>0</v>
      </c>
      <c r="AG292" s="235">
        <v>19.058823529411764</v>
      </c>
      <c r="AH292" s="235">
        <v>10.588235294117647</v>
      </c>
      <c r="AI292" s="235">
        <v>29.647058823529413</v>
      </c>
      <c r="AJ292" s="235">
        <v>3.7647058823529411</v>
      </c>
      <c r="AK292" s="235">
        <v>12.235294117647058</v>
      </c>
      <c r="AL292" s="235">
        <v>16</v>
      </c>
      <c r="AM292" s="235">
        <v>22.823529411764707</v>
      </c>
      <c r="AN292" s="235">
        <v>22.823529411764707</v>
      </c>
      <c r="AO292" s="235">
        <v>45.647058823529413</v>
      </c>
      <c r="AP292" s="200">
        <v>81.882352941176464</v>
      </c>
      <c r="AQ292" s="141">
        <v>0</v>
      </c>
      <c r="AR292" s="200">
        <v>114.35294117647059</v>
      </c>
      <c r="AS292" s="200">
        <v>263.05882352941177</v>
      </c>
      <c r="AT292" s="66">
        <v>377.41176470588238</v>
      </c>
      <c r="AU292" s="235">
        <v>0</v>
      </c>
      <c r="AV292" s="235">
        <v>9.4117647058823533</v>
      </c>
      <c r="AW292" s="75">
        <v>0</v>
      </c>
      <c r="AX292" s="235">
        <v>164.70588235294119</v>
      </c>
      <c r="AY292" s="66">
        <v>174.11764705882354</v>
      </c>
      <c r="AZ292" s="202">
        <v>0</v>
      </c>
      <c r="BA292" s="87">
        <v>0</v>
      </c>
      <c r="BB292" s="87">
        <v>0</v>
      </c>
      <c r="BC292" s="87">
        <v>47.058823529411768</v>
      </c>
      <c r="BD292" s="87">
        <v>15.058823529411764</v>
      </c>
      <c r="BE292" s="87">
        <v>62.117647058823529</v>
      </c>
      <c r="BF292" s="87">
        <v>28.235294117647058</v>
      </c>
      <c r="BG292" s="66">
        <v>90.35294117647058</v>
      </c>
      <c r="BH292" s="67">
        <v>641.88235294117658</v>
      </c>
      <c r="BI292" s="67">
        <v>1326421.9679297425</v>
      </c>
    </row>
    <row r="293" spans="1:61" x14ac:dyDescent="0.25">
      <c r="A293" s="142">
        <v>0</v>
      </c>
      <c r="B293" s="68">
        <v>40457</v>
      </c>
      <c r="C293" s="198">
        <v>40457</v>
      </c>
      <c r="D293" s="69">
        <v>39729</v>
      </c>
      <c r="E293" s="70">
        <v>6</v>
      </c>
      <c r="F293" s="71">
        <v>40</v>
      </c>
      <c r="G293" s="72"/>
      <c r="H293" s="82"/>
      <c r="I293" s="210"/>
      <c r="J293" s="210"/>
      <c r="K293" s="235">
        <v>65.882352941176464</v>
      </c>
      <c r="L293" s="235">
        <v>8.4705882352941178</v>
      </c>
      <c r="M293" s="235">
        <v>74.35294117647058</v>
      </c>
      <c r="N293" s="235">
        <v>32.941176470588232</v>
      </c>
      <c r="O293" s="235">
        <v>9.4117647058823533</v>
      </c>
      <c r="P293" s="235">
        <v>42.352941176470587</v>
      </c>
      <c r="Q293" s="235">
        <v>3.7647058823529411</v>
      </c>
      <c r="R293" s="235">
        <v>0</v>
      </c>
      <c r="S293" s="235">
        <v>3.7647058823529411</v>
      </c>
      <c r="T293" s="235">
        <v>17.882352941176471</v>
      </c>
      <c r="U293" s="235">
        <v>144</v>
      </c>
      <c r="V293" s="235">
        <v>161.88235294117646</v>
      </c>
      <c r="W293" s="235">
        <v>54.588235294117645</v>
      </c>
      <c r="X293" s="235">
        <v>153.41176470588235</v>
      </c>
      <c r="Y293" s="235">
        <v>208</v>
      </c>
      <c r="Z293" s="200">
        <v>282.35294117647061</v>
      </c>
      <c r="AA293" s="235">
        <v>16.564705882352943</v>
      </c>
      <c r="AB293" s="235">
        <v>6.2117647058823522</v>
      </c>
      <c r="AC293" s="235">
        <v>22.776470588235298</v>
      </c>
      <c r="AD293" s="235">
        <v>0</v>
      </c>
      <c r="AE293" s="235">
        <v>0</v>
      </c>
      <c r="AF293" s="235">
        <v>0</v>
      </c>
      <c r="AG293" s="235">
        <v>13.552941176470588</v>
      </c>
      <c r="AH293" s="235">
        <v>5.0823529411764712</v>
      </c>
      <c r="AI293" s="235">
        <v>18.63529411764706</v>
      </c>
      <c r="AJ293" s="235">
        <v>2.8235294117647061</v>
      </c>
      <c r="AK293" s="235">
        <v>11.294117647058824</v>
      </c>
      <c r="AL293" s="235">
        <v>14.117647058823529</v>
      </c>
      <c r="AM293" s="235">
        <v>16.376470588235293</v>
      </c>
      <c r="AN293" s="235">
        <v>16.376470588235293</v>
      </c>
      <c r="AO293" s="235">
        <v>32.752941176470586</v>
      </c>
      <c r="AP293" s="200">
        <v>55.529411764705884</v>
      </c>
      <c r="AQ293" s="141">
        <v>0</v>
      </c>
      <c r="AR293" s="200">
        <v>97.129411764705878</v>
      </c>
      <c r="AS293" s="200">
        <v>240.75294117647059</v>
      </c>
      <c r="AT293" s="66">
        <v>337.88235294117646</v>
      </c>
      <c r="AU293" s="235">
        <v>0</v>
      </c>
      <c r="AV293" s="235">
        <v>9.4117647058823533</v>
      </c>
      <c r="AW293" s="75">
        <v>28.235294117647058</v>
      </c>
      <c r="AX293" s="235">
        <v>23.529411764705884</v>
      </c>
      <c r="AY293" s="66">
        <v>61.176470588235297</v>
      </c>
      <c r="AZ293" s="202">
        <v>0</v>
      </c>
      <c r="BA293" s="87">
        <v>0</v>
      </c>
      <c r="BB293" s="87">
        <v>47.058823529411768</v>
      </c>
      <c r="BC293" s="87">
        <v>0</v>
      </c>
      <c r="BD293" s="87">
        <v>62.117647058823529</v>
      </c>
      <c r="BE293" s="87">
        <v>62.117647058823529</v>
      </c>
      <c r="BF293" s="87">
        <v>165.64705882352942</v>
      </c>
      <c r="BG293" s="66">
        <v>227.76470588235296</v>
      </c>
      <c r="BH293" s="67">
        <v>626.82352941176464</v>
      </c>
      <c r="BI293" s="67">
        <v>1327048.7914591543</v>
      </c>
    </row>
    <row r="294" spans="1:61" x14ac:dyDescent="0.25">
      <c r="A294" s="142">
        <v>0</v>
      </c>
      <c r="B294" s="68">
        <v>40458</v>
      </c>
      <c r="C294" s="198">
        <v>40458</v>
      </c>
      <c r="D294" s="69">
        <v>39730</v>
      </c>
      <c r="E294" s="70">
        <v>7</v>
      </c>
      <c r="F294" s="71">
        <v>40</v>
      </c>
      <c r="G294" s="72"/>
      <c r="H294" s="82"/>
      <c r="I294" s="210"/>
      <c r="J294" s="210"/>
      <c r="K294" s="235">
        <v>61.176470588235297</v>
      </c>
      <c r="L294" s="235">
        <v>7.5294117647058822</v>
      </c>
      <c r="M294" s="235">
        <v>68.705882352941174</v>
      </c>
      <c r="N294" s="235">
        <v>49.882352941176471</v>
      </c>
      <c r="O294" s="235">
        <v>16.941176470588236</v>
      </c>
      <c r="P294" s="235">
        <v>66.82352941176471</v>
      </c>
      <c r="Q294" s="235">
        <v>0</v>
      </c>
      <c r="R294" s="235">
        <v>0</v>
      </c>
      <c r="S294" s="235">
        <v>0</v>
      </c>
      <c r="T294" s="235">
        <v>14.117647058823529</v>
      </c>
      <c r="U294" s="235">
        <v>137.41176470588235</v>
      </c>
      <c r="V294" s="235">
        <v>151.52941176470588</v>
      </c>
      <c r="W294" s="235">
        <v>64</v>
      </c>
      <c r="X294" s="235">
        <v>154.35294117647058</v>
      </c>
      <c r="Y294" s="235">
        <v>218.35294117647058</v>
      </c>
      <c r="Z294" s="200">
        <v>287.05882352941177</v>
      </c>
      <c r="AA294" s="235">
        <v>10.352941176470589</v>
      </c>
      <c r="AB294" s="235">
        <v>8.2823529411764714</v>
      </c>
      <c r="AC294" s="235">
        <v>18.63529411764706</v>
      </c>
      <c r="AD294" s="235">
        <v>0</v>
      </c>
      <c r="AE294" s="235">
        <v>0</v>
      </c>
      <c r="AF294" s="235">
        <v>0</v>
      </c>
      <c r="AG294" s="235">
        <v>8.4705882352941178</v>
      </c>
      <c r="AH294" s="235">
        <v>6.776470588235294</v>
      </c>
      <c r="AI294" s="235">
        <v>15.247058823529411</v>
      </c>
      <c r="AJ294" s="235">
        <v>6.5882352941176467</v>
      </c>
      <c r="AK294" s="235">
        <v>16.941176470588236</v>
      </c>
      <c r="AL294" s="235">
        <v>23.529411764705884</v>
      </c>
      <c r="AM294" s="235">
        <v>15.058823529411764</v>
      </c>
      <c r="AN294" s="235">
        <v>23.71764705882353</v>
      </c>
      <c r="AO294" s="235">
        <v>38.776470588235298</v>
      </c>
      <c r="AP294" s="200">
        <v>57.411764705882355</v>
      </c>
      <c r="AQ294" s="141">
        <v>0</v>
      </c>
      <c r="AR294" s="200">
        <v>87.341176470588238</v>
      </c>
      <c r="AS294" s="200">
        <v>257.12941176470588</v>
      </c>
      <c r="AT294" s="66">
        <v>344.47058823529414</v>
      </c>
      <c r="AU294" s="235">
        <v>0</v>
      </c>
      <c r="AV294" s="235">
        <v>4.7058823529411766</v>
      </c>
      <c r="AW294" s="75">
        <v>0</v>
      </c>
      <c r="AX294" s="235">
        <v>28.235294117647058</v>
      </c>
      <c r="AY294" s="66">
        <v>32.941176470588232</v>
      </c>
      <c r="AZ294" s="202">
        <v>0</v>
      </c>
      <c r="BA294" s="87">
        <v>23.529411764705884</v>
      </c>
      <c r="BB294" s="87">
        <v>65.882352941176464</v>
      </c>
      <c r="BC294" s="87">
        <v>23.529411764705884</v>
      </c>
      <c r="BD294" s="87">
        <v>65.882352941176464</v>
      </c>
      <c r="BE294" s="87">
        <v>89.411764705882348</v>
      </c>
      <c r="BF294" s="87">
        <v>18.823529411764707</v>
      </c>
      <c r="BG294" s="66">
        <v>108.23529411764706</v>
      </c>
      <c r="BH294" s="67">
        <v>485.64705882352945</v>
      </c>
      <c r="BI294" s="67">
        <v>1327534.4385179779</v>
      </c>
    </row>
    <row r="295" spans="1:61" x14ac:dyDescent="0.25">
      <c r="A295" s="142">
        <v>0</v>
      </c>
      <c r="B295" s="68">
        <v>40459</v>
      </c>
      <c r="C295" s="198">
        <v>40459</v>
      </c>
      <c r="D295" s="69">
        <v>39731</v>
      </c>
      <c r="E295" s="70">
        <v>8</v>
      </c>
      <c r="F295" s="71">
        <v>40</v>
      </c>
      <c r="G295" s="72"/>
      <c r="H295" s="82"/>
      <c r="I295" s="210"/>
      <c r="J295" s="210"/>
      <c r="K295" s="235">
        <v>61.176470588235297</v>
      </c>
      <c r="L295" s="235">
        <v>9.4117647058823533</v>
      </c>
      <c r="M295" s="235">
        <v>70.588235294117652</v>
      </c>
      <c r="N295" s="235">
        <v>49.882352941176471</v>
      </c>
      <c r="O295" s="235">
        <v>18.823529411764707</v>
      </c>
      <c r="P295" s="235">
        <v>68.705882352941174</v>
      </c>
      <c r="Q295" s="235">
        <v>10.352941176470589</v>
      </c>
      <c r="R295" s="235">
        <v>0</v>
      </c>
      <c r="S295" s="235">
        <v>10.352941176470589</v>
      </c>
      <c r="T295" s="235">
        <v>33.882352941176471</v>
      </c>
      <c r="U295" s="235">
        <v>176.94117647058823</v>
      </c>
      <c r="V295" s="235">
        <v>210.8235294117647</v>
      </c>
      <c r="W295" s="235">
        <v>94.117647058823536</v>
      </c>
      <c r="X295" s="235">
        <v>195.76470588235293</v>
      </c>
      <c r="Y295" s="235">
        <v>289.88235294117646</v>
      </c>
      <c r="Z295" s="200">
        <v>360.47058823529414</v>
      </c>
      <c r="AA295" s="235">
        <v>20.705882352941178</v>
      </c>
      <c r="AB295" s="235">
        <v>4.1411764705882357</v>
      </c>
      <c r="AC295" s="235">
        <v>24.847058823529409</v>
      </c>
      <c r="AD295" s="235">
        <v>2.8235294117647061</v>
      </c>
      <c r="AE295" s="235">
        <v>0</v>
      </c>
      <c r="AF295" s="235">
        <v>2.8235294117647061</v>
      </c>
      <c r="AG295" s="235">
        <v>16.941176470588236</v>
      </c>
      <c r="AH295" s="235">
        <v>3.388235294117647</v>
      </c>
      <c r="AI295" s="235">
        <v>20.329411764705885</v>
      </c>
      <c r="AJ295" s="235">
        <v>3.7647058823529411</v>
      </c>
      <c r="AK295" s="235">
        <v>16</v>
      </c>
      <c r="AL295" s="235">
        <v>19.764705882352942</v>
      </c>
      <c r="AM295" s="235">
        <v>23.529411764705884</v>
      </c>
      <c r="AN295" s="235">
        <v>19.388235294117649</v>
      </c>
      <c r="AO295" s="235">
        <v>42.917647058823533</v>
      </c>
      <c r="AP295" s="200">
        <v>67.764705882352942</v>
      </c>
      <c r="AQ295" s="141">
        <v>0</v>
      </c>
      <c r="AR295" s="200">
        <v>95.435294117647061</v>
      </c>
      <c r="AS295" s="200">
        <v>332.8</v>
      </c>
      <c r="AT295" s="66">
        <v>428.23529411764707</v>
      </c>
      <c r="AU295" s="235">
        <v>0</v>
      </c>
      <c r="AV295" s="235">
        <v>9.4117647058823533</v>
      </c>
      <c r="AW295" s="75">
        <v>28.235294117647058</v>
      </c>
      <c r="AX295" s="235">
        <v>28.235294117647058</v>
      </c>
      <c r="AY295" s="66">
        <v>65.882352941176464</v>
      </c>
      <c r="AZ295" s="202">
        <v>0</v>
      </c>
      <c r="BA295" s="87">
        <v>51.764705882352942</v>
      </c>
      <c r="BB295" s="87">
        <v>32.941176470588232</v>
      </c>
      <c r="BC295" s="87">
        <v>51.764705882352942</v>
      </c>
      <c r="BD295" s="87">
        <v>32.941176470588232</v>
      </c>
      <c r="BE295" s="87">
        <v>84.705882352941174</v>
      </c>
      <c r="BF295" s="87">
        <v>160</v>
      </c>
      <c r="BG295" s="66">
        <v>244.70588235294116</v>
      </c>
      <c r="BH295" s="67">
        <v>738.82352941176464</v>
      </c>
      <c r="BI295" s="67">
        <v>1328273.2620473898</v>
      </c>
    </row>
    <row r="296" spans="1:61" x14ac:dyDescent="0.25">
      <c r="A296" s="142">
        <v>0</v>
      </c>
      <c r="B296" s="85">
        <v>40460</v>
      </c>
      <c r="C296" s="203">
        <v>40460</v>
      </c>
      <c r="D296" s="76">
        <v>39732</v>
      </c>
      <c r="E296" s="77">
        <v>9</v>
      </c>
      <c r="F296" s="78">
        <v>40</v>
      </c>
      <c r="G296" s="79"/>
      <c r="H296" s="80"/>
      <c r="I296" s="212"/>
      <c r="J296" s="212"/>
      <c r="K296" s="235">
        <v>1970.8235294117646</v>
      </c>
      <c r="L296" s="235">
        <v>80.941176470588232</v>
      </c>
      <c r="M296" s="231">
        <v>2051.7647058823527</v>
      </c>
      <c r="N296" s="231">
        <v>830.11764705882354</v>
      </c>
      <c r="O296" s="231">
        <v>202.35294117647058</v>
      </c>
      <c r="P296" s="231">
        <v>1032.4705882352941</v>
      </c>
      <c r="Q296" s="231">
        <v>42.352941176470587</v>
      </c>
      <c r="R296" s="231">
        <v>0</v>
      </c>
      <c r="S296" s="231">
        <v>42.352941176470587</v>
      </c>
      <c r="T296" s="231">
        <v>112.94117647058823</v>
      </c>
      <c r="U296" s="231">
        <v>352.94117647058823</v>
      </c>
      <c r="V296" s="231">
        <v>465.88235294117646</v>
      </c>
      <c r="W296" s="231">
        <v>985.41176470588232</v>
      </c>
      <c r="X296" s="231">
        <v>555.29411764705878</v>
      </c>
      <c r="Y296" s="231">
        <v>1540.7058823529412</v>
      </c>
      <c r="Z296" s="200">
        <v>3592.4705882352941</v>
      </c>
      <c r="AA296" s="231">
        <v>20.188235294117646</v>
      </c>
      <c r="AB296" s="231">
        <v>14.494117647058824</v>
      </c>
      <c r="AC296" s="231">
        <v>34.682352941176475</v>
      </c>
      <c r="AD296" s="231">
        <v>0</v>
      </c>
      <c r="AE296" s="231">
        <v>0</v>
      </c>
      <c r="AF296" s="231">
        <v>0</v>
      </c>
      <c r="AG296" s="231">
        <v>16.517647058823531</v>
      </c>
      <c r="AH296" s="231">
        <v>11.858823529411765</v>
      </c>
      <c r="AI296" s="231">
        <v>28.376470588235293</v>
      </c>
      <c r="AJ296" s="231">
        <v>14.117647058823529</v>
      </c>
      <c r="AK296" s="231">
        <v>30.117647058823529</v>
      </c>
      <c r="AL296" s="231">
        <v>44.235294117647058</v>
      </c>
      <c r="AM296" s="231">
        <v>30.635294117647057</v>
      </c>
      <c r="AN296" s="231">
        <v>41.976470588235294</v>
      </c>
      <c r="AO296" s="231">
        <v>72.611764705882365</v>
      </c>
      <c r="AP296" s="200">
        <v>107.29411764705883</v>
      </c>
      <c r="AQ296" s="141">
        <v>0</v>
      </c>
      <c r="AR296" s="200">
        <v>2086.447058823529</v>
      </c>
      <c r="AS296" s="200">
        <v>1613.3176470588237</v>
      </c>
      <c r="AT296" s="66">
        <v>3699.7647058823527</v>
      </c>
      <c r="AU296" s="231">
        <v>56.902437088195605</v>
      </c>
      <c r="AV296" s="231">
        <v>37.647058823529413</v>
      </c>
      <c r="AW296" s="75">
        <v>0</v>
      </c>
      <c r="AX296" s="231">
        <v>324.70588235294116</v>
      </c>
      <c r="AY296" s="66">
        <v>419.25537826466621</v>
      </c>
      <c r="AZ296" s="208">
        <v>0</v>
      </c>
      <c r="BA296" s="87">
        <v>2023.5294117647059</v>
      </c>
      <c r="BB296" s="87">
        <v>2127.0588235294117</v>
      </c>
      <c r="BC296" s="87">
        <v>2051.7647058823532</v>
      </c>
      <c r="BD296" s="87">
        <v>2127.0588235294117</v>
      </c>
      <c r="BE296" s="87">
        <v>4178.8235294117649</v>
      </c>
      <c r="BF296" s="87">
        <v>86.588235294117652</v>
      </c>
      <c r="BG296" s="66">
        <v>4265.4117647058829</v>
      </c>
      <c r="BH296" s="67">
        <v>8384.4318488529025</v>
      </c>
      <c r="BI296" s="67">
        <v>1336657.6938962427</v>
      </c>
    </row>
    <row r="297" spans="1:61" x14ac:dyDescent="0.25">
      <c r="A297" s="142">
        <v>0</v>
      </c>
      <c r="B297" s="85">
        <v>40461</v>
      </c>
      <c r="C297" s="203">
        <v>40461</v>
      </c>
      <c r="D297" s="76">
        <v>39733</v>
      </c>
      <c r="E297" s="77">
        <v>10</v>
      </c>
      <c r="F297" s="78">
        <v>40</v>
      </c>
      <c r="G297" s="79"/>
      <c r="H297" s="80"/>
      <c r="I297" s="212"/>
      <c r="J297" s="212"/>
      <c r="K297" s="235">
        <v>1217.8823529411766</v>
      </c>
      <c r="L297" s="235">
        <v>65.882352941176464</v>
      </c>
      <c r="M297" s="231">
        <v>1283.7647058823532</v>
      </c>
      <c r="N297" s="231">
        <v>371.76470588235293</v>
      </c>
      <c r="O297" s="231">
        <v>174.11764705882354</v>
      </c>
      <c r="P297" s="231">
        <v>545.88235294117646</v>
      </c>
      <c r="Q297" s="231">
        <v>14.117647058823529</v>
      </c>
      <c r="R297" s="231">
        <v>0</v>
      </c>
      <c r="S297" s="231">
        <v>14.117647058823529</v>
      </c>
      <c r="T297" s="231">
        <v>56.470588235294116</v>
      </c>
      <c r="U297" s="231">
        <v>315.29411764705884</v>
      </c>
      <c r="V297" s="231">
        <v>371.76470588235293</v>
      </c>
      <c r="W297" s="231">
        <v>442.35294117647061</v>
      </c>
      <c r="X297" s="231">
        <v>489.41176470588238</v>
      </c>
      <c r="Y297" s="231">
        <v>931.76470588235293</v>
      </c>
      <c r="Z297" s="200">
        <v>2215.5294117647059</v>
      </c>
      <c r="AA297" s="231">
        <v>21.223529411764705</v>
      </c>
      <c r="AB297" s="231">
        <v>19.670588235294115</v>
      </c>
      <c r="AC297" s="231">
        <v>40.894117647058827</v>
      </c>
      <c r="AD297" s="231">
        <v>0</v>
      </c>
      <c r="AE297" s="231">
        <v>0</v>
      </c>
      <c r="AF297" s="231">
        <v>0</v>
      </c>
      <c r="AG297" s="231">
        <v>17.36470588235294</v>
      </c>
      <c r="AH297" s="231">
        <v>16.094117647058823</v>
      </c>
      <c r="AI297" s="231">
        <v>33.45882352941176</v>
      </c>
      <c r="AJ297" s="231">
        <v>8.4705882352941178</v>
      </c>
      <c r="AK297" s="231">
        <v>33.882352941176471</v>
      </c>
      <c r="AL297" s="231">
        <v>42.352941176470587</v>
      </c>
      <c r="AM297" s="231">
        <v>25.835294117647059</v>
      </c>
      <c r="AN297" s="231">
        <v>49.976470588235294</v>
      </c>
      <c r="AO297" s="231">
        <v>75.811764705882354</v>
      </c>
      <c r="AP297" s="200">
        <v>116.70588235294117</v>
      </c>
      <c r="AQ297" s="141">
        <v>0</v>
      </c>
      <c r="AR297" s="200">
        <v>1324.6588235294121</v>
      </c>
      <c r="AS297" s="200">
        <v>1007.5764705882352</v>
      </c>
      <c r="AT297" s="66">
        <v>2332.2352941176473</v>
      </c>
      <c r="AU297" s="231">
        <v>0</v>
      </c>
      <c r="AV297" s="231">
        <v>56.470588235294116</v>
      </c>
      <c r="AW297" s="75">
        <v>0</v>
      </c>
      <c r="AX297" s="231">
        <v>169.41176470588235</v>
      </c>
      <c r="AY297" s="66">
        <v>225.88235294117646</v>
      </c>
      <c r="AZ297" s="208">
        <v>0</v>
      </c>
      <c r="BA297" s="87">
        <v>75.294117647058826</v>
      </c>
      <c r="BB297" s="87">
        <v>2221.1764705882351</v>
      </c>
      <c r="BC297" s="87">
        <v>90.352941176470594</v>
      </c>
      <c r="BD297" s="87">
        <v>2221.1764705882351</v>
      </c>
      <c r="BE297" s="87">
        <v>2311.5294117647059</v>
      </c>
      <c r="BF297" s="87">
        <v>48.941176470588232</v>
      </c>
      <c r="BG297" s="66">
        <v>2360.4705882352941</v>
      </c>
      <c r="BH297" s="67">
        <v>4918.588235294118</v>
      </c>
      <c r="BI297" s="67">
        <v>1341576.2821315369</v>
      </c>
    </row>
    <row r="298" spans="1:61" x14ac:dyDescent="0.25">
      <c r="A298" s="142">
        <v>0</v>
      </c>
      <c r="B298" s="68">
        <v>40462</v>
      </c>
      <c r="C298" s="198">
        <v>40462</v>
      </c>
      <c r="D298" s="69">
        <v>39734</v>
      </c>
      <c r="E298" s="70">
        <v>11</v>
      </c>
      <c r="F298" s="71">
        <v>41</v>
      </c>
      <c r="G298" s="72"/>
      <c r="H298" s="82"/>
      <c r="I298" s="210"/>
      <c r="J298" s="210"/>
      <c r="K298" s="235">
        <v>140.23529411764707</v>
      </c>
      <c r="L298" s="235">
        <v>11.294117647058824</v>
      </c>
      <c r="M298" s="235">
        <v>151.52941176470588</v>
      </c>
      <c r="N298" s="235">
        <v>51.764705882352942</v>
      </c>
      <c r="O298" s="235">
        <v>14.117647058823529</v>
      </c>
      <c r="P298" s="235">
        <v>65.882352941176464</v>
      </c>
      <c r="Q298" s="235">
        <v>0</v>
      </c>
      <c r="R298" s="235">
        <v>0</v>
      </c>
      <c r="S298" s="235">
        <v>0</v>
      </c>
      <c r="T298" s="235">
        <v>20.705882352941178</v>
      </c>
      <c r="U298" s="235">
        <v>188.23529411764707</v>
      </c>
      <c r="V298" s="235">
        <v>208.94117647058823</v>
      </c>
      <c r="W298" s="235">
        <v>72.470588235294116</v>
      </c>
      <c r="X298" s="235">
        <v>202.35294117647058</v>
      </c>
      <c r="Y298" s="235">
        <v>274.8235294117647</v>
      </c>
      <c r="Z298" s="200">
        <v>426.35294117647061</v>
      </c>
      <c r="AA298" s="235">
        <v>26.91764705882353</v>
      </c>
      <c r="AB298" s="235">
        <v>15.529411764705882</v>
      </c>
      <c r="AC298" s="235">
        <v>42.44705882352941</v>
      </c>
      <c r="AD298" s="235">
        <v>0</v>
      </c>
      <c r="AE298" s="235">
        <v>0</v>
      </c>
      <c r="AF298" s="235">
        <v>0</v>
      </c>
      <c r="AG298" s="235">
        <v>22.023529411764706</v>
      </c>
      <c r="AH298" s="235">
        <v>12.705882352941176</v>
      </c>
      <c r="AI298" s="235">
        <v>34.72941176470588</v>
      </c>
      <c r="AJ298" s="235">
        <v>14.117647058823529</v>
      </c>
      <c r="AK298" s="235">
        <v>47.058823529411768</v>
      </c>
      <c r="AL298" s="235">
        <v>61.176470588235297</v>
      </c>
      <c r="AM298" s="235">
        <v>36.141176470588235</v>
      </c>
      <c r="AN298" s="235">
        <v>59.764705882352942</v>
      </c>
      <c r="AO298" s="235">
        <v>95.905882352941177</v>
      </c>
      <c r="AP298" s="200">
        <v>138.35294117647058</v>
      </c>
      <c r="AQ298" s="141">
        <v>0</v>
      </c>
      <c r="AR298" s="200">
        <v>193.97647058823529</v>
      </c>
      <c r="AS298" s="200">
        <v>370.7294117647059</v>
      </c>
      <c r="AT298" s="66">
        <v>564.70588235294122</v>
      </c>
      <c r="AU298" s="235">
        <v>0</v>
      </c>
      <c r="AV298" s="235">
        <v>4.7058823529411766</v>
      </c>
      <c r="AW298" s="75">
        <v>0</v>
      </c>
      <c r="AX298" s="235">
        <v>42.352941176470587</v>
      </c>
      <c r="AY298" s="66">
        <v>47.058823529411761</v>
      </c>
      <c r="AZ298" s="202">
        <v>0</v>
      </c>
      <c r="BA298" s="87">
        <v>0</v>
      </c>
      <c r="BB298" s="87">
        <v>32.941176470588232</v>
      </c>
      <c r="BC298" s="87">
        <v>0</v>
      </c>
      <c r="BD298" s="87">
        <v>32.941176470588232</v>
      </c>
      <c r="BE298" s="87">
        <v>32.941176470588232</v>
      </c>
      <c r="BF298" s="87">
        <v>0</v>
      </c>
      <c r="BG298" s="66">
        <v>32.941176470588232</v>
      </c>
      <c r="BH298" s="67">
        <v>644.70588235294122</v>
      </c>
      <c r="BI298" s="67">
        <v>1342220.9880138899</v>
      </c>
    </row>
    <row r="299" spans="1:61" x14ac:dyDescent="0.25">
      <c r="A299" s="142">
        <v>0</v>
      </c>
      <c r="B299" s="68">
        <v>40463</v>
      </c>
      <c r="C299" s="198">
        <v>40463</v>
      </c>
      <c r="D299" s="69">
        <v>39735</v>
      </c>
      <c r="E299" s="70">
        <v>12</v>
      </c>
      <c r="F299" s="71">
        <v>41</v>
      </c>
      <c r="G299" s="72"/>
      <c r="H299" s="82"/>
      <c r="I299" s="210"/>
      <c r="J299" s="210"/>
      <c r="K299" s="235">
        <v>140.23529411764707</v>
      </c>
      <c r="L299" s="235">
        <v>9.4117647058823533</v>
      </c>
      <c r="M299" s="235">
        <v>149.64705882352942</v>
      </c>
      <c r="N299" s="235">
        <v>56.470588235294116</v>
      </c>
      <c r="O299" s="235">
        <v>40.470588235294116</v>
      </c>
      <c r="P299" s="235">
        <v>96.941176470588232</v>
      </c>
      <c r="Q299" s="235">
        <v>18.823529411764707</v>
      </c>
      <c r="R299" s="235">
        <v>0</v>
      </c>
      <c r="S299" s="235">
        <v>18.823529411764707</v>
      </c>
      <c r="T299" s="235">
        <v>9.4117647058823533</v>
      </c>
      <c r="U299" s="235">
        <v>221.1764705882353</v>
      </c>
      <c r="V299" s="235">
        <v>230.58823529411765</v>
      </c>
      <c r="W299" s="235">
        <v>84.705882352941174</v>
      </c>
      <c r="X299" s="235">
        <v>261.64705882352939</v>
      </c>
      <c r="Y299" s="235">
        <v>346.35294117647061</v>
      </c>
      <c r="Z299" s="200">
        <v>496</v>
      </c>
      <c r="AA299" s="235">
        <v>40.376470588235293</v>
      </c>
      <c r="AB299" s="235">
        <v>20.705882352941178</v>
      </c>
      <c r="AC299" s="235">
        <v>61.082352941176474</v>
      </c>
      <c r="AD299" s="235">
        <v>0</v>
      </c>
      <c r="AE299" s="235">
        <v>0</v>
      </c>
      <c r="AF299" s="235">
        <v>0</v>
      </c>
      <c r="AG299" s="235">
        <v>33.035294117647062</v>
      </c>
      <c r="AH299" s="235">
        <v>16.941176470588236</v>
      </c>
      <c r="AI299" s="235">
        <v>49.976470588235294</v>
      </c>
      <c r="AJ299" s="235">
        <v>9.4117647058823533</v>
      </c>
      <c r="AK299" s="235">
        <v>70.588235294117652</v>
      </c>
      <c r="AL299" s="235">
        <v>80</v>
      </c>
      <c r="AM299" s="235">
        <v>42.44705882352941</v>
      </c>
      <c r="AN299" s="235">
        <v>87.529411764705884</v>
      </c>
      <c r="AO299" s="235">
        <v>129.97647058823529</v>
      </c>
      <c r="AP299" s="200">
        <v>191.05882352941177</v>
      </c>
      <c r="AQ299" s="141">
        <v>0</v>
      </c>
      <c r="AR299" s="200">
        <v>210.7294117647059</v>
      </c>
      <c r="AS299" s="200">
        <v>476.32941176470592</v>
      </c>
      <c r="AT299" s="66">
        <v>687.05882352941182</v>
      </c>
      <c r="AU299" s="235">
        <v>0</v>
      </c>
      <c r="AV299" s="235">
        <v>9.4117647058823533</v>
      </c>
      <c r="AW299" s="75">
        <v>0</v>
      </c>
      <c r="AX299" s="235">
        <v>56.470588235294116</v>
      </c>
      <c r="AY299" s="66">
        <v>65.882352941176464</v>
      </c>
      <c r="AZ299" s="202">
        <v>0</v>
      </c>
      <c r="BA299" s="87">
        <v>52.705882352941174</v>
      </c>
      <c r="BB299" s="87">
        <v>28.235294117647058</v>
      </c>
      <c r="BC299" s="87">
        <v>52.705882352941174</v>
      </c>
      <c r="BD299" s="87">
        <v>28.235294117647058</v>
      </c>
      <c r="BE299" s="87">
        <v>80.941176470588232</v>
      </c>
      <c r="BF299" s="87">
        <v>42.352941176470587</v>
      </c>
      <c r="BG299" s="66">
        <v>123.29411764705881</v>
      </c>
      <c r="BH299" s="67">
        <v>876.23529411764707</v>
      </c>
      <c r="BI299" s="67">
        <v>1343097.2233080075</v>
      </c>
    </row>
    <row r="300" spans="1:61" x14ac:dyDescent="0.25">
      <c r="A300" s="142">
        <v>0</v>
      </c>
      <c r="B300" s="68">
        <v>40464</v>
      </c>
      <c r="C300" s="198">
        <v>40464</v>
      </c>
      <c r="D300" s="69">
        <v>39736</v>
      </c>
      <c r="E300" s="70">
        <v>13</v>
      </c>
      <c r="F300" s="71">
        <v>41</v>
      </c>
      <c r="G300" s="72"/>
      <c r="H300" s="82"/>
      <c r="I300" s="210"/>
      <c r="J300" s="210"/>
      <c r="K300" s="235">
        <v>134.58823529411765</v>
      </c>
      <c r="L300" s="235">
        <v>9.4117647058823533</v>
      </c>
      <c r="M300" s="235">
        <v>144</v>
      </c>
      <c r="N300" s="235">
        <v>59.294117647058826</v>
      </c>
      <c r="O300" s="235">
        <v>30.117647058823529</v>
      </c>
      <c r="P300" s="235">
        <v>89.411764705882348</v>
      </c>
      <c r="Q300" s="235">
        <v>0</v>
      </c>
      <c r="R300" s="235">
        <v>0</v>
      </c>
      <c r="S300" s="235">
        <v>0</v>
      </c>
      <c r="T300" s="235">
        <v>7.5294117647058822</v>
      </c>
      <c r="U300" s="235">
        <v>197.64705882352942</v>
      </c>
      <c r="V300" s="235">
        <v>205.1764705882353</v>
      </c>
      <c r="W300" s="235">
        <v>66.82352941176471</v>
      </c>
      <c r="X300" s="235">
        <v>227.76470588235293</v>
      </c>
      <c r="Y300" s="235">
        <v>294.58823529411762</v>
      </c>
      <c r="Z300" s="200">
        <v>438.58823529411762</v>
      </c>
      <c r="AA300" s="235">
        <v>28.470588235294116</v>
      </c>
      <c r="AB300" s="235">
        <v>11.388235294117647</v>
      </c>
      <c r="AC300" s="235">
        <v>39.858823529411765</v>
      </c>
      <c r="AD300" s="235">
        <v>0</v>
      </c>
      <c r="AE300" s="235">
        <v>0</v>
      </c>
      <c r="AF300" s="235">
        <v>0</v>
      </c>
      <c r="AG300" s="235">
        <v>23.294117647058822</v>
      </c>
      <c r="AH300" s="235">
        <v>9.3176470588235301</v>
      </c>
      <c r="AI300" s="235">
        <v>32.611764705882351</v>
      </c>
      <c r="AJ300" s="235">
        <v>18.823529411764707</v>
      </c>
      <c r="AK300" s="235">
        <v>41.411764705882355</v>
      </c>
      <c r="AL300" s="235">
        <v>60.235294117647058</v>
      </c>
      <c r="AM300" s="235">
        <v>42.117647058823529</v>
      </c>
      <c r="AN300" s="235">
        <v>50.72941176470588</v>
      </c>
      <c r="AO300" s="235">
        <v>92.847058823529423</v>
      </c>
      <c r="AP300" s="200">
        <v>132.70588235294119</v>
      </c>
      <c r="AQ300" s="141">
        <v>0</v>
      </c>
      <c r="AR300" s="200">
        <v>183.85882352941178</v>
      </c>
      <c r="AS300" s="200">
        <v>387.43529411764706</v>
      </c>
      <c r="AT300" s="66">
        <v>571.29411764705878</v>
      </c>
      <c r="AU300" s="235">
        <v>0</v>
      </c>
      <c r="AV300" s="235">
        <v>9.4117647058823533</v>
      </c>
      <c r="AW300" s="75">
        <v>235.29411764705881</v>
      </c>
      <c r="AX300" s="235">
        <v>37.647058823529413</v>
      </c>
      <c r="AY300" s="66">
        <v>282.35294117647055</v>
      </c>
      <c r="AZ300" s="202">
        <v>0</v>
      </c>
      <c r="BA300" s="87">
        <v>0</v>
      </c>
      <c r="BB300" s="87">
        <v>0</v>
      </c>
      <c r="BC300" s="87">
        <v>0</v>
      </c>
      <c r="BD300" s="87">
        <v>0</v>
      </c>
      <c r="BE300" s="87">
        <v>0</v>
      </c>
      <c r="BF300" s="87">
        <v>145.88235294117646</v>
      </c>
      <c r="BG300" s="66">
        <v>145.88235294117646</v>
      </c>
      <c r="BH300" s="67">
        <v>999.52941176470586</v>
      </c>
      <c r="BI300" s="67">
        <v>1344096.7527197723</v>
      </c>
    </row>
    <row r="301" spans="1:61" x14ac:dyDescent="0.25">
      <c r="A301" s="142">
        <v>0</v>
      </c>
      <c r="B301" s="68">
        <v>40465</v>
      </c>
      <c r="C301" s="198">
        <v>40465</v>
      </c>
      <c r="D301" s="69">
        <v>39737</v>
      </c>
      <c r="E301" s="70">
        <v>14</v>
      </c>
      <c r="F301" s="71">
        <v>41</v>
      </c>
      <c r="G301" s="72"/>
      <c r="H301" s="82"/>
      <c r="I301" s="210"/>
      <c r="J301" s="210"/>
      <c r="K301" s="235">
        <v>145.88235294117646</v>
      </c>
      <c r="L301" s="235">
        <v>10.352941176470589</v>
      </c>
      <c r="M301" s="235">
        <v>156.23529411764704</v>
      </c>
      <c r="N301" s="235">
        <v>37.647058823529413</v>
      </c>
      <c r="O301" s="235">
        <v>11.294117647058824</v>
      </c>
      <c r="P301" s="235">
        <v>48.941176470588232</v>
      </c>
      <c r="Q301" s="235">
        <v>0</v>
      </c>
      <c r="R301" s="235">
        <v>0</v>
      </c>
      <c r="S301" s="235">
        <v>0</v>
      </c>
      <c r="T301" s="235">
        <v>7.5294117647058822</v>
      </c>
      <c r="U301" s="235">
        <v>152.47058823529412</v>
      </c>
      <c r="V301" s="235">
        <v>160</v>
      </c>
      <c r="W301" s="235">
        <v>45.176470588235297</v>
      </c>
      <c r="X301" s="235">
        <v>163.76470588235293</v>
      </c>
      <c r="Y301" s="235">
        <v>208.94117647058823</v>
      </c>
      <c r="Z301" s="200">
        <v>365.1764705882353</v>
      </c>
      <c r="AA301" s="235">
        <v>31.058823529411764</v>
      </c>
      <c r="AB301" s="235">
        <v>8.2823529411764714</v>
      </c>
      <c r="AC301" s="235">
        <v>39.341176470588231</v>
      </c>
      <c r="AD301" s="235">
        <v>0</v>
      </c>
      <c r="AE301" s="235">
        <v>0</v>
      </c>
      <c r="AF301" s="235">
        <v>0</v>
      </c>
      <c r="AG301" s="235">
        <v>25.411764705882351</v>
      </c>
      <c r="AH301" s="235">
        <v>6.776470588235294</v>
      </c>
      <c r="AI301" s="235">
        <v>32.188235294117646</v>
      </c>
      <c r="AJ301" s="235">
        <v>4.7058823529411766</v>
      </c>
      <c r="AK301" s="235">
        <v>35.764705882352942</v>
      </c>
      <c r="AL301" s="235">
        <v>40.470588235294116</v>
      </c>
      <c r="AM301" s="235">
        <v>30.117647058823529</v>
      </c>
      <c r="AN301" s="235">
        <v>42.54117647058824</v>
      </c>
      <c r="AO301" s="235">
        <v>72.658823529411762</v>
      </c>
      <c r="AP301" s="200">
        <v>112</v>
      </c>
      <c r="AQ301" s="141">
        <v>0</v>
      </c>
      <c r="AR301" s="200">
        <v>195.57647058823528</v>
      </c>
      <c r="AS301" s="200">
        <v>281.60000000000002</v>
      </c>
      <c r="AT301" s="66">
        <v>477.1764705882353</v>
      </c>
      <c r="AU301" s="235">
        <v>0</v>
      </c>
      <c r="AV301" s="235">
        <v>9.4117647058823533</v>
      </c>
      <c r="AW301" s="75">
        <v>0</v>
      </c>
      <c r="AX301" s="235">
        <v>47.058823529411768</v>
      </c>
      <c r="AY301" s="66">
        <v>56.470588235294123</v>
      </c>
      <c r="AZ301" s="202">
        <v>0</v>
      </c>
      <c r="BA301" s="87">
        <v>75.294117647058826</v>
      </c>
      <c r="BB301" s="87">
        <v>0</v>
      </c>
      <c r="BC301" s="87">
        <v>75.294117647058826</v>
      </c>
      <c r="BD301" s="87">
        <v>0</v>
      </c>
      <c r="BE301" s="87">
        <v>75.294117647058826</v>
      </c>
      <c r="BF301" s="87">
        <v>51.764705882352942</v>
      </c>
      <c r="BG301" s="66">
        <v>127.05882352941177</v>
      </c>
      <c r="BH301" s="67">
        <v>660.70588235294122</v>
      </c>
      <c r="BI301" s="67">
        <v>1344757.4586021253</v>
      </c>
    </row>
    <row r="302" spans="1:61" x14ac:dyDescent="0.25">
      <c r="A302" s="142">
        <v>0</v>
      </c>
      <c r="B302" s="68">
        <v>40466</v>
      </c>
      <c r="C302" s="198">
        <v>40466</v>
      </c>
      <c r="D302" s="69">
        <v>39738</v>
      </c>
      <c r="E302" s="70">
        <v>15</v>
      </c>
      <c r="F302" s="71">
        <v>41</v>
      </c>
      <c r="G302" s="72"/>
      <c r="H302" s="82"/>
      <c r="I302" s="210"/>
      <c r="J302" s="210"/>
      <c r="K302" s="235">
        <v>145.88235294117646</v>
      </c>
      <c r="L302" s="235">
        <v>11.294117647058824</v>
      </c>
      <c r="M302" s="235">
        <v>157.17647058823528</v>
      </c>
      <c r="N302" s="235">
        <v>50.823529411764703</v>
      </c>
      <c r="O302" s="235">
        <v>13.176470588235293</v>
      </c>
      <c r="P302" s="235">
        <v>64</v>
      </c>
      <c r="Q302" s="235">
        <v>8.4705882352941178</v>
      </c>
      <c r="R302" s="235">
        <v>0</v>
      </c>
      <c r="S302" s="235">
        <v>8.4705882352941178</v>
      </c>
      <c r="T302" s="235">
        <v>11.294117647058824</v>
      </c>
      <c r="U302" s="235">
        <v>113.88235294117646</v>
      </c>
      <c r="V302" s="235">
        <v>125.17647058823529</v>
      </c>
      <c r="W302" s="235">
        <v>70.588235294117652</v>
      </c>
      <c r="X302" s="235">
        <v>127.05882352941177</v>
      </c>
      <c r="Y302" s="235">
        <v>197.64705882352942</v>
      </c>
      <c r="Z302" s="200">
        <v>354.8235294117647</v>
      </c>
      <c r="AA302" s="235">
        <v>23.294117647058822</v>
      </c>
      <c r="AB302" s="235">
        <v>3.6235294117647059</v>
      </c>
      <c r="AC302" s="235">
        <v>26.91764705882353</v>
      </c>
      <c r="AD302" s="235">
        <v>0</v>
      </c>
      <c r="AE302" s="235">
        <v>0</v>
      </c>
      <c r="AF302" s="235">
        <v>0</v>
      </c>
      <c r="AG302" s="235">
        <v>19.058823529411764</v>
      </c>
      <c r="AH302" s="235">
        <v>2.9647058823529413</v>
      </c>
      <c r="AI302" s="235">
        <v>22.023529411764706</v>
      </c>
      <c r="AJ302" s="235">
        <v>2.8235294117647061</v>
      </c>
      <c r="AK302" s="235">
        <v>37.647058823529413</v>
      </c>
      <c r="AL302" s="235">
        <v>40.470588235294116</v>
      </c>
      <c r="AM302" s="235">
        <v>21.882352941176471</v>
      </c>
      <c r="AN302" s="235">
        <v>40.611764705882351</v>
      </c>
      <c r="AO302" s="235">
        <v>62.494117647058829</v>
      </c>
      <c r="AP302" s="200">
        <v>89.411764705882348</v>
      </c>
      <c r="AQ302" s="141">
        <v>0</v>
      </c>
      <c r="AR302" s="200">
        <v>184.09411764705879</v>
      </c>
      <c r="AS302" s="200">
        <v>260.14117647058822</v>
      </c>
      <c r="AT302" s="66">
        <v>444.23529411764702</v>
      </c>
      <c r="AU302" s="235">
        <v>0</v>
      </c>
      <c r="AV302" s="235">
        <v>4.7058823529411766</v>
      </c>
      <c r="AW302" s="75">
        <v>112.94117647058823</v>
      </c>
      <c r="AX302" s="235">
        <v>94.117647058823536</v>
      </c>
      <c r="AY302" s="66">
        <v>211.76470588235293</v>
      </c>
      <c r="AZ302" s="202">
        <v>0</v>
      </c>
      <c r="BA302" s="87">
        <v>0</v>
      </c>
      <c r="BB302" s="87">
        <v>0</v>
      </c>
      <c r="BC302" s="87">
        <v>0</v>
      </c>
      <c r="BD302" s="87">
        <v>32.941176470588232</v>
      </c>
      <c r="BE302" s="87">
        <v>32.941176470588232</v>
      </c>
      <c r="BF302" s="87">
        <v>184.47058823529412</v>
      </c>
      <c r="BG302" s="66">
        <v>217.41176470588235</v>
      </c>
      <c r="BH302" s="67">
        <v>873.41176470588221</v>
      </c>
      <c r="BI302" s="67">
        <v>1345630.8703668311</v>
      </c>
    </row>
    <row r="303" spans="1:61" x14ac:dyDescent="0.25">
      <c r="A303" s="142">
        <v>0</v>
      </c>
      <c r="B303" s="85">
        <v>40467</v>
      </c>
      <c r="C303" s="203">
        <v>40467</v>
      </c>
      <c r="D303" s="76">
        <v>39739</v>
      </c>
      <c r="E303" s="77">
        <v>16</v>
      </c>
      <c r="F303" s="78">
        <v>41</v>
      </c>
      <c r="G303" s="79"/>
      <c r="H303" s="80"/>
      <c r="I303" s="212"/>
      <c r="J303" s="212"/>
      <c r="K303" s="235">
        <v>2390.5882352941176</v>
      </c>
      <c r="L303" s="235">
        <v>75.294117647058826</v>
      </c>
      <c r="M303" s="231">
        <v>2465.8823529411766</v>
      </c>
      <c r="N303" s="231">
        <v>607.05882352941171</v>
      </c>
      <c r="O303" s="231">
        <v>145.88235294117646</v>
      </c>
      <c r="P303" s="231">
        <v>752.94117647058829</v>
      </c>
      <c r="Q303" s="231">
        <v>37.647058823529413</v>
      </c>
      <c r="R303" s="231">
        <v>0</v>
      </c>
      <c r="S303" s="231">
        <v>37.647058823529413</v>
      </c>
      <c r="T303" s="231">
        <v>103.52941176470588</v>
      </c>
      <c r="U303" s="231">
        <v>848.94117647058829</v>
      </c>
      <c r="V303" s="231">
        <v>952.47058823529414</v>
      </c>
      <c r="W303" s="231">
        <v>748.23529411764707</v>
      </c>
      <c r="X303" s="231">
        <v>994.82352941176475</v>
      </c>
      <c r="Y303" s="231">
        <v>1743.0588235294117</v>
      </c>
      <c r="Z303" s="200">
        <v>4208.9411764705883</v>
      </c>
      <c r="AA303" s="231">
        <v>24.847058823529409</v>
      </c>
      <c r="AB303" s="231">
        <v>5.6941176470588237</v>
      </c>
      <c r="AC303" s="231">
        <v>30.54117647058823</v>
      </c>
      <c r="AD303" s="231">
        <v>0</v>
      </c>
      <c r="AE303" s="231">
        <v>0</v>
      </c>
      <c r="AF303" s="231">
        <v>0</v>
      </c>
      <c r="AG303" s="231">
        <v>20.329411764705885</v>
      </c>
      <c r="AH303" s="231">
        <v>4.658823529411765</v>
      </c>
      <c r="AI303" s="231">
        <v>24.988235294117647</v>
      </c>
      <c r="AJ303" s="231">
        <v>0</v>
      </c>
      <c r="AK303" s="231">
        <v>25.411764705882351</v>
      </c>
      <c r="AL303" s="231">
        <v>25.411764705882351</v>
      </c>
      <c r="AM303" s="231">
        <v>20.329411764705885</v>
      </c>
      <c r="AN303" s="231">
        <v>30.070588235294117</v>
      </c>
      <c r="AO303" s="231">
        <v>50.4</v>
      </c>
      <c r="AP303" s="200">
        <v>80.941176470588232</v>
      </c>
      <c r="AQ303" s="141">
        <v>0</v>
      </c>
      <c r="AR303" s="200">
        <v>2496.4235294117648</v>
      </c>
      <c r="AS303" s="200">
        <v>1793.4588235294118</v>
      </c>
      <c r="AT303" s="66">
        <v>4289.8823529411766</v>
      </c>
      <c r="AU303" s="231">
        <v>61.176470588235297</v>
      </c>
      <c r="AV303" s="231">
        <v>38.15465961665565</v>
      </c>
      <c r="AW303" s="75">
        <v>112.94117647058823</v>
      </c>
      <c r="AX303" s="231">
        <v>781.17647058823525</v>
      </c>
      <c r="AY303" s="66">
        <v>993.44877726371442</v>
      </c>
      <c r="AZ303" s="208">
        <v>0</v>
      </c>
      <c r="BA303" s="87">
        <v>197.64705882352942</v>
      </c>
      <c r="BB303" s="87">
        <v>1110.5882352941176</v>
      </c>
      <c r="BC303" s="87">
        <v>210.8235294117647</v>
      </c>
      <c r="BD303" s="87">
        <v>1152.9411764705883</v>
      </c>
      <c r="BE303" s="87">
        <v>1363.7647058823529</v>
      </c>
      <c r="BF303" s="87">
        <v>24.470588235294116</v>
      </c>
      <c r="BG303" s="66">
        <v>1388.2352941176471</v>
      </c>
      <c r="BH303" s="67">
        <v>6671.5664243225383</v>
      </c>
      <c r="BI303" s="67">
        <v>1352302.4367911536</v>
      </c>
    </row>
    <row r="304" spans="1:61" x14ac:dyDescent="0.25">
      <c r="A304" s="142">
        <v>0</v>
      </c>
      <c r="B304" s="85">
        <v>40468</v>
      </c>
      <c r="C304" s="203">
        <v>40468</v>
      </c>
      <c r="D304" s="76">
        <v>39740</v>
      </c>
      <c r="E304" s="77">
        <v>17</v>
      </c>
      <c r="F304" s="78">
        <v>41</v>
      </c>
      <c r="G304" s="79"/>
      <c r="H304" s="80"/>
      <c r="I304" s="212"/>
      <c r="J304" s="212"/>
      <c r="K304" s="235">
        <v>1776</v>
      </c>
      <c r="L304" s="235">
        <v>70.588235294117652</v>
      </c>
      <c r="M304" s="231">
        <v>1846.5882352941176</v>
      </c>
      <c r="N304" s="231">
        <v>164.70588235294119</v>
      </c>
      <c r="O304" s="231">
        <v>127.05882352941177</v>
      </c>
      <c r="P304" s="231">
        <v>291.76470588235293</v>
      </c>
      <c r="Q304" s="231">
        <v>14.117647058823529</v>
      </c>
      <c r="R304" s="231">
        <v>0</v>
      </c>
      <c r="S304" s="231">
        <v>14.117647058823529</v>
      </c>
      <c r="T304" s="231">
        <v>37.647058823529413</v>
      </c>
      <c r="U304" s="231">
        <v>818.82352941176475</v>
      </c>
      <c r="V304" s="231">
        <v>856.47058823529414</v>
      </c>
      <c r="W304" s="231">
        <v>216.47058823529412</v>
      </c>
      <c r="X304" s="231">
        <v>945.88235294117646</v>
      </c>
      <c r="Y304" s="231">
        <v>1162.3529411764705</v>
      </c>
      <c r="Z304" s="200">
        <v>3008.9411764705883</v>
      </c>
      <c r="AA304" s="231">
        <v>20.705882352941178</v>
      </c>
      <c r="AB304" s="231">
        <v>11.388235294117647</v>
      </c>
      <c r="AC304" s="231">
        <v>32.094117647058823</v>
      </c>
      <c r="AD304" s="231">
        <v>0</v>
      </c>
      <c r="AE304" s="231">
        <v>0</v>
      </c>
      <c r="AF304" s="231">
        <v>0</v>
      </c>
      <c r="AG304" s="231">
        <v>16.941176470588236</v>
      </c>
      <c r="AH304" s="231">
        <v>9.3176470588235301</v>
      </c>
      <c r="AI304" s="231">
        <v>26.258823529411764</v>
      </c>
      <c r="AJ304" s="231">
        <v>1.8823529411764706</v>
      </c>
      <c r="AK304" s="231">
        <v>48</v>
      </c>
      <c r="AL304" s="231">
        <v>49.882352941176471</v>
      </c>
      <c r="AM304" s="231">
        <v>18.823529411764707</v>
      </c>
      <c r="AN304" s="231">
        <v>57.317647058823525</v>
      </c>
      <c r="AO304" s="231">
        <v>76.141176470588235</v>
      </c>
      <c r="AP304" s="200">
        <v>108.23529411764706</v>
      </c>
      <c r="AQ304" s="141">
        <v>0</v>
      </c>
      <c r="AR304" s="200">
        <v>1878.6823529411763</v>
      </c>
      <c r="AS304" s="200">
        <v>1238.4941176470588</v>
      </c>
      <c r="AT304" s="66">
        <v>3117.1764705882351</v>
      </c>
      <c r="AU304" s="231">
        <v>0</v>
      </c>
      <c r="AV304" s="231">
        <v>56.470588235294116</v>
      </c>
      <c r="AW304" s="75">
        <v>0</v>
      </c>
      <c r="AX304" s="231">
        <v>178.8235294117647</v>
      </c>
      <c r="AY304" s="66">
        <v>235.29411764705881</v>
      </c>
      <c r="AZ304" s="208">
        <v>0</v>
      </c>
      <c r="BA304" s="87">
        <v>329.41176470588238</v>
      </c>
      <c r="BB304" s="87">
        <v>988.23529411764707</v>
      </c>
      <c r="BC304" s="87">
        <v>342.58823529411762</v>
      </c>
      <c r="BD304" s="87">
        <v>988.23529411764707</v>
      </c>
      <c r="BE304" s="87">
        <v>1330.8235294117646</v>
      </c>
      <c r="BF304" s="87">
        <v>244.70588235294119</v>
      </c>
      <c r="BG304" s="66">
        <v>1575.5294117647059</v>
      </c>
      <c r="BH304" s="67">
        <v>4928</v>
      </c>
      <c r="BI304" s="67">
        <v>1357230.4367911536</v>
      </c>
    </row>
    <row r="305" spans="1:61" x14ac:dyDescent="0.25">
      <c r="A305" s="142">
        <v>0</v>
      </c>
      <c r="B305" s="68">
        <v>40469</v>
      </c>
      <c r="C305" s="198">
        <v>40469</v>
      </c>
      <c r="D305" s="69">
        <v>39741</v>
      </c>
      <c r="E305" s="70">
        <v>18</v>
      </c>
      <c r="F305" s="71">
        <v>42</v>
      </c>
      <c r="G305" s="72"/>
      <c r="H305" s="82"/>
      <c r="I305" s="210"/>
      <c r="J305" s="210"/>
      <c r="K305" s="235">
        <v>145.88235294117646</v>
      </c>
      <c r="L305" s="235">
        <v>14.117647058823529</v>
      </c>
      <c r="M305" s="235">
        <v>160</v>
      </c>
      <c r="N305" s="235">
        <v>40.470588235294116</v>
      </c>
      <c r="O305" s="235">
        <v>10.352941176470589</v>
      </c>
      <c r="P305" s="235">
        <v>50.823529411764703</v>
      </c>
      <c r="Q305" s="235">
        <v>3.7647058823529411</v>
      </c>
      <c r="R305" s="235">
        <v>0</v>
      </c>
      <c r="S305" s="235">
        <v>3.7647058823529411</v>
      </c>
      <c r="T305" s="235">
        <v>1.8823529411764706</v>
      </c>
      <c r="U305" s="235">
        <v>131.76470588235293</v>
      </c>
      <c r="V305" s="235">
        <v>133.64705882352942</v>
      </c>
      <c r="W305" s="235">
        <v>46.117647058823529</v>
      </c>
      <c r="X305" s="235">
        <v>142.11764705882354</v>
      </c>
      <c r="Y305" s="235">
        <v>188.23529411764707</v>
      </c>
      <c r="Z305" s="200">
        <v>348.23529411764707</v>
      </c>
      <c r="AA305" s="235">
        <v>33.647058823529413</v>
      </c>
      <c r="AB305" s="235">
        <v>24.847058823529409</v>
      </c>
      <c r="AC305" s="235">
        <v>58.494117647058822</v>
      </c>
      <c r="AD305" s="235">
        <v>0</v>
      </c>
      <c r="AE305" s="235">
        <v>0</v>
      </c>
      <c r="AF305" s="235">
        <v>0</v>
      </c>
      <c r="AG305" s="235">
        <v>27.529411764705884</v>
      </c>
      <c r="AH305" s="235">
        <v>20.329411764705885</v>
      </c>
      <c r="AI305" s="235">
        <v>47.858823529411765</v>
      </c>
      <c r="AJ305" s="235">
        <v>7.5294117647058822</v>
      </c>
      <c r="AK305" s="235">
        <v>96</v>
      </c>
      <c r="AL305" s="235">
        <v>103.52941176470588</v>
      </c>
      <c r="AM305" s="235">
        <v>35.058823529411768</v>
      </c>
      <c r="AN305" s="235">
        <v>116.32941176470588</v>
      </c>
      <c r="AO305" s="235">
        <v>151.38823529411764</v>
      </c>
      <c r="AP305" s="200">
        <v>209.88235294117646</v>
      </c>
      <c r="AQ305" s="141">
        <v>0</v>
      </c>
      <c r="AR305" s="200">
        <v>218.49411764705883</v>
      </c>
      <c r="AS305" s="200">
        <v>339.62352941176471</v>
      </c>
      <c r="AT305" s="66">
        <v>558.11764705882354</v>
      </c>
      <c r="AU305" s="235">
        <v>0</v>
      </c>
      <c r="AV305" s="235">
        <v>5.5836087243886325</v>
      </c>
      <c r="AW305" s="75">
        <v>0</v>
      </c>
      <c r="AX305" s="235">
        <v>32.941176470588232</v>
      </c>
      <c r="AY305" s="66">
        <v>38.524785194976864</v>
      </c>
      <c r="AZ305" s="202">
        <v>0</v>
      </c>
      <c r="BA305" s="87">
        <v>75.294117647058826</v>
      </c>
      <c r="BB305" s="87">
        <v>51.764705882352942</v>
      </c>
      <c r="BC305" s="87">
        <v>75.294117647058826</v>
      </c>
      <c r="BD305" s="87">
        <v>51.764705882352942</v>
      </c>
      <c r="BE305" s="87">
        <v>127.05882352941177</v>
      </c>
      <c r="BF305" s="87">
        <v>242.8235294117647</v>
      </c>
      <c r="BG305" s="66">
        <v>369.88235294117646</v>
      </c>
      <c r="BH305" s="67">
        <v>966.52478519497686</v>
      </c>
      <c r="BI305" s="67">
        <v>1358196.9615763486</v>
      </c>
    </row>
    <row r="306" spans="1:61" x14ac:dyDescent="0.25">
      <c r="A306" s="142">
        <v>0</v>
      </c>
      <c r="B306" s="68">
        <v>40470</v>
      </c>
      <c r="C306" s="198">
        <v>40470</v>
      </c>
      <c r="D306" s="69">
        <v>39742</v>
      </c>
      <c r="E306" s="70">
        <v>19</v>
      </c>
      <c r="F306" s="71">
        <v>42</v>
      </c>
      <c r="G306" s="72"/>
      <c r="H306" s="82" t="s">
        <v>47</v>
      </c>
      <c r="I306" s="210"/>
      <c r="J306" s="210"/>
      <c r="K306" s="235">
        <v>146.8235294117647</v>
      </c>
      <c r="L306" s="235">
        <v>10.352941176470589</v>
      </c>
      <c r="M306" s="235">
        <v>157.17647058823528</v>
      </c>
      <c r="N306" s="235">
        <v>29.176470588235293</v>
      </c>
      <c r="O306" s="235">
        <v>18.823529411764707</v>
      </c>
      <c r="P306" s="235">
        <v>48</v>
      </c>
      <c r="Q306" s="235">
        <v>5.6470588235294121</v>
      </c>
      <c r="R306" s="235">
        <v>0</v>
      </c>
      <c r="S306" s="235">
        <v>5.6470588235294121</v>
      </c>
      <c r="T306" s="235">
        <v>15.058823529411764</v>
      </c>
      <c r="U306" s="235">
        <v>173.1764705882353</v>
      </c>
      <c r="V306" s="235">
        <v>188.23529411764707</v>
      </c>
      <c r="W306" s="235">
        <v>49.882352941176471</v>
      </c>
      <c r="X306" s="235">
        <v>192</v>
      </c>
      <c r="Y306" s="235">
        <v>241.88235294117646</v>
      </c>
      <c r="Z306" s="200">
        <v>399.05882352941177</v>
      </c>
      <c r="AA306" s="235">
        <v>38.823529411764703</v>
      </c>
      <c r="AB306" s="235">
        <v>23.294117647058822</v>
      </c>
      <c r="AC306" s="235">
        <v>62.117647058823529</v>
      </c>
      <c r="AD306" s="235">
        <v>2.8235294117647061</v>
      </c>
      <c r="AE306" s="235">
        <v>0</v>
      </c>
      <c r="AF306" s="235">
        <v>2.8235294117647061</v>
      </c>
      <c r="AG306" s="235">
        <v>31.764705882352942</v>
      </c>
      <c r="AH306" s="235">
        <v>19.058823529411764</v>
      </c>
      <c r="AI306" s="235">
        <v>50.823529411764703</v>
      </c>
      <c r="AJ306" s="235">
        <v>11.294117647058824</v>
      </c>
      <c r="AK306" s="235">
        <v>127.05882352941177</v>
      </c>
      <c r="AL306" s="235">
        <v>138.35294117647058</v>
      </c>
      <c r="AM306" s="235">
        <v>45.882352941176471</v>
      </c>
      <c r="AN306" s="235">
        <v>146.11764705882354</v>
      </c>
      <c r="AO306" s="235">
        <v>192</v>
      </c>
      <c r="AP306" s="200">
        <v>254.11764705882354</v>
      </c>
      <c r="AQ306" s="141">
        <v>0</v>
      </c>
      <c r="AR306" s="200">
        <v>219.29411764705881</v>
      </c>
      <c r="AS306" s="200">
        <v>433.88235294117646</v>
      </c>
      <c r="AT306" s="66">
        <v>653.17647058823525</v>
      </c>
      <c r="AU306" s="235">
        <v>0</v>
      </c>
      <c r="AV306" s="235">
        <v>9.3060145406477197</v>
      </c>
      <c r="AW306" s="75">
        <v>0</v>
      </c>
      <c r="AX306" s="235">
        <v>169.41176470588235</v>
      </c>
      <c r="AY306" s="66">
        <v>178.71777924653006</v>
      </c>
      <c r="AZ306" s="202">
        <v>0</v>
      </c>
      <c r="BA306" s="87">
        <v>0</v>
      </c>
      <c r="BB306" s="87">
        <v>51.764705882352942</v>
      </c>
      <c r="BC306" s="87">
        <v>0</v>
      </c>
      <c r="BD306" s="87">
        <v>75.294117647058826</v>
      </c>
      <c r="BE306" s="87">
        <v>75.294117647058826</v>
      </c>
      <c r="BF306" s="87">
        <v>112.94117647058823</v>
      </c>
      <c r="BG306" s="66">
        <v>188.23529411764707</v>
      </c>
      <c r="BH306" s="67">
        <v>1020.1295439524124</v>
      </c>
      <c r="BI306" s="67">
        <v>1359217.091120301</v>
      </c>
    </row>
    <row r="307" spans="1:61" x14ac:dyDescent="0.25">
      <c r="A307" s="142">
        <v>0</v>
      </c>
      <c r="B307" s="68">
        <v>40471</v>
      </c>
      <c r="C307" s="198">
        <v>40471</v>
      </c>
      <c r="D307" s="69">
        <v>39743</v>
      </c>
      <c r="E307" s="70">
        <v>20</v>
      </c>
      <c r="F307" s="71">
        <v>42</v>
      </c>
      <c r="G307" s="72"/>
      <c r="H307" s="82" t="s">
        <v>47</v>
      </c>
      <c r="I307" s="210"/>
      <c r="J307" s="210"/>
      <c r="K307" s="235">
        <v>98.82352941176471</v>
      </c>
      <c r="L307" s="235">
        <v>10.352941176470589</v>
      </c>
      <c r="M307" s="235">
        <v>109.1764705882353</v>
      </c>
      <c r="N307" s="235">
        <v>25.411764705882351</v>
      </c>
      <c r="O307" s="235">
        <v>15.058823529411764</v>
      </c>
      <c r="P307" s="235">
        <v>40.470588235294116</v>
      </c>
      <c r="Q307" s="235">
        <v>0</v>
      </c>
      <c r="R307" s="235">
        <v>0</v>
      </c>
      <c r="S307" s="235">
        <v>0</v>
      </c>
      <c r="T307" s="235">
        <v>7.5294117647058822</v>
      </c>
      <c r="U307" s="235">
        <v>154.35294117647058</v>
      </c>
      <c r="V307" s="235">
        <v>161.88235294117646</v>
      </c>
      <c r="W307" s="235">
        <v>32.941176470588232</v>
      </c>
      <c r="X307" s="235">
        <v>169.41176470588235</v>
      </c>
      <c r="Y307" s="235">
        <v>202.35294117647058</v>
      </c>
      <c r="Z307" s="200">
        <v>311.52941176470586</v>
      </c>
      <c r="AA307" s="235">
        <v>26.91764705882353</v>
      </c>
      <c r="AB307" s="235">
        <v>10.352941176470589</v>
      </c>
      <c r="AC307" s="235">
        <v>37.27058823529412</v>
      </c>
      <c r="AD307" s="235">
        <v>0</v>
      </c>
      <c r="AE307" s="235">
        <v>0</v>
      </c>
      <c r="AF307" s="235">
        <v>0</v>
      </c>
      <c r="AG307" s="235">
        <v>22.023529411764706</v>
      </c>
      <c r="AH307" s="235">
        <v>8.4705882352941178</v>
      </c>
      <c r="AI307" s="235">
        <v>30.494117647058822</v>
      </c>
      <c r="AJ307" s="235">
        <v>2.8235294117647061</v>
      </c>
      <c r="AK307" s="235">
        <v>73.411764705882348</v>
      </c>
      <c r="AL307" s="235">
        <v>76.235294117647058</v>
      </c>
      <c r="AM307" s="235">
        <v>24.847058823529409</v>
      </c>
      <c r="AN307" s="235">
        <v>81.882352941176464</v>
      </c>
      <c r="AO307" s="235">
        <v>106.72941176470589</v>
      </c>
      <c r="AP307" s="200">
        <v>144</v>
      </c>
      <c r="AQ307" s="141">
        <v>0</v>
      </c>
      <c r="AR307" s="200">
        <v>146.44705882352943</v>
      </c>
      <c r="AS307" s="200">
        <v>309.08235294117645</v>
      </c>
      <c r="AT307" s="66">
        <v>455.52941176470586</v>
      </c>
      <c r="AU307" s="235">
        <v>0</v>
      </c>
      <c r="AV307" s="235">
        <v>9.3060145406477197</v>
      </c>
      <c r="AW307" s="75">
        <v>32.941176470588232</v>
      </c>
      <c r="AX307" s="235">
        <v>32.941176470588232</v>
      </c>
      <c r="AY307" s="66">
        <v>75.188367481824187</v>
      </c>
      <c r="AZ307" s="202">
        <v>0</v>
      </c>
      <c r="BA307" s="87">
        <v>18.823529411764707</v>
      </c>
      <c r="BB307" s="87">
        <v>0</v>
      </c>
      <c r="BC307" s="87">
        <v>18.823529411764707</v>
      </c>
      <c r="BD307" s="87">
        <v>23.529411764705884</v>
      </c>
      <c r="BE307" s="87">
        <v>42.352941176470587</v>
      </c>
      <c r="BF307" s="87">
        <v>230.58823529411765</v>
      </c>
      <c r="BG307" s="66">
        <v>272.94117647058823</v>
      </c>
      <c r="BH307" s="67">
        <v>803.65895571711826</v>
      </c>
      <c r="BI307" s="67">
        <v>1360020.7500760183</v>
      </c>
    </row>
    <row r="308" spans="1:61" x14ac:dyDescent="0.25">
      <c r="A308" s="142">
        <v>0</v>
      </c>
      <c r="B308" s="68">
        <v>40472</v>
      </c>
      <c r="C308" s="198">
        <v>40472</v>
      </c>
      <c r="D308" s="69">
        <v>39744</v>
      </c>
      <c r="E308" s="70">
        <v>21</v>
      </c>
      <c r="F308" s="71">
        <v>42</v>
      </c>
      <c r="G308" s="72"/>
      <c r="H308" s="82" t="s">
        <v>47</v>
      </c>
      <c r="I308" s="210"/>
      <c r="J308" s="210"/>
      <c r="K308" s="235">
        <v>140.23529411764707</v>
      </c>
      <c r="L308" s="235">
        <v>9.4117647058823533</v>
      </c>
      <c r="M308" s="235">
        <v>149.64705882352942</v>
      </c>
      <c r="N308" s="235">
        <v>21.647058823529413</v>
      </c>
      <c r="O308" s="235">
        <v>20.705882352941178</v>
      </c>
      <c r="P308" s="235">
        <v>42.352941176470587</v>
      </c>
      <c r="Q308" s="235">
        <v>0</v>
      </c>
      <c r="R308" s="235">
        <v>0</v>
      </c>
      <c r="S308" s="235">
        <v>0</v>
      </c>
      <c r="T308" s="235">
        <v>8.4705882352941178</v>
      </c>
      <c r="U308" s="235">
        <v>142.11764705882354</v>
      </c>
      <c r="V308" s="235">
        <v>150.58823529411765</v>
      </c>
      <c r="W308" s="235">
        <v>30.117647058823529</v>
      </c>
      <c r="X308" s="235">
        <v>162.8235294117647</v>
      </c>
      <c r="Y308" s="235">
        <v>192.94117647058823</v>
      </c>
      <c r="Z308" s="200">
        <v>342.58823529411762</v>
      </c>
      <c r="AA308" s="235">
        <v>36.235294117647058</v>
      </c>
      <c r="AB308" s="235">
        <v>8.8000000000000007</v>
      </c>
      <c r="AC308" s="235">
        <v>45.035294117647062</v>
      </c>
      <c r="AD308" s="235">
        <v>0</v>
      </c>
      <c r="AE308" s="235">
        <v>0</v>
      </c>
      <c r="AF308" s="235">
        <v>0</v>
      </c>
      <c r="AG308" s="235">
        <v>29.647058823529413</v>
      </c>
      <c r="AH308" s="235">
        <v>7.2</v>
      </c>
      <c r="AI308" s="235">
        <v>36.847058823529409</v>
      </c>
      <c r="AJ308" s="235">
        <v>9.4117647058823533</v>
      </c>
      <c r="AK308" s="235">
        <v>42.352941176470587</v>
      </c>
      <c r="AL308" s="235">
        <v>51.764705882352942</v>
      </c>
      <c r="AM308" s="235">
        <v>39.058823529411768</v>
      </c>
      <c r="AN308" s="235">
        <v>49.55294117647059</v>
      </c>
      <c r="AO308" s="235">
        <v>88.611764705882365</v>
      </c>
      <c r="AP308" s="200">
        <v>133.64705882352942</v>
      </c>
      <c r="AQ308" s="141">
        <v>0</v>
      </c>
      <c r="AR308" s="200">
        <v>194.68235294117648</v>
      </c>
      <c r="AS308" s="200">
        <v>281.5529411764706</v>
      </c>
      <c r="AT308" s="66">
        <v>476.23529411764707</v>
      </c>
      <c r="AU308" s="235">
        <v>0</v>
      </c>
      <c r="AV308" s="235">
        <v>9.4117647058823533</v>
      </c>
      <c r="AW308" s="75">
        <v>235.29411764705881</v>
      </c>
      <c r="AX308" s="235">
        <v>56.470588235294116</v>
      </c>
      <c r="AY308" s="66">
        <v>301.17647058823525</v>
      </c>
      <c r="AZ308" s="202">
        <v>0</v>
      </c>
      <c r="BA308" s="87">
        <v>61.176470588235297</v>
      </c>
      <c r="BB308" s="87">
        <v>9.4117647058823533</v>
      </c>
      <c r="BC308" s="87">
        <v>61.176470588235297</v>
      </c>
      <c r="BD308" s="87">
        <v>9.4117647058823533</v>
      </c>
      <c r="BE308" s="87">
        <v>70.588235294117652</v>
      </c>
      <c r="BF308" s="87">
        <v>310.58823529411762</v>
      </c>
      <c r="BG308" s="66">
        <v>381.17647058823525</v>
      </c>
      <c r="BH308" s="67">
        <v>1158.5882352941176</v>
      </c>
      <c r="BI308" s="67">
        <v>1361179.3383113125</v>
      </c>
    </row>
    <row r="309" spans="1:61" x14ac:dyDescent="0.25">
      <c r="A309" s="142">
        <v>0</v>
      </c>
      <c r="B309" s="68">
        <v>40473</v>
      </c>
      <c r="C309" s="198">
        <v>40473</v>
      </c>
      <c r="D309" s="69">
        <v>39745</v>
      </c>
      <c r="E309" s="70">
        <v>22</v>
      </c>
      <c r="F309" s="71">
        <v>42</v>
      </c>
      <c r="G309" s="72"/>
      <c r="H309" s="82"/>
      <c r="I309" s="210"/>
      <c r="J309" s="210"/>
      <c r="K309" s="235">
        <v>160</v>
      </c>
      <c r="L309" s="235">
        <v>16.941176470588236</v>
      </c>
      <c r="M309" s="235">
        <v>176.94117647058823</v>
      </c>
      <c r="N309" s="235">
        <v>34.823529411764703</v>
      </c>
      <c r="O309" s="235">
        <v>23.529411764705884</v>
      </c>
      <c r="P309" s="235">
        <v>58.352941176470587</v>
      </c>
      <c r="Q309" s="235">
        <v>5.6470588235294121</v>
      </c>
      <c r="R309" s="235">
        <v>0</v>
      </c>
      <c r="S309" s="235">
        <v>5.6470588235294121</v>
      </c>
      <c r="T309" s="235">
        <v>6.5882352941176467</v>
      </c>
      <c r="U309" s="235">
        <v>134.58823529411765</v>
      </c>
      <c r="V309" s="235">
        <v>141.1764705882353</v>
      </c>
      <c r="W309" s="235">
        <v>47.058823529411768</v>
      </c>
      <c r="X309" s="235">
        <v>158.11764705882354</v>
      </c>
      <c r="Y309" s="235">
        <v>205.1764705882353</v>
      </c>
      <c r="Z309" s="200">
        <v>382.11764705882354</v>
      </c>
      <c r="AA309" s="235">
        <v>31.058823529411764</v>
      </c>
      <c r="AB309" s="235">
        <v>5.1764705882352944</v>
      </c>
      <c r="AC309" s="235">
        <v>36.235294117647058</v>
      </c>
      <c r="AD309" s="235">
        <v>0</v>
      </c>
      <c r="AE309" s="235">
        <v>0</v>
      </c>
      <c r="AF309" s="235">
        <v>0</v>
      </c>
      <c r="AG309" s="235">
        <v>25.411764705882351</v>
      </c>
      <c r="AH309" s="235">
        <v>4.2352941176470589</v>
      </c>
      <c r="AI309" s="235">
        <v>29.647058823529413</v>
      </c>
      <c r="AJ309" s="235">
        <v>8.4705882352941178</v>
      </c>
      <c r="AK309" s="235">
        <v>39.529411764705884</v>
      </c>
      <c r="AL309" s="235">
        <v>48</v>
      </c>
      <c r="AM309" s="235">
        <v>33.882352941176471</v>
      </c>
      <c r="AN309" s="235">
        <v>43.764705882352942</v>
      </c>
      <c r="AO309" s="235">
        <v>77.647058823529406</v>
      </c>
      <c r="AP309" s="200">
        <v>113.88235294117646</v>
      </c>
      <c r="AQ309" s="141">
        <v>0</v>
      </c>
      <c r="AR309" s="200">
        <v>213.1764705882353</v>
      </c>
      <c r="AS309" s="200">
        <v>282.8235294117647</v>
      </c>
      <c r="AT309" s="66">
        <v>496</v>
      </c>
      <c r="AU309" s="235">
        <v>0</v>
      </c>
      <c r="AV309" s="235">
        <v>9.4117647058823533</v>
      </c>
      <c r="AW309" s="75">
        <v>0</v>
      </c>
      <c r="AX309" s="235">
        <v>47.058823529411768</v>
      </c>
      <c r="AY309" s="66">
        <v>56.470588235294123</v>
      </c>
      <c r="AZ309" s="202">
        <v>0</v>
      </c>
      <c r="BA309" s="87">
        <v>0</v>
      </c>
      <c r="BB309" s="87">
        <v>14.117647058823529</v>
      </c>
      <c r="BC309" s="87">
        <v>0</v>
      </c>
      <c r="BD309" s="87">
        <v>14.117647058823529</v>
      </c>
      <c r="BE309" s="87">
        <v>14.117647058823529</v>
      </c>
      <c r="BF309" s="87">
        <v>225.88235294117646</v>
      </c>
      <c r="BG309" s="66">
        <v>240</v>
      </c>
      <c r="BH309" s="67">
        <v>792.47058823529414</v>
      </c>
      <c r="BI309" s="67">
        <v>1361971.8088995477</v>
      </c>
    </row>
    <row r="310" spans="1:61" x14ac:dyDescent="0.25">
      <c r="A310" s="142">
        <v>0</v>
      </c>
      <c r="B310" s="85">
        <v>40474</v>
      </c>
      <c r="C310" s="203">
        <v>40474</v>
      </c>
      <c r="D310" s="76">
        <v>39746</v>
      </c>
      <c r="E310" s="77">
        <v>23</v>
      </c>
      <c r="F310" s="78">
        <v>42</v>
      </c>
      <c r="G310" s="79"/>
      <c r="H310" s="80" t="s">
        <v>54</v>
      </c>
      <c r="I310" s="212"/>
      <c r="J310" s="212"/>
      <c r="K310" s="231">
        <v>1477.6470588235295</v>
      </c>
      <c r="L310" s="231">
        <v>169.41176470588235</v>
      </c>
      <c r="M310" s="231">
        <v>1647.0588235294119</v>
      </c>
      <c r="N310" s="231">
        <v>710.58823529411768</v>
      </c>
      <c r="O310" s="231">
        <v>301.1764705882353</v>
      </c>
      <c r="P310" s="231">
        <v>1011.7647058823529</v>
      </c>
      <c r="Q310" s="231">
        <v>47.058823529411768</v>
      </c>
      <c r="R310" s="231">
        <v>0</v>
      </c>
      <c r="S310" s="231">
        <v>47.058823529411768</v>
      </c>
      <c r="T310" s="231">
        <v>164.70588235294119</v>
      </c>
      <c r="U310" s="231">
        <v>716.23529411764707</v>
      </c>
      <c r="V310" s="231">
        <v>880.94117647058829</v>
      </c>
      <c r="W310" s="231">
        <v>922.35294117647061</v>
      </c>
      <c r="X310" s="231">
        <v>1017.4117647058823</v>
      </c>
      <c r="Y310" s="231">
        <v>1939.7647058823529</v>
      </c>
      <c r="Z310" s="200">
        <v>3586.8235294117649</v>
      </c>
      <c r="AA310" s="231">
        <v>15.529411764705882</v>
      </c>
      <c r="AB310" s="231">
        <v>10.870588235294118</v>
      </c>
      <c r="AC310" s="231">
        <v>26.4</v>
      </c>
      <c r="AD310" s="231">
        <v>0</v>
      </c>
      <c r="AE310" s="231">
        <v>0</v>
      </c>
      <c r="AF310" s="231">
        <v>0</v>
      </c>
      <c r="AG310" s="231">
        <v>12.705882352941176</v>
      </c>
      <c r="AH310" s="231">
        <v>8.8941176470588221</v>
      </c>
      <c r="AI310" s="231">
        <v>21.6</v>
      </c>
      <c r="AJ310" s="231">
        <v>9.4117647058823533</v>
      </c>
      <c r="AK310" s="231">
        <v>36.705882352941174</v>
      </c>
      <c r="AL310" s="231">
        <v>46.117647058823529</v>
      </c>
      <c r="AM310" s="231">
        <v>22.117647058823529</v>
      </c>
      <c r="AN310" s="231">
        <v>45.6</v>
      </c>
      <c r="AO310" s="231">
        <v>67.71764705882353</v>
      </c>
      <c r="AP310" s="200">
        <v>94.117647058823536</v>
      </c>
      <c r="AQ310" s="141">
        <v>0</v>
      </c>
      <c r="AR310" s="200">
        <v>1673.458823529412</v>
      </c>
      <c r="AS310" s="200">
        <v>2007.4823529411765</v>
      </c>
      <c r="AT310" s="66">
        <v>3680.9411764705883</v>
      </c>
      <c r="AU310" s="231">
        <v>94.117647058823536</v>
      </c>
      <c r="AV310" s="231">
        <v>64.941176470588232</v>
      </c>
      <c r="AW310" s="75">
        <v>0</v>
      </c>
      <c r="AX310" s="231">
        <v>329.41176470588238</v>
      </c>
      <c r="AY310" s="66">
        <v>488.47058823529414</v>
      </c>
      <c r="AZ310" s="208">
        <v>0</v>
      </c>
      <c r="BA310" s="87">
        <v>470.58823529411762</v>
      </c>
      <c r="BB310" s="87">
        <v>705.88235294117646</v>
      </c>
      <c r="BC310" s="87">
        <v>480</v>
      </c>
      <c r="BD310" s="87">
        <v>737.88235294117646</v>
      </c>
      <c r="BE310" s="87">
        <v>1217.8823529411766</v>
      </c>
      <c r="BF310" s="87">
        <v>564.70588235294122</v>
      </c>
      <c r="BG310" s="66">
        <v>1782.5882352941178</v>
      </c>
      <c r="BH310" s="67">
        <v>5952</v>
      </c>
      <c r="BI310" s="67">
        <v>1367923.8088995477</v>
      </c>
    </row>
    <row r="311" spans="1:61" x14ac:dyDescent="0.25">
      <c r="A311" s="142">
        <v>0</v>
      </c>
      <c r="B311" s="85">
        <v>40475</v>
      </c>
      <c r="C311" s="203">
        <v>40475</v>
      </c>
      <c r="D311" s="76">
        <v>39747</v>
      </c>
      <c r="E311" s="77">
        <v>24</v>
      </c>
      <c r="F311" s="78">
        <v>42</v>
      </c>
      <c r="G311" s="79"/>
      <c r="H311" s="80" t="s">
        <v>54</v>
      </c>
      <c r="I311" s="212"/>
      <c r="J311" s="212"/>
      <c r="K311" s="231">
        <v>1392.9411764705883</v>
      </c>
      <c r="L311" s="231">
        <v>150.58823529411765</v>
      </c>
      <c r="M311" s="231">
        <v>1543.5294117647059</v>
      </c>
      <c r="N311" s="231">
        <v>814.11764705882354</v>
      </c>
      <c r="O311" s="231">
        <v>395.29411764705884</v>
      </c>
      <c r="P311" s="231">
        <v>1209.4117647058824</v>
      </c>
      <c r="Q311" s="231">
        <v>42.352941176470587</v>
      </c>
      <c r="R311" s="231">
        <v>0</v>
      </c>
      <c r="S311" s="231">
        <v>42.352941176470587</v>
      </c>
      <c r="T311" s="231">
        <v>229.64705882352942</v>
      </c>
      <c r="U311" s="231">
        <v>1370.3529411764705</v>
      </c>
      <c r="V311" s="231">
        <v>1600</v>
      </c>
      <c r="W311" s="231">
        <v>1086.1176470588234</v>
      </c>
      <c r="X311" s="231">
        <v>1765.6470588235295</v>
      </c>
      <c r="Y311" s="231">
        <v>2851.7647058823532</v>
      </c>
      <c r="Z311" s="200">
        <v>4395.2941176470586</v>
      </c>
      <c r="AA311" s="231">
        <v>27.435294117647057</v>
      </c>
      <c r="AB311" s="231">
        <v>24.329411764705885</v>
      </c>
      <c r="AC311" s="231">
        <v>51.764705882352942</v>
      </c>
      <c r="AD311" s="231">
        <v>0</v>
      </c>
      <c r="AE311" s="231">
        <v>0</v>
      </c>
      <c r="AF311" s="231">
        <v>0</v>
      </c>
      <c r="AG311" s="231">
        <v>22.447058823529414</v>
      </c>
      <c r="AH311" s="231">
        <v>19.905882352941177</v>
      </c>
      <c r="AI311" s="231">
        <v>42.352941176470587</v>
      </c>
      <c r="AJ311" s="231">
        <v>17.882352941176471</v>
      </c>
      <c r="AK311" s="231">
        <v>42.352941176470587</v>
      </c>
      <c r="AL311" s="231">
        <v>60.235294117647058</v>
      </c>
      <c r="AM311" s="231">
        <v>40.329411764705881</v>
      </c>
      <c r="AN311" s="231">
        <v>62.258823529411771</v>
      </c>
      <c r="AO311" s="231">
        <v>102.58823529411765</v>
      </c>
      <c r="AP311" s="200">
        <v>154.35294117647058</v>
      </c>
      <c r="AQ311" s="141">
        <v>0</v>
      </c>
      <c r="AR311" s="200">
        <v>1595.2941176470588</v>
      </c>
      <c r="AS311" s="200">
        <v>2954.3529411764707</v>
      </c>
      <c r="AT311" s="66">
        <v>4549.6470588235297</v>
      </c>
      <c r="AU311" s="231">
        <v>94.117647058823536</v>
      </c>
      <c r="AV311" s="231">
        <v>80</v>
      </c>
      <c r="AW311" s="75">
        <v>94.117647058823536</v>
      </c>
      <c r="AX311" s="231">
        <v>329.41176470588238</v>
      </c>
      <c r="AY311" s="66">
        <v>597.64705882352951</v>
      </c>
      <c r="AZ311" s="208">
        <v>0</v>
      </c>
      <c r="BA311" s="87">
        <v>28.235294117647058</v>
      </c>
      <c r="BB311" s="87">
        <v>894.11764705882354</v>
      </c>
      <c r="BC311" s="87">
        <v>28.235294117647058</v>
      </c>
      <c r="BD311" s="87">
        <v>917.64705882352939</v>
      </c>
      <c r="BE311" s="87">
        <v>945.88235294117646</v>
      </c>
      <c r="BF311" s="87">
        <v>283.29411764705884</v>
      </c>
      <c r="BG311" s="66">
        <v>1229.1764705882354</v>
      </c>
      <c r="BH311" s="67">
        <v>6376.4705882352946</v>
      </c>
      <c r="BI311" s="67">
        <v>1374300.2794877829</v>
      </c>
    </row>
    <row r="312" spans="1:61" x14ac:dyDescent="0.25">
      <c r="A312" s="142">
        <v>0</v>
      </c>
      <c r="B312" s="68">
        <v>40476</v>
      </c>
      <c r="C312" s="198">
        <v>40476</v>
      </c>
      <c r="D312" s="69">
        <v>39748</v>
      </c>
      <c r="E312" s="70">
        <v>25</v>
      </c>
      <c r="F312" s="71">
        <v>43</v>
      </c>
      <c r="G312" s="72"/>
      <c r="H312" s="82" t="s">
        <v>54</v>
      </c>
      <c r="I312" s="210"/>
      <c r="J312" s="210"/>
      <c r="K312" s="235">
        <v>1538.8235294117646</v>
      </c>
      <c r="L312" s="235">
        <v>249.41176470588235</v>
      </c>
      <c r="M312" s="235">
        <v>1788.2352941176471</v>
      </c>
      <c r="N312" s="235">
        <v>827.29411764705878</v>
      </c>
      <c r="O312" s="235">
        <v>464.94117647058823</v>
      </c>
      <c r="P312" s="235">
        <v>1292.2352941176471</v>
      </c>
      <c r="Q312" s="235">
        <v>75.294117647058826</v>
      </c>
      <c r="R312" s="235">
        <v>0</v>
      </c>
      <c r="S312" s="235">
        <v>75.294117647058826</v>
      </c>
      <c r="T312" s="235">
        <v>217.41176470588235</v>
      </c>
      <c r="U312" s="235">
        <v>2281.4117647058824</v>
      </c>
      <c r="V312" s="235">
        <v>2498.8235294117649</v>
      </c>
      <c r="W312" s="235">
        <v>1120</v>
      </c>
      <c r="X312" s="235">
        <v>2746.3529411764707</v>
      </c>
      <c r="Y312" s="235">
        <v>3866.3529411764707</v>
      </c>
      <c r="Z312" s="200">
        <v>5654.588235294118</v>
      </c>
      <c r="AA312" s="235">
        <v>62.117647058823529</v>
      </c>
      <c r="AB312" s="235">
        <v>27.952941176470588</v>
      </c>
      <c r="AC312" s="235">
        <v>90.070588235294125</v>
      </c>
      <c r="AD312" s="235">
        <v>6.5882352941176467</v>
      </c>
      <c r="AE312" s="235">
        <v>0</v>
      </c>
      <c r="AF312" s="235">
        <v>6.5882352941176467</v>
      </c>
      <c r="AG312" s="235">
        <v>50.823529411764703</v>
      </c>
      <c r="AH312" s="235">
        <v>22.870588235294118</v>
      </c>
      <c r="AI312" s="235">
        <v>73.694117647058818</v>
      </c>
      <c r="AJ312" s="235">
        <v>6.5882352941176467</v>
      </c>
      <c r="AK312" s="235">
        <v>68.705882352941174</v>
      </c>
      <c r="AL312" s="235">
        <v>75.294117647058826</v>
      </c>
      <c r="AM312" s="235">
        <v>64</v>
      </c>
      <c r="AN312" s="235">
        <v>91.576470588235296</v>
      </c>
      <c r="AO312" s="235">
        <v>155.57647058823531</v>
      </c>
      <c r="AP312" s="200">
        <v>245.64705882352942</v>
      </c>
      <c r="AQ312" s="141">
        <v>0</v>
      </c>
      <c r="AR312" s="200">
        <v>1878.3058823529411</v>
      </c>
      <c r="AS312" s="200">
        <v>4021.9294117647059</v>
      </c>
      <c r="AT312" s="66">
        <v>5900.2352941176468</v>
      </c>
      <c r="AU312" s="235">
        <v>117.64705882352941</v>
      </c>
      <c r="AV312" s="235">
        <v>70.588235294117652</v>
      </c>
      <c r="AW312" s="75">
        <v>0</v>
      </c>
      <c r="AX312" s="235">
        <v>329.41176470588238</v>
      </c>
      <c r="AY312" s="66">
        <v>517.64705882352951</v>
      </c>
      <c r="AZ312" s="202">
        <v>0</v>
      </c>
      <c r="BA312" s="87">
        <v>75.294117647058826</v>
      </c>
      <c r="BB312" s="87">
        <v>329.41176470588238</v>
      </c>
      <c r="BC312" s="87">
        <v>75.294117647058826</v>
      </c>
      <c r="BD312" s="87">
        <v>329.41176470588238</v>
      </c>
      <c r="BE312" s="87">
        <v>404.70588235294116</v>
      </c>
      <c r="BF312" s="87">
        <v>330.35294117647061</v>
      </c>
      <c r="BG312" s="66">
        <v>735.05882352941171</v>
      </c>
      <c r="BH312" s="67">
        <v>7152.9411764705883</v>
      </c>
      <c r="BI312" s="67">
        <v>1381453.2206642535</v>
      </c>
    </row>
    <row r="313" spans="1:61" x14ac:dyDescent="0.25">
      <c r="A313" s="142">
        <v>0</v>
      </c>
      <c r="B313" s="68">
        <v>40477</v>
      </c>
      <c r="C313" s="198">
        <v>40477</v>
      </c>
      <c r="D313" s="69">
        <v>39749</v>
      </c>
      <c r="E313" s="70">
        <v>26</v>
      </c>
      <c r="F313" s="71">
        <v>43</v>
      </c>
      <c r="G313" s="72"/>
      <c r="H313" s="82" t="s">
        <v>54</v>
      </c>
      <c r="I313" s="210"/>
      <c r="J313" s="210"/>
      <c r="K313" s="235">
        <v>1524.7058823529412</v>
      </c>
      <c r="L313" s="235">
        <v>437.64705882352939</v>
      </c>
      <c r="M313" s="235">
        <v>1962.3529411764707</v>
      </c>
      <c r="N313" s="235">
        <v>978.82352941176475</v>
      </c>
      <c r="O313" s="235">
        <v>623.05882352941171</v>
      </c>
      <c r="P313" s="235">
        <v>1601.8823529411766</v>
      </c>
      <c r="Q313" s="235">
        <v>94.117647058823536</v>
      </c>
      <c r="R313" s="235">
        <v>0</v>
      </c>
      <c r="S313" s="235">
        <v>94.117647058823536</v>
      </c>
      <c r="T313" s="235">
        <v>221.1764705882353</v>
      </c>
      <c r="U313" s="235">
        <v>2471.5294117647059</v>
      </c>
      <c r="V313" s="235">
        <v>2692.705882352941</v>
      </c>
      <c r="W313" s="235">
        <v>1294.1176470588234</v>
      </c>
      <c r="X313" s="235">
        <v>3094.5882352941176</v>
      </c>
      <c r="Y313" s="235">
        <v>4388.7058823529414</v>
      </c>
      <c r="Z313" s="200">
        <v>6351.0588235294117</v>
      </c>
      <c r="AA313" s="235">
        <v>75.058823529411768</v>
      </c>
      <c r="AB313" s="235">
        <v>36.235294117647058</v>
      </c>
      <c r="AC313" s="235">
        <v>111.29411764705883</v>
      </c>
      <c r="AD313" s="235">
        <v>0</v>
      </c>
      <c r="AE313" s="235">
        <v>0</v>
      </c>
      <c r="AF313" s="235">
        <v>0</v>
      </c>
      <c r="AG313" s="235">
        <v>61.411764705882355</v>
      </c>
      <c r="AH313" s="235">
        <v>29.647058823529413</v>
      </c>
      <c r="AI313" s="235">
        <v>91.058823529411768</v>
      </c>
      <c r="AJ313" s="235">
        <v>11.294117647058824</v>
      </c>
      <c r="AK313" s="235">
        <v>75.294117647058826</v>
      </c>
      <c r="AL313" s="235">
        <v>86.588235294117652</v>
      </c>
      <c r="AM313" s="235">
        <v>72.705882352941174</v>
      </c>
      <c r="AN313" s="235">
        <v>104.94117647058823</v>
      </c>
      <c r="AO313" s="235">
        <v>177.64705882352942</v>
      </c>
      <c r="AP313" s="200">
        <v>288.94117647058823</v>
      </c>
      <c r="AQ313" s="141">
        <v>0</v>
      </c>
      <c r="AR313" s="200">
        <v>2073.6470588235297</v>
      </c>
      <c r="AS313" s="200">
        <v>4566.3529411764712</v>
      </c>
      <c r="AT313" s="66">
        <v>6640</v>
      </c>
      <c r="AU313" s="235">
        <v>94.117647058823536</v>
      </c>
      <c r="AV313" s="235">
        <v>84.318212410822454</v>
      </c>
      <c r="AW313" s="75">
        <v>0</v>
      </c>
      <c r="AX313" s="235">
        <v>329.41176470588238</v>
      </c>
      <c r="AY313" s="66">
        <v>507.84762417552838</v>
      </c>
      <c r="AZ313" s="202">
        <v>0</v>
      </c>
      <c r="BA313" s="87">
        <v>0</v>
      </c>
      <c r="BB313" s="87">
        <v>122.35294117647059</v>
      </c>
      <c r="BC313" s="87">
        <v>0</v>
      </c>
      <c r="BD313" s="87">
        <v>122.35294117647059</v>
      </c>
      <c r="BE313" s="87">
        <v>122.35294117647059</v>
      </c>
      <c r="BF313" s="87">
        <v>388.70588235294116</v>
      </c>
      <c r="BG313" s="66">
        <v>511.05882352941177</v>
      </c>
      <c r="BH313" s="67">
        <v>7658.9064477049415</v>
      </c>
      <c r="BI313" s="67">
        <v>1389112.1271119583</v>
      </c>
    </row>
    <row r="314" spans="1:61" x14ac:dyDescent="0.25">
      <c r="A314" s="142">
        <v>0</v>
      </c>
      <c r="B314" s="68">
        <v>40478</v>
      </c>
      <c r="C314" s="198">
        <v>40478</v>
      </c>
      <c r="D314" s="69">
        <v>39750</v>
      </c>
      <c r="E314" s="70">
        <v>27</v>
      </c>
      <c r="F314" s="71">
        <v>43</v>
      </c>
      <c r="G314" s="72"/>
      <c r="H314" s="82" t="s">
        <v>54</v>
      </c>
      <c r="I314" s="210"/>
      <c r="J314" s="210"/>
      <c r="K314" s="235">
        <v>2174.1176470588234</v>
      </c>
      <c r="L314" s="235">
        <v>583.52941176470586</v>
      </c>
      <c r="M314" s="235">
        <v>2757.6470588235293</v>
      </c>
      <c r="N314" s="235">
        <v>792.47058823529414</v>
      </c>
      <c r="O314" s="235">
        <v>512</v>
      </c>
      <c r="P314" s="235">
        <v>1304.4705882352941</v>
      </c>
      <c r="Q314" s="235">
        <v>49.882352941176471</v>
      </c>
      <c r="R314" s="235">
        <v>0</v>
      </c>
      <c r="S314" s="235">
        <v>49.882352941176471</v>
      </c>
      <c r="T314" s="235">
        <v>225.88235294117646</v>
      </c>
      <c r="U314" s="235">
        <v>2174.1176470588234</v>
      </c>
      <c r="V314" s="235">
        <v>2400</v>
      </c>
      <c r="W314" s="235">
        <v>1068.2352941176471</v>
      </c>
      <c r="X314" s="235">
        <v>2686.1176470588234</v>
      </c>
      <c r="Y314" s="235">
        <v>3754.3529411764707</v>
      </c>
      <c r="Z314" s="200">
        <v>6512</v>
      </c>
      <c r="AA314" s="235">
        <v>61.082352941176474</v>
      </c>
      <c r="AB314" s="235">
        <v>33.129411764705885</v>
      </c>
      <c r="AC314" s="235">
        <v>94.211764705882359</v>
      </c>
      <c r="AD314" s="235">
        <v>0</v>
      </c>
      <c r="AE314" s="235">
        <v>0</v>
      </c>
      <c r="AF314" s="235">
        <v>0</v>
      </c>
      <c r="AG314" s="235">
        <v>49.976470588235294</v>
      </c>
      <c r="AH314" s="235">
        <v>27.105882352941176</v>
      </c>
      <c r="AI314" s="235">
        <v>77.082352941176481</v>
      </c>
      <c r="AJ314" s="235">
        <v>4.7058823529411766</v>
      </c>
      <c r="AK314" s="235">
        <v>47.058823529411768</v>
      </c>
      <c r="AL314" s="235">
        <v>51.764705882352942</v>
      </c>
      <c r="AM314" s="235">
        <v>54.682352941176475</v>
      </c>
      <c r="AN314" s="235">
        <v>74.164705882352933</v>
      </c>
      <c r="AO314" s="235">
        <v>128.84705882352941</v>
      </c>
      <c r="AP314" s="200">
        <v>223.05882352941177</v>
      </c>
      <c r="AQ314" s="141">
        <v>0</v>
      </c>
      <c r="AR314" s="200">
        <v>2851.8588235294114</v>
      </c>
      <c r="AS314" s="200">
        <v>3883.2</v>
      </c>
      <c r="AT314" s="66">
        <v>6735.0588235294117</v>
      </c>
      <c r="AU314" s="235">
        <v>141.4364640883978</v>
      </c>
      <c r="AV314" s="235">
        <v>84.705882352941174</v>
      </c>
      <c r="AW314" s="75">
        <v>0</v>
      </c>
      <c r="AX314" s="235">
        <v>329.41176470588238</v>
      </c>
      <c r="AY314" s="66">
        <v>555.55411114722142</v>
      </c>
      <c r="AZ314" s="202">
        <v>0</v>
      </c>
      <c r="BA314" s="87">
        <v>75.294117647058826</v>
      </c>
      <c r="BB314" s="87">
        <v>112.94117647058823</v>
      </c>
      <c r="BC314" s="87">
        <v>75.294117647058826</v>
      </c>
      <c r="BD314" s="87">
        <v>112.94117647058823</v>
      </c>
      <c r="BE314" s="87">
        <v>188.23529411764707</v>
      </c>
      <c r="BF314" s="87">
        <v>418.8235294117647</v>
      </c>
      <c r="BG314" s="66">
        <v>607.05882352941171</v>
      </c>
      <c r="BH314" s="67">
        <v>7897.6717582060446</v>
      </c>
      <c r="BI314" s="67">
        <v>1397009.7988701644</v>
      </c>
    </row>
    <row r="315" spans="1:61" x14ac:dyDescent="0.25">
      <c r="A315" s="142">
        <v>0</v>
      </c>
      <c r="B315" s="68">
        <v>40479</v>
      </c>
      <c r="C315" s="198">
        <v>40479</v>
      </c>
      <c r="D315" s="69">
        <v>39751</v>
      </c>
      <c r="E315" s="70">
        <v>28</v>
      </c>
      <c r="F315" s="71">
        <v>43</v>
      </c>
      <c r="G315" s="72"/>
      <c r="H315" s="82" t="s">
        <v>54</v>
      </c>
      <c r="I315" s="210"/>
      <c r="J315" s="210"/>
      <c r="K315" s="235">
        <v>1957.6470588235295</v>
      </c>
      <c r="L315" s="235">
        <v>498.8235294117647</v>
      </c>
      <c r="M315" s="235">
        <v>2456.4705882352941</v>
      </c>
      <c r="N315" s="235">
        <v>787.76470588235293</v>
      </c>
      <c r="O315" s="235">
        <v>429.1764705882353</v>
      </c>
      <c r="P315" s="235">
        <v>1216.9411764705883</v>
      </c>
      <c r="Q315" s="235">
        <v>64</v>
      </c>
      <c r="R315" s="235">
        <v>0</v>
      </c>
      <c r="S315" s="235">
        <v>64</v>
      </c>
      <c r="T315" s="235">
        <v>254.11764705882354</v>
      </c>
      <c r="U315" s="235">
        <v>2701.1764705882351</v>
      </c>
      <c r="V315" s="235">
        <v>2955.294117647059</v>
      </c>
      <c r="W315" s="235">
        <v>1105.8823529411766</v>
      </c>
      <c r="X315" s="235">
        <v>3130.3529411764707</v>
      </c>
      <c r="Y315" s="235">
        <v>4236.2352941176468</v>
      </c>
      <c r="Z315" s="200">
        <v>6692.7058823529414</v>
      </c>
      <c r="AA315" s="235">
        <v>64.705882352941174</v>
      </c>
      <c r="AB315" s="235">
        <v>26.91764705882353</v>
      </c>
      <c r="AC315" s="235">
        <v>91.623529411764707</v>
      </c>
      <c r="AD315" s="235">
        <v>0</v>
      </c>
      <c r="AE315" s="235">
        <v>0</v>
      </c>
      <c r="AF315" s="235">
        <v>0</v>
      </c>
      <c r="AG315" s="235">
        <v>52.941176470588232</v>
      </c>
      <c r="AH315" s="235">
        <v>22.023529411764706</v>
      </c>
      <c r="AI315" s="235">
        <v>74.964705882352945</v>
      </c>
      <c r="AJ315" s="235">
        <v>10.352941176470589</v>
      </c>
      <c r="AK315" s="235">
        <v>56.470588235294116</v>
      </c>
      <c r="AL315" s="235">
        <v>66.82352941176471</v>
      </c>
      <c r="AM315" s="235">
        <v>63.294117647058826</v>
      </c>
      <c r="AN315" s="235">
        <v>78.494117647058829</v>
      </c>
      <c r="AO315" s="235">
        <v>141.78823529411764</v>
      </c>
      <c r="AP315" s="200">
        <v>233.41176470588235</v>
      </c>
      <c r="AQ315" s="141">
        <v>0</v>
      </c>
      <c r="AR315" s="200">
        <v>2548.0941176470587</v>
      </c>
      <c r="AS315" s="200">
        <v>4378.0235294117647</v>
      </c>
      <c r="AT315" s="66">
        <v>6926.1176470588234</v>
      </c>
      <c r="AU315" s="235">
        <v>103.52941176470588</v>
      </c>
      <c r="AV315" s="235">
        <v>89.411764705882348</v>
      </c>
      <c r="AW315" s="75">
        <v>0</v>
      </c>
      <c r="AX315" s="235">
        <v>329.41176470588238</v>
      </c>
      <c r="AY315" s="66">
        <v>522.35294117647061</v>
      </c>
      <c r="AZ315" s="202">
        <v>0</v>
      </c>
      <c r="BA315" s="87">
        <v>65.882352941176464</v>
      </c>
      <c r="BB315" s="87">
        <v>75.294117647058826</v>
      </c>
      <c r="BC315" s="87">
        <v>65.882352941176464</v>
      </c>
      <c r="BD315" s="87">
        <v>75.294117647058826</v>
      </c>
      <c r="BE315" s="87">
        <v>141.1764705882353</v>
      </c>
      <c r="BF315" s="87">
        <v>767.05882352941171</v>
      </c>
      <c r="BG315" s="66">
        <v>908.23529411764707</v>
      </c>
      <c r="BH315" s="67">
        <v>8356.7058823529405</v>
      </c>
      <c r="BI315" s="67">
        <v>1405366.5047525174</v>
      </c>
    </row>
    <row r="316" spans="1:61" ht="13.8" thickBot="1" x14ac:dyDescent="0.3">
      <c r="A316" s="142">
        <v>0</v>
      </c>
      <c r="B316" s="88">
        <v>40480</v>
      </c>
      <c r="C316" s="236">
        <v>40480</v>
      </c>
      <c r="D316" s="89">
        <v>39752</v>
      </c>
      <c r="E316" s="90">
        <v>29</v>
      </c>
      <c r="F316" s="91">
        <v>43</v>
      </c>
      <c r="G316" s="92"/>
      <c r="H316" s="93" t="s">
        <v>54</v>
      </c>
      <c r="I316" s="237"/>
      <c r="J316" s="237"/>
      <c r="K316" s="238">
        <v>2141.1764705882351</v>
      </c>
      <c r="L316" s="238">
        <v>395.29411764705884</v>
      </c>
      <c r="M316" s="238">
        <v>2536.4705882352941</v>
      </c>
      <c r="N316" s="238">
        <v>837.64705882352939</v>
      </c>
      <c r="O316" s="238">
        <v>353.88235294117646</v>
      </c>
      <c r="P316" s="238">
        <v>1191.5294117647059</v>
      </c>
      <c r="Q316" s="238">
        <v>45.176470588235297</v>
      </c>
      <c r="R316" s="238">
        <v>0</v>
      </c>
      <c r="S316" s="238">
        <v>45.176470588235297</v>
      </c>
      <c r="T316" s="238">
        <v>258.8235294117647</v>
      </c>
      <c r="U316" s="238">
        <v>2569.4117647058824</v>
      </c>
      <c r="V316" s="238">
        <v>2828.2352941176468</v>
      </c>
      <c r="W316" s="238">
        <v>1141.6470588235295</v>
      </c>
      <c r="X316" s="238">
        <v>2923.294117647059</v>
      </c>
      <c r="Y316" s="238">
        <v>4064.9411764705883</v>
      </c>
      <c r="Z316" s="239">
        <v>6601.411764705882</v>
      </c>
      <c r="AA316" s="238">
        <v>33.647058823529413</v>
      </c>
      <c r="AB316" s="238">
        <v>20.705882352941178</v>
      </c>
      <c r="AC316" s="238">
        <v>54.352941176470587</v>
      </c>
      <c r="AD316" s="238">
        <v>0</v>
      </c>
      <c r="AE316" s="238">
        <v>0</v>
      </c>
      <c r="AF316" s="238">
        <v>0</v>
      </c>
      <c r="AG316" s="238">
        <v>27.529411764705884</v>
      </c>
      <c r="AH316" s="238">
        <v>16.941176470588236</v>
      </c>
      <c r="AI316" s="238">
        <v>44.470588235294116</v>
      </c>
      <c r="AJ316" s="238">
        <v>11.294117647058824</v>
      </c>
      <c r="AK316" s="238">
        <v>44.235294117647058</v>
      </c>
      <c r="AL316" s="238">
        <v>55.529411764705884</v>
      </c>
      <c r="AM316" s="238">
        <v>38.823529411764703</v>
      </c>
      <c r="AN316" s="238">
        <v>61.176470588235297</v>
      </c>
      <c r="AO316" s="238">
        <v>100</v>
      </c>
      <c r="AP316" s="239">
        <v>154.35294117647058</v>
      </c>
      <c r="AQ316" s="240">
        <v>0</v>
      </c>
      <c r="AR316" s="200">
        <v>2590.8235294117649</v>
      </c>
      <c r="AS316" s="200">
        <v>4164.9411764705883</v>
      </c>
      <c r="AT316" s="66">
        <v>6755.7647058823532</v>
      </c>
      <c r="AU316" s="238">
        <v>94.117647058823536</v>
      </c>
      <c r="AV316" s="238">
        <v>94.117647058823536</v>
      </c>
      <c r="AW316" s="75">
        <v>0</v>
      </c>
      <c r="AX316" s="238">
        <v>263.52941176470586</v>
      </c>
      <c r="AY316" s="66">
        <v>451.76470588235293</v>
      </c>
      <c r="AZ316" s="241">
        <v>0</v>
      </c>
      <c r="BA316" s="94">
        <v>0</v>
      </c>
      <c r="BB316" s="94">
        <v>28.235294117647058</v>
      </c>
      <c r="BC316" s="94">
        <v>0</v>
      </c>
      <c r="BD316" s="94">
        <v>28.235294117647058</v>
      </c>
      <c r="BE316" s="94">
        <v>28.235294117647058</v>
      </c>
      <c r="BF316" s="94">
        <v>1102.1176470588234</v>
      </c>
      <c r="BG316" s="242">
        <v>1130.3529411764705</v>
      </c>
      <c r="BH316" s="67">
        <v>8337.8823529411766</v>
      </c>
      <c r="BI316" s="67">
        <v>1413704.3871054586</v>
      </c>
    </row>
    <row r="317" spans="1:61" x14ac:dyDescent="0.25">
      <c r="A317" s="142">
        <v>0</v>
      </c>
      <c r="B317" s="244">
        <v>40481</v>
      </c>
      <c r="C317" s="245">
        <v>40481</v>
      </c>
      <c r="D317" s="246">
        <v>39753</v>
      </c>
      <c r="E317" s="247">
        <v>30</v>
      </c>
      <c r="F317" s="248">
        <v>43</v>
      </c>
      <c r="G317" s="249"/>
      <c r="H317" s="250" t="s">
        <v>54</v>
      </c>
      <c r="I317" s="251"/>
      <c r="J317" s="251"/>
      <c r="K317" s="252">
        <v>1741.1764705882354</v>
      </c>
      <c r="L317" s="252">
        <v>432.94117647058823</v>
      </c>
      <c r="M317" s="252">
        <v>2174.1176470588234</v>
      </c>
      <c r="N317" s="252">
        <v>1045.6470588235295</v>
      </c>
      <c r="O317" s="252">
        <v>522.35294117647061</v>
      </c>
      <c r="P317" s="252">
        <v>1568</v>
      </c>
      <c r="Q317" s="252">
        <v>65.882352941176464</v>
      </c>
      <c r="R317" s="252">
        <v>0</v>
      </c>
      <c r="S317" s="252">
        <v>65.882352941176464</v>
      </c>
      <c r="T317" s="252">
        <v>282.35294117647061</v>
      </c>
      <c r="U317" s="252">
        <v>2677.6470588235293</v>
      </c>
      <c r="V317" s="252">
        <v>2960</v>
      </c>
      <c r="W317" s="252">
        <v>1393.8823529411766</v>
      </c>
      <c r="X317" s="252">
        <v>3200</v>
      </c>
      <c r="Y317" s="252">
        <v>4593.8823529411766</v>
      </c>
      <c r="Z317" s="358">
        <v>6768</v>
      </c>
      <c r="AA317" s="252">
        <v>34.164705882352941</v>
      </c>
      <c r="AB317" s="252">
        <v>16.564705882352943</v>
      </c>
      <c r="AC317" s="252">
        <v>50.72941176470588</v>
      </c>
      <c r="AD317" s="252">
        <v>0</v>
      </c>
      <c r="AE317" s="252">
        <v>0</v>
      </c>
      <c r="AF317" s="252">
        <v>0</v>
      </c>
      <c r="AG317" s="252">
        <v>27.952941176470588</v>
      </c>
      <c r="AH317" s="252">
        <v>13.552941176470588</v>
      </c>
      <c r="AI317" s="252">
        <v>41.505882352941178</v>
      </c>
      <c r="AJ317" s="252">
        <v>3.7647058823529411</v>
      </c>
      <c r="AK317" s="252">
        <v>30.117647058823529</v>
      </c>
      <c r="AL317" s="252">
        <v>33.882352941176471</v>
      </c>
      <c r="AM317" s="252">
        <v>31.71764705882353</v>
      </c>
      <c r="AN317" s="252">
        <v>43.670588235294119</v>
      </c>
      <c r="AO317" s="252">
        <v>75.388235294117635</v>
      </c>
      <c r="AP317" s="358">
        <v>126.11764705882354</v>
      </c>
      <c r="AQ317" s="359">
        <v>0</v>
      </c>
      <c r="AR317" s="200">
        <v>2224.8470588235291</v>
      </c>
      <c r="AS317" s="200">
        <v>4669.2705882352939</v>
      </c>
      <c r="AT317" s="66">
        <v>6894.1176470588234</v>
      </c>
      <c r="AU317" s="252">
        <v>65.882352941176464</v>
      </c>
      <c r="AV317" s="252">
        <v>65.580831875084129</v>
      </c>
      <c r="AW317" s="75">
        <v>0</v>
      </c>
      <c r="AX317" s="252">
        <v>329.41176470588238</v>
      </c>
      <c r="AY317" s="66">
        <v>460.87494952214297</v>
      </c>
      <c r="AZ317" s="256">
        <v>0</v>
      </c>
      <c r="BA317" s="122">
        <v>216.47058823529412</v>
      </c>
      <c r="BB317" s="122">
        <v>536.47058823529414</v>
      </c>
      <c r="BC317" s="122">
        <v>216.47058823529412</v>
      </c>
      <c r="BD317" s="122">
        <v>536.47058823529414</v>
      </c>
      <c r="BE317" s="122">
        <v>752.94117647058829</v>
      </c>
      <c r="BF317" s="122">
        <v>1007.0588235294117</v>
      </c>
      <c r="BG317" s="407">
        <v>1760</v>
      </c>
      <c r="BH317" s="408">
        <v>9114.9925965809671</v>
      </c>
      <c r="BI317" s="67">
        <v>1422819.3797020395</v>
      </c>
    </row>
    <row r="318" spans="1:61" x14ac:dyDescent="0.25">
      <c r="A318" s="142">
        <v>0</v>
      </c>
      <c r="B318" s="85">
        <v>40482</v>
      </c>
      <c r="C318" s="203">
        <v>40482</v>
      </c>
      <c r="D318" s="76">
        <v>39754</v>
      </c>
      <c r="E318" s="77">
        <v>31</v>
      </c>
      <c r="F318" s="78">
        <v>43</v>
      </c>
      <c r="G318" s="79"/>
      <c r="H318" s="80" t="s">
        <v>54</v>
      </c>
      <c r="I318" s="212"/>
      <c r="J318" s="212"/>
      <c r="K318" s="231">
        <v>2503.5294117647059</v>
      </c>
      <c r="L318" s="231">
        <v>550.58823529411768</v>
      </c>
      <c r="M318" s="231">
        <v>3054.1176470588234</v>
      </c>
      <c r="N318" s="231">
        <v>687.05882352941171</v>
      </c>
      <c r="O318" s="231">
        <v>490.35294117647061</v>
      </c>
      <c r="P318" s="231">
        <v>1177.4117647058824</v>
      </c>
      <c r="Q318" s="231">
        <v>47.058823529411768</v>
      </c>
      <c r="R318" s="231">
        <v>0</v>
      </c>
      <c r="S318" s="231">
        <v>47.058823529411768</v>
      </c>
      <c r="T318" s="231">
        <v>224.94117647058823</v>
      </c>
      <c r="U318" s="231">
        <v>2583.5294117647059</v>
      </c>
      <c r="V318" s="231">
        <v>2808.4705882352941</v>
      </c>
      <c r="W318" s="231">
        <v>959.05882352941171</v>
      </c>
      <c r="X318" s="231">
        <v>3073.8823529411766</v>
      </c>
      <c r="Y318" s="231">
        <v>4032.9411764705883</v>
      </c>
      <c r="Z318" s="200">
        <v>7087.0588235294117</v>
      </c>
      <c r="AA318" s="231">
        <v>16.047058823529412</v>
      </c>
      <c r="AB318" s="231">
        <v>12.423529411764704</v>
      </c>
      <c r="AC318" s="231">
        <v>28.470588235294116</v>
      </c>
      <c r="AD318" s="231">
        <v>0</v>
      </c>
      <c r="AE318" s="231">
        <v>0</v>
      </c>
      <c r="AF318" s="231">
        <v>0</v>
      </c>
      <c r="AG318" s="231">
        <v>13.129411764705882</v>
      </c>
      <c r="AH318" s="231">
        <v>10.164705882352942</v>
      </c>
      <c r="AI318" s="231">
        <v>23.294117647058822</v>
      </c>
      <c r="AJ318" s="231">
        <v>0</v>
      </c>
      <c r="AK318" s="231">
        <v>33.882352941176471</v>
      </c>
      <c r="AL318" s="231">
        <v>33.882352941176471</v>
      </c>
      <c r="AM318" s="231">
        <v>13.129411764705882</v>
      </c>
      <c r="AN318" s="231">
        <v>44.047058823529412</v>
      </c>
      <c r="AO318" s="231">
        <v>57.176470588235297</v>
      </c>
      <c r="AP318" s="200">
        <v>85.647058823529406</v>
      </c>
      <c r="AQ318" s="141">
        <v>0</v>
      </c>
      <c r="AR318" s="200">
        <v>3082.5882352941176</v>
      </c>
      <c r="AS318" s="200">
        <v>4090.1176470588234</v>
      </c>
      <c r="AT318" s="66">
        <v>7172.7058823529405</v>
      </c>
      <c r="AU318" s="231">
        <v>65.882352941176464</v>
      </c>
      <c r="AV318" s="231">
        <v>56.470588235294116</v>
      </c>
      <c r="AW318" s="75">
        <v>0</v>
      </c>
      <c r="AX318" s="231">
        <v>235.29411764705881</v>
      </c>
      <c r="AY318" s="66">
        <v>357.64705882352939</v>
      </c>
      <c r="AZ318" s="208">
        <v>0</v>
      </c>
      <c r="BA318" s="87">
        <v>75.294117647058826</v>
      </c>
      <c r="BB318" s="87">
        <v>404.70588235294116</v>
      </c>
      <c r="BC318" s="87">
        <v>75.294117647058826</v>
      </c>
      <c r="BD318" s="87">
        <v>404.70588235294116</v>
      </c>
      <c r="BE318" s="87">
        <v>480</v>
      </c>
      <c r="BF318" s="87">
        <v>484.70588235294116</v>
      </c>
      <c r="BG318" s="409">
        <v>964.70588235294122</v>
      </c>
      <c r="BH318" s="408">
        <v>8495.0588235294108</v>
      </c>
      <c r="BI318" s="67">
        <v>1431314.4385255689</v>
      </c>
    </row>
    <row r="319" spans="1:61" s="230" customFormat="1" x14ac:dyDescent="0.25">
      <c r="A319" s="215"/>
      <c r="B319" s="216"/>
      <c r="C319" s="217"/>
      <c r="D319" s="218"/>
      <c r="E319" s="219"/>
      <c r="F319" s="220"/>
      <c r="G319" s="221"/>
      <c r="H319" s="222"/>
      <c r="I319" s="223"/>
      <c r="J319" s="223"/>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c r="AH319" s="224"/>
      <c r="AI319" s="224"/>
      <c r="AJ319" s="224"/>
      <c r="AK319" s="224"/>
      <c r="AL319" s="224"/>
      <c r="AM319" s="224"/>
      <c r="AN319" s="224"/>
      <c r="AO319" s="224"/>
      <c r="AP319" s="224"/>
      <c r="AQ319" s="225"/>
      <c r="AR319" s="226"/>
      <c r="AS319" s="226"/>
      <c r="AT319" s="66">
        <v>0</v>
      </c>
      <c r="AU319" s="224"/>
      <c r="AV319" s="224"/>
      <c r="AW319" s="227"/>
      <c r="AX319" s="224"/>
      <c r="AY319" s="66">
        <v>0</v>
      </c>
      <c r="AZ319" s="224"/>
      <c r="BA319" s="224"/>
      <c r="BB319" s="224"/>
      <c r="BC319" s="224"/>
      <c r="BD319" s="224"/>
      <c r="BE319" s="224"/>
      <c r="BF319" s="224"/>
      <c r="BG319" s="228"/>
      <c r="BH319" s="229"/>
      <c r="BI319" s="229"/>
    </row>
    <row r="320" spans="1:61" ht="13.8" thickBot="1" x14ac:dyDescent="0.3">
      <c r="A320" s="142">
        <v>0</v>
      </c>
      <c r="B320" s="123">
        <v>40483</v>
      </c>
      <c r="C320" s="260">
        <v>40483</v>
      </c>
      <c r="D320" s="138">
        <v>39755</v>
      </c>
      <c r="E320" s="261">
        <v>32</v>
      </c>
      <c r="F320" s="139">
        <v>44</v>
      </c>
      <c r="G320" s="262" t="s">
        <v>57</v>
      </c>
      <c r="H320" s="140" t="s">
        <v>54</v>
      </c>
      <c r="I320" s="263"/>
      <c r="J320" s="263"/>
      <c r="K320" s="264">
        <v>1647.0588235294117</v>
      </c>
      <c r="L320" s="264">
        <v>589.17647058823525</v>
      </c>
      <c r="M320" s="264">
        <v>2236.2352941176468</v>
      </c>
      <c r="N320" s="264">
        <v>725.64705882352939</v>
      </c>
      <c r="O320" s="264">
        <v>377.41176470588238</v>
      </c>
      <c r="P320" s="264">
        <v>1103.0588235294117</v>
      </c>
      <c r="Q320" s="264">
        <v>96</v>
      </c>
      <c r="R320" s="264">
        <v>0</v>
      </c>
      <c r="S320" s="264">
        <v>96</v>
      </c>
      <c r="T320" s="264">
        <v>329.41176470588238</v>
      </c>
      <c r="U320" s="264">
        <v>2624</v>
      </c>
      <c r="V320" s="264">
        <v>2953.4117647058824</v>
      </c>
      <c r="W320" s="264">
        <v>1151.0588235294117</v>
      </c>
      <c r="X320" s="264">
        <v>3001.4117647058824</v>
      </c>
      <c r="Y320" s="264">
        <v>4152.4705882352937</v>
      </c>
      <c r="Z320" s="265">
        <v>6388.7058823529414</v>
      </c>
      <c r="AA320" s="264">
        <v>2.8235294117647061</v>
      </c>
      <c r="AB320" s="264">
        <v>5.1764705882352944</v>
      </c>
      <c r="AC320" s="264">
        <v>8</v>
      </c>
      <c r="AD320" s="264">
        <v>0</v>
      </c>
      <c r="AE320" s="264">
        <v>0</v>
      </c>
      <c r="AF320" s="264">
        <v>0</v>
      </c>
      <c r="AG320" s="264">
        <v>6.5882352941176467</v>
      </c>
      <c r="AH320" s="264">
        <v>4.2352941176470589</v>
      </c>
      <c r="AI320" s="264">
        <v>10.823529411764707</v>
      </c>
      <c r="AJ320" s="264">
        <v>0</v>
      </c>
      <c r="AK320" s="264">
        <v>18.823529411764707</v>
      </c>
      <c r="AL320" s="264">
        <v>18.823529411764707</v>
      </c>
      <c r="AM320" s="264">
        <v>6.5882352941176467</v>
      </c>
      <c r="AN320" s="264">
        <v>23.058823529411764</v>
      </c>
      <c r="AO320" s="264">
        <v>29.647058823529413</v>
      </c>
      <c r="AP320" s="265">
        <v>37.647058823529413</v>
      </c>
      <c r="AQ320" s="266">
        <v>0</v>
      </c>
      <c r="AR320" s="200">
        <v>2244.2352941176468</v>
      </c>
      <c r="AS320" s="200">
        <v>4182.1176470588234</v>
      </c>
      <c r="AT320" s="66">
        <v>6426.3529411764703</v>
      </c>
      <c r="AU320" s="264">
        <v>65.882352941176464</v>
      </c>
      <c r="AV320" s="264">
        <v>14.117647058823529</v>
      </c>
      <c r="AW320" s="75">
        <v>0</v>
      </c>
      <c r="AX320" s="264">
        <v>470.58823529411762</v>
      </c>
      <c r="AY320" s="66">
        <v>550.58823529411757</v>
      </c>
      <c r="AZ320" s="268">
        <v>0</v>
      </c>
      <c r="BA320" s="129">
        <v>0</v>
      </c>
      <c r="BB320" s="129">
        <v>0</v>
      </c>
      <c r="BC320" s="129">
        <v>0</v>
      </c>
      <c r="BD320" s="129">
        <v>0</v>
      </c>
      <c r="BE320" s="129">
        <v>0</v>
      </c>
      <c r="BF320" s="129">
        <v>188.23529411764707</v>
      </c>
      <c r="BG320" s="410">
        <v>188.23529411764707</v>
      </c>
      <c r="BH320" s="408">
        <v>7165.1764705882351</v>
      </c>
      <c r="BI320" s="67">
        <v>1438479.6149961571</v>
      </c>
    </row>
    <row r="321" spans="1:61" x14ac:dyDescent="0.25">
      <c r="A321" s="142">
        <v>0</v>
      </c>
      <c r="B321" s="109">
        <v>40484</v>
      </c>
      <c r="C321" s="271">
        <v>40484</v>
      </c>
      <c r="D321" s="110">
        <v>39756</v>
      </c>
      <c r="E321" s="111">
        <v>33</v>
      </c>
      <c r="F321" s="112">
        <v>44</v>
      </c>
      <c r="G321" s="113"/>
      <c r="H321" s="114" t="s">
        <v>54</v>
      </c>
      <c r="I321" s="272"/>
      <c r="J321" s="272"/>
      <c r="K321" s="273">
        <v>1946.3529411764705</v>
      </c>
      <c r="L321" s="273">
        <v>404.70588235294116</v>
      </c>
      <c r="M321" s="273">
        <v>2351.0588235294117</v>
      </c>
      <c r="N321" s="273">
        <v>494.11764705882354</v>
      </c>
      <c r="O321" s="273">
        <v>268.23529411764707</v>
      </c>
      <c r="P321" s="273">
        <v>762.35294117647061</v>
      </c>
      <c r="Q321" s="273">
        <v>75.294117647058826</v>
      </c>
      <c r="R321" s="273">
        <v>0</v>
      </c>
      <c r="S321" s="273">
        <v>75.294117647058826</v>
      </c>
      <c r="T321" s="273">
        <v>160</v>
      </c>
      <c r="U321" s="273">
        <v>1778.8235294117646</v>
      </c>
      <c r="V321" s="273">
        <v>1938.8235294117646</v>
      </c>
      <c r="W321" s="273">
        <v>729.41176470588232</v>
      </c>
      <c r="X321" s="273">
        <v>2047.0588235294117</v>
      </c>
      <c r="Y321" s="273">
        <v>2776.4705882352941</v>
      </c>
      <c r="Z321" s="200">
        <v>5127.5294117647063</v>
      </c>
      <c r="AA321" s="273">
        <v>8.4705882352941178</v>
      </c>
      <c r="AB321" s="273">
        <v>14.494117647058824</v>
      </c>
      <c r="AC321" s="273">
        <v>22.964705882352941</v>
      </c>
      <c r="AD321" s="273">
        <v>0</v>
      </c>
      <c r="AE321" s="273">
        <v>0</v>
      </c>
      <c r="AF321" s="273">
        <v>0</v>
      </c>
      <c r="AG321" s="273">
        <v>19.764705882352942</v>
      </c>
      <c r="AH321" s="273">
        <v>11.858823529411765</v>
      </c>
      <c r="AI321" s="273">
        <v>31.623529411764707</v>
      </c>
      <c r="AJ321" s="273">
        <v>11.294117647058824</v>
      </c>
      <c r="AK321" s="273">
        <v>27.294117647058822</v>
      </c>
      <c r="AL321" s="273">
        <v>38.588235294117645</v>
      </c>
      <c r="AM321" s="273">
        <v>31.058823529411764</v>
      </c>
      <c r="AN321" s="273">
        <v>39.152941176470591</v>
      </c>
      <c r="AO321" s="273">
        <v>70.211764705882345</v>
      </c>
      <c r="AP321" s="200">
        <v>93.17647058823529</v>
      </c>
      <c r="AQ321" s="274">
        <v>0</v>
      </c>
      <c r="AR321" s="200">
        <v>2374.0235294117647</v>
      </c>
      <c r="AS321" s="200">
        <v>2846.6823529411763</v>
      </c>
      <c r="AT321" s="66">
        <v>5220.7058823529405</v>
      </c>
      <c r="AU321" s="273">
        <v>65.882352941176464</v>
      </c>
      <c r="AV321" s="273">
        <v>65.882352941176464</v>
      </c>
      <c r="AW321" s="75">
        <v>0</v>
      </c>
      <c r="AX321" s="273">
        <v>941.17647058823525</v>
      </c>
      <c r="AY321" s="66">
        <v>1072.9411764705883</v>
      </c>
      <c r="AZ321" s="275">
        <v>0</v>
      </c>
      <c r="BA321" s="115">
        <v>0</v>
      </c>
      <c r="BB321" s="115">
        <v>0</v>
      </c>
      <c r="BC321" s="115">
        <v>0</v>
      </c>
      <c r="BD321" s="115">
        <v>0</v>
      </c>
      <c r="BE321" s="115">
        <v>0</v>
      </c>
      <c r="BF321" s="115">
        <v>87.529411764705884</v>
      </c>
      <c r="BG321" s="276">
        <v>87.529411764705884</v>
      </c>
      <c r="BH321" s="67">
        <v>6381.1764705882342</v>
      </c>
      <c r="BI321" s="67">
        <v>1444860.7914667453</v>
      </c>
    </row>
    <row r="322" spans="1:61" x14ac:dyDescent="0.25">
      <c r="A322" s="142">
        <v>0</v>
      </c>
      <c r="B322" s="68">
        <v>40485</v>
      </c>
      <c r="C322" s="198">
        <v>40485</v>
      </c>
      <c r="D322" s="69">
        <v>39757</v>
      </c>
      <c r="E322" s="70">
        <v>34</v>
      </c>
      <c r="F322" s="71">
        <v>44</v>
      </c>
      <c r="G322" s="72"/>
      <c r="H322" s="82" t="s">
        <v>54</v>
      </c>
      <c r="I322" s="210"/>
      <c r="J322" s="210"/>
      <c r="K322" s="235">
        <v>1131.2941176470588</v>
      </c>
      <c r="L322" s="235">
        <v>254.11764705882354</v>
      </c>
      <c r="M322" s="235">
        <v>1385.4117647058824</v>
      </c>
      <c r="N322" s="235">
        <v>80</v>
      </c>
      <c r="O322" s="235">
        <v>42.352941176470587</v>
      </c>
      <c r="P322" s="235">
        <v>122.35294117647059</v>
      </c>
      <c r="Q322" s="235">
        <v>9.4117647058823533</v>
      </c>
      <c r="R322" s="235">
        <v>0</v>
      </c>
      <c r="S322" s="235">
        <v>9.4117647058823533</v>
      </c>
      <c r="T322" s="235">
        <v>92.235294117647058</v>
      </c>
      <c r="U322" s="235">
        <v>334.11764705882354</v>
      </c>
      <c r="V322" s="235">
        <v>426.35294117647061</v>
      </c>
      <c r="W322" s="235">
        <v>181.64705882352942</v>
      </c>
      <c r="X322" s="235">
        <v>376.47058823529414</v>
      </c>
      <c r="Y322" s="235">
        <v>558.11764705882354</v>
      </c>
      <c r="Z322" s="200">
        <v>1943.5294117647059</v>
      </c>
      <c r="AA322" s="235">
        <v>10.729411764705883</v>
      </c>
      <c r="AB322" s="235">
        <v>9.3176470588235301</v>
      </c>
      <c r="AC322" s="235">
        <v>20.047058823529412</v>
      </c>
      <c r="AD322" s="235">
        <v>0</v>
      </c>
      <c r="AE322" s="235">
        <v>0</v>
      </c>
      <c r="AF322" s="235">
        <v>0</v>
      </c>
      <c r="AG322" s="235">
        <v>25.035294117647059</v>
      </c>
      <c r="AH322" s="235">
        <v>7.6235294117647054</v>
      </c>
      <c r="AI322" s="235">
        <v>32.658823529411769</v>
      </c>
      <c r="AJ322" s="235">
        <v>0</v>
      </c>
      <c r="AK322" s="235">
        <v>13.176470588235293</v>
      </c>
      <c r="AL322" s="235">
        <v>13.176470588235293</v>
      </c>
      <c r="AM322" s="235">
        <v>25.035294117647059</v>
      </c>
      <c r="AN322" s="235">
        <v>20.8</v>
      </c>
      <c r="AO322" s="235">
        <v>45.835294117647059</v>
      </c>
      <c r="AP322" s="200">
        <v>65.882352941176464</v>
      </c>
      <c r="AQ322" s="141">
        <v>0</v>
      </c>
      <c r="AR322" s="200">
        <v>1405.4588235294118</v>
      </c>
      <c r="AS322" s="200">
        <v>603.95294117647063</v>
      </c>
      <c r="AT322" s="66">
        <v>2009.4117647058824</v>
      </c>
      <c r="AU322" s="235">
        <v>0</v>
      </c>
      <c r="AV322" s="235">
        <v>74.949522142953285</v>
      </c>
      <c r="AW322" s="75">
        <v>0</v>
      </c>
      <c r="AX322" s="235">
        <v>705.88235294117646</v>
      </c>
      <c r="AY322" s="66">
        <v>780.83187508412971</v>
      </c>
      <c r="AZ322" s="202">
        <v>0</v>
      </c>
      <c r="BA322" s="87">
        <v>0</v>
      </c>
      <c r="BB322" s="87">
        <v>0</v>
      </c>
      <c r="BC322" s="87">
        <v>0</v>
      </c>
      <c r="BD322" s="87">
        <v>0</v>
      </c>
      <c r="BE322" s="87">
        <v>0</v>
      </c>
      <c r="BF322" s="87">
        <v>456.47058823529414</v>
      </c>
      <c r="BG322" s="66">
        <v>456.47058823529414</v>
      </c>
      <c r="BH322" s="67">
        <v>3246.7142280253065</v>
      </c>
      <c r="BI322" s="67">
        <v>1448107.5056947707</v>
      </c>
    </row>
    <row r="323" spans="1:61" x14ac:dyDescent="0.25">
      <c r="A323" s="142">
        <v>0</v>
      </c>
      <c r="B323" s="68">
        <v>40486</v>
      </c>
      <c r="C323" s="198">
        <v>40486</v>
      </c>
      <c r="D323" s="69">
        <v>39758</v>
      </c>
      <c r="E323" s="70">
        <v>35</v>
      </c>
      <c r="F323" s="71">
        <v>44</v>
      </c>
      <c r="G323" s="72"/>
      <c r="H323" s="82"/>
      <c r="I323" s="210"/>
      <c r="J323" s="210"/>
      <c r="K323" s="235">
        <v>249.41176470588235</v>
      </c>
      <c r="L323" s="235">
        <v>24.470588235294116</v>
      </c>
      <c r="M323" s="235">
        <v>273.88235294117646</v>
      </c>
      <c r="N323" s="235">
        <v>61.176470588235297</v>
      </c>
      <c r="O323" s="235">
        <v>9.4117647058823533</v>
      </c>
      <c r="P323" s="235">
        <v>70.588235294117652</v>
      </c>
      <c r="Q323" s="235">
        <v>0</v>
      </c>
      <c r="R323" s="235">
        <v>0</v>
      </c>
      <c r="S323" s="235">
        <v>0</v>
      </c>
      <c r="T323" s="235">
        <v>23.529411764705884</v>
      </c>
      <c r="U323" s="235">
        <v>145.88235294117646</v>
      </c>
      <c r="V323" s="235">
        <v>169.41176470588235</v>
      </c>
      <c r="W323" s="235">
        <v>84.705882352941174</v>
      </c>
      <c r="X323" s="235">
        <v>155.29411764705881</v>
      </c>
      <c r="Y323" s="235">
        <v>240</v>
      </c>
      <c r="Z323" s="200">
        <v>513.88235294117646</v>
      </c>
      <c r="AA323" s="235">
        <v>5.9294117647058826</v>
      </c>
      <c r="AB323" s="235">
        <v>4.1411764705882357</v>
      </c>
      <c r="AC323" s="235">
        <v>10.070588235294117</v>
      </c>
      <c r="AD323" s="235">
        <v>0</v>
      </c>
      <c r="AE323" s="235">
        <v>0</v>
      </c>
      <c r="AF323" s="235">
        <v>0</v>
      </c>
      <c r="AG323" s="235">
        <v>13.835294117647058</v>
      </c>
      <c r="AH323" s="235">
        <v>3.388235294117647</v>
      </c>
      <c r="AI323" s="235">
        <v>17.223529411764705</v>
      </c>
      <c r="AJ323" s="235">
        <v>0</v>
      </c>
      <c r="AK323" s="235">
        <v>10.352941176470589</v>
      </c>
      <c r="AL323" s="235">
        <v>10.352941176470589</v>
      </c>
      <c r="AM323" s="235">
        <v>13.835294117647058</v>
      </c>
      <c r="AN323" s="235">
        <v>13.741176470588234</v>
      </c>
      <c r="AO323" s="235">
        <v>27.576470588235292</v>
      </c>
      <c r="AP323" s="200">
        <v>37.647058823529413</v>
      </c>
      <c r="AQ323" s="141">
        <v>0</v>
      </c>
      <c r="AR323" s="200">
        <v>283.95294117647057</v>
      </c>
      <c r="AS323" s="200">
        <v>267.57647058823528</v>
      </c>
      <c r="AT323" s="66">
        <v>551.52941176470586</v>
      </c>
      <c r="AU323" s="235">
        <v>0</v>
      </c>
      <c r="AV323" s="235">
        <v>4.7058823529411766</v>
      </c>
      <c r="AW323" s="75">
        <v>135.52941176470588</v>
      </c>
      <c r="AX323" s="235">
        <v>103.52941176470588</v>
      </c>
      <c r="AY323" s="66">
        <v>243.76470588235296</v>
      </c>
      <c r="AZ323" s="202">
        <v>0</v>
      </c>
      <c r="BA323" s="87">
        <v>0</v>
      </c>
      <c r="BB323" s="87">
        <v>0</v>
      </c>
      <c r="BC323" s="87">
        <v>0</v>
      </c>
      <c r="BD323" s="87">
        <v>0</v>
      </c>
      <c r="BE323" s="87">
        <v>0</v>
      </c>
      <c r="BF323" s="87">
        <v>785.88235294117646</v>
      </c>
      <c r="BG323" s="66">
        <v>785.88235294117646</v>
      </c>
      <c r="BH323" s="67">
        <v>1581.1764705882354</v>
      </c>
      <c r="BI323" s="67">
        <v>1449688.6821653589</v>
      </c>
    </row>
    <row r="324" spans="1:61" x14ac:dyDescent="0.25">
      <c r="A324" s="142">
        <v>0</v>
      </c>
      <c r="B324" s="411">
        <v>40487</v>
      </c>
      <c r="C324" s="412">
        <v>40487</v>
      </c>
      <c r="D324" s="413">
        <v>39759</v>
      </c>
      <c r="E324" s="414">
        <v>36</v>
      </c>
      <c r="F324" s="415">
        <v>44</v>
      </c>
      <c r="G324" s="416"/>
      <c r="H324" s="417"/>
      <c r="I324" s="418"/>
      <c r="J324" s="418"/>
      <c r="K324" s="419">
        <v>119.52941176470588</v>
      </c>
      <c r="L324" s="419">
        <v>11.294117647058824</v>
      </c>
      <c r="M324" s="419">
        <v>130.8235294117647</v>
      </c>
      <c r="N324" s="419">
        <v>32.941176470588232</v>
      </c>
      <c r="O324" s="419">
        <v>4.7058823529411766</v>
      </c>
      <c r="P324" s="419">
        <v>37.647058823529413</v>
      </c>
      <c r="Q324" s="419">
        <v>5.6470588235294121</v>
      </c>
      <c r="R324" s="419">
        <v>0</v>
      </c>
      <c r="S324" s="419">
        <v>5.6470588235294121</v>
      </c>
      <c r="T324" s="419">
        <v>4.7058823529411766</v>
      </c>
      <c r="U324" s="419">
        <v>127.05882352941177</v>
      </c>
      <c r="V324" s="419">
        <v>131.76470588235293</v>
      </c>
      <c r="W324" s="419">
        <v>43.294117647058826</v>
      </c>
      <c r="X324" s="419">
        <v>131.76470588235293</v>
      </c>
      <c r="Y324" s="419">
        <v>175.05882352941177</v>
      </c>
      <c r="Z324" s="420">
        <v>305.88235294117646</v>
      </c>
      <c r="AA324" s="419">
        <v>14.964705882352941</v>
      </c>
      <c r="AB324" s="419">
        <v>4.658823529411765</v>
      </c>
      <c r="AC324" s="419">
        <v>19.623529411764707</v>
      </c>
      <c r="AD324" s="419">
        <v>0</v>
      </c>
      <c r="AE324" s="419">
        <v>0</v>
      </c>
      <c r="AF324" s="419">
        <v>0</v>
      </c>
      <c r="AG324" s="419">
        <v>34.917647058823533</v>
      </c>
      <c r="AH324" s="419">
        <v>3.8117647058823527</v>
      </c>
      <c r="AI324" s="419">
        <v>38.72941176470588</v>
      </c>
      <c r="AJ324" s="419">
        <v>4.7058823529411766</v>
      </c>
      <c r="AK324" s="419">
        <v>0</v>
      </c>
      <c r="AL324" s="419">
        <v>4.7058823529411766</v>
      </c>
      <c r="AM324" s="419">
        <v>39.623529411764707</v>
      </c>
      <c r="AN324" s="419">
        <v>3.8117647058823527</v>
      </c>
      <c r="AO324" s="419">
        <v>43.435294117647061</v>
      </c>
      <c r="AP324" s="420">
        <v>63.058823529411768</v>
      </c>
      <c r="AQ324" s="421">
        <v>0</v>
      </c>
      <c r="AR324" s="200">
        <v>150.4470588235294</v>
      </c>
      <c r="AS324" s="200">
        <v>218.49411764705883</v>
      </c>
      <c r="AT324" s="66">
        <v>368.94117647058823</v>
      </c>
      <c r="AU324" s="419">
        <v>0</v>
      </c>
      <c r="AV324" s="419">
        <v>9.4117647058823533</v>
      </c>
      <c r="AW324" s="75">
        <v>56.470588235294116</v>
      </c>
      <c r="AX324" s="419">
        <v>122.35294117647059</v>
      </c>
      <c r="AY324" s="66">
        <v>188.23529411764707</v>
      </c>
      <c r="AZ324" s="422">
        <v>0</v>
      </c>
      <c r="BA324" s="423">
        <v>19.764705882352942</v>
      </c>
      <c r="BB324" s="423">
        <v>0</v>
      </c>
      <c r="BC324" s="423">
        <v>19.764705882352942</v>
      </c>
      <c r="BD324" s="423">
        <v>0</v>
      </c>
      <c r="BE324" s="423">
        <v>19.764705882352942</v>
      </c>
      <c r="BF324" s="423">
        <v>75.294117647058826</v>
      </c>
      <c r="BG324" s="424">
        <v>95.058823529411768</v>
      </c>
      <c r="BH324" s="67">
        <v>652.23529411764707</v>
      </c>
      <c r="BI324" s="67">
        <v>1450340.9174594765</v>
      </c>
    </row>
    <row r="325" spans="1:61" x14ac:dyDescent="0.25">
      <c r="A325" s="142">
        <v>0</v>
      </c>
      <c r="B325" s="425">
        <v>40488</v>
      </c>
      <c r="C325" s="426">
        <v>40488</v>
      </c>
      <c r="D325" s="427">
        <v>39760</v>
      </c>
      <c r="E325" s="428">
        <v>37</v>
      </c>
      <c r="F325" s="429">
        <v>44</v>
      </c>
      <c r="G325" s="430"/>
      <c r="H325" s="431"/>
      <c r="I325" s="432"/>
      <c r="J325" s="432"/>
      <c r="K325" s="433">
        <v>941.17647058823525</v>
      </c>
      <c r="L325" s="433">
        <v>141.1764705882353</v>
      </c>
      <c r="M325" s="434">
        <v>1082.3529411764705</v>
      </c>
      <c r="N325" s="434">
        <v>592.94117647058829</v>
      </c>
      <c r="O325" s="434">
        <v>141.1764705882353</v>
      </c>
      <c r="P325" s="434">
        <v>734.11764705882354</v>
      </c>
      <c r="Q325" s="434">
        <v>51.764705882352942</v>
      </c>
      <c r="R325" s="434">
        <v>0</v>
      </c>
      <c r="S325" s="434">
        <v>51.764705882352942</v>
      </c>
      <c r="T325" s="434">
        <v>207.05882352941177</v>
      </c>
      <c r="U325" s="434">
        <v>1270.5882352941176</v>
      </c>
      <c r="V325" s="434">
        <v>1477.6470588235295</v>
      </c>
      <c r="W325" s="434">
        <v>851.76470588235293</v>
      </c>
      <c r="X325" s="434">
        <v>1411.7647058823529</v>
      </c>
      <c r="Y325" s="434">
        <v>2263.5294117647059</v>
      </c>
      <c r="Z325" s="200">
        <v>3345.8823529411766</v>
      </c>
      <c r="AA325" s="434">
        <v>24</v>
      </c>
      <c r="AB325" s="434">
        <v>19.670588235294115</v>
      </c>
      <c r="AC325" s="434">
        <v>43.670588235294119</v>
      </c>
      <c r="AD325" s="434">
        <v>0</v>
      </c>
      <c r="AE325" s="434">
        <v>0</v>
      </c>
      <c r="AF325" s="434">
        <v>0</v>
      </c>
      <c r="AG325" s="434">
        <v>56</v>
      </c>
      <c r="AH325" s="434">
        <v>16.094117647058823</v>
      </c>
      <c r="AI325" s="434">
        <v>72.094117647058823</v>
      </c>
      <c r="AJ325" s="434">
        <v>34.823529411764703</v>
      </c>
      <c r="AK325" s="434">
        <v>38.588235294117645</v>
      </c>
      <c r="AL325" s="434">
        <v>73.411764705882348</v>
      </c>
      <c r="AM325" s="434">
        <v>90.82352941176471</v>
      </c>
      <c r="AN325" s="434">
        <v>54.682352941176475</v>
      </c>
      <c r="AO325" s="434">
        <v>145.50588235294117</v>
      </c>
      <c r="AP325" s="200">
        <v>189.1764705882353</v>
      </c>
      <c r="AQ325" s="435">
        <v>0</v>
      </c>
      <c r="AR325" s="200">
        <v>1126.0235294117647</v>
      </c>
      <c r="AS325" s="200">
        <v>2409.035294117647</v>
      </c>
      <c r="AT325" s="66">
        <v>3535.0588235294117</v>
      </c>
      <c r="AU325" s="434">
        <v>47.058823529411768</v>
      </c>
      <c r="AV325" s="434">
        <v>23.529411764705884</v>
      </c>
      <c r="AW325" s="75">
        <v>0</v>
      </c>
      <c r="AX325" s="434">
        <v>376.47058823529414</v>
      </c>
      <c r="AY325" s="66">
        <v>447.05882352941182</v>
      </c>
      <c r="AZ325" s="436">
        <v>0</v>
      </c>
      <c r="BA325" s="437">
        <v>188.23529411764707</v>
      </c>
      <c r="BB325" s="437">
        <v>894.11764705882354</v>
      </c>
      <c r="BC325" s="437">
        <v>188.23529411764707</v>
      </c>
      <c r="BD325" s="437">
        <v>894.11764705882354</v>
      </c>
      <c r="BE325" s="437">
        <v>1082.3529411764705</v>
      </c>
      <c r="BF325" s="437">
        <v>156.23529411764707</v>
      </c>
      <c r="BG325" s="276">
        <v>1238.5882352941176</v>
      </c>
      <c r="BH325" s="67">
        <v>5220.7058823529405</v>
      </c>
      <c r="BI325" s="67">
        <v>1455561.6233418295</v>
      </c>
    </row>
    <row r="326" spans="1:61" x14ac:dyDescent="0.25">
      <c r="A326" s="142">
        <v>0</v>
      </c>
      <c r="B326" s="132">
        <v>40489</v>
      </c>
      <c r="C326" s="292">
        <v>40489</v>
      </c>
      <c r="D326" s="96">
        <v>39761</v>
      </c>
      <c r="E326" s="97">
        <v>38</v>
      </c>
      <c r="F326" s="98">
        <v>44</v>
      </c>
      <c r="G326" s="99"/>
      <c r="H326" s="100"/>
      <c r="I326" s="293"/>
      <c r="J326" s="293"/>
      <c r="K326" s="438">
        <v>470.58823529411762</v>
      </c>
      <c r="L326" s="438">
        <v>75.294117647058826</v>
      </c>
      <c r="M326" s="294">
        <v>545.88235294117646</v>
      </c>
      <c r="N326" s="294">
        <v>658.82352941176475</v>
      </c>
      <c r="O326" s="294">
        <v>301.1764705882353</v>
      </c>
      <c r="P326" s="294">
        <v>960</v>
      </c>
      <c r="Q326" s="294">
        <v>48.941176470588232</v>
      </c>
      <c r="R326" s="294">
        <v>0</v>
      </c>
      <c r="S326" s="294">
        <v>48.941176470588232</v>
      </c>
      <c r="T326" s="294">
        <v>282.35294117647061</v>
      </c>
      <c r="U326" s="294">
        <v>2296.4705882352941</v>
      </c>
      <c r="V326" s="294">
        <v>2578.8235294117649</v>
      </c>
      <c r="W326" s="294">
        <v>990.11764705882354</v>
      </c>
      <c r="X326" s="294">
        <v>2597.6470588235293</v>
      </c>
      <c r="Y326" s="294">
        <v>3587.7647058823532</v>
      </c>
      <c r="Z326" s="200">
        <v>4133.6470588235297</v>
      </c>
      <c r="AA326" s="294">
        <v>20.894117647058824</v>
      </c>
      <c r="AB326" s="294">
        <v>21.741176470588236</v>
      </c>
      <c r="AC326" s="294">
        <v>42.635294117647057</v>
      </c>
      <c r="AD326" s="294">
        <v>0</v>
      </c>
      <c r="AE326" s="294">
        <v>0</v>
      </c>
      <c r="AF326" s="294">
        <v>0</v>
      </c>
      <c r="AG326" s="294">
        <v>48.752941176470586</v>
      </c>
      <c r="AH326" s="294">
        <v>17.788235294117644</v>
      </c>
      <c r="AI326" s="294">
        <v>66.541176470588226</v>
      </c>
      <c r="AJ326" s="294">
        <v>24.470588235294116</v>
      </c>
      <c r="AK326" s="294">
        <v>68.705882352941174</v>
      </c>
      <c r="AL326" s="294">
        <v>93.17647058823529</v>
      </c>
      <c r="AM326" s="294">
        <v>73.223529411764702</v>
      </c>
      <c r="AN326" s="294">
        <v>86.494117647058829</v>
      </c>
      <c r="AO326" s="294">
        <v>159.71764705882353</v>
      </c>
      <c r="AP326" s="200">
        <v>202.35294117647058</v>
      </c>
      <c r="AQ326" s="439">
        <v>0</v>
      </c>
      <c r="AR326" s="200">
        <v>588.51764705882351</v>
      </c>
      <c r="AS326" s="200">
        <v>3747.4823529411765</v>
      </c>
      <c r="AT326" s="66">
        <v>4336</v>
      </c>
      <c r="AU326" s="294">
        <v>0</v>
      </c>
      <c r="AV326" s="294">
        <v>32.941176470588232</v>
      </c>
      <c r="AW326" s="75">
        <v>57.411764705882355</v>
      </c>
      <c r="AX326" s="294">
        <v>216.47058823529412</v>
      </c>
      <c r="AY326" s="66">
        <v>306.8235294117647</v>
      </c>
      <c r="AZ326" s="296">
        <v>0</v>
      </c>
      <c r="BA326" s="101">
        <v>188.23529411764707</v>
      </c>
      <c r="BB326" s="101">
        <v>941.17647058823525</v>
      </c>
      <c r="BC326" s="101">
        <v>188.23529411764707</v>
      </c>
      <c r="BD326" s="101">
        <v>941.17647058823525</v>
      </c>
      <c r="BE326" s="101">
        <v>1129.4117647058824</v>
      </c>
      <c r="BF326" s="101">
        <v>42.352941176470587</v>
      </c>
      <c r="BG326" s="66">
        <v>1171.7647058823529</v>
      </c>
      <c r="BH326" s="67">
        <v>5814.5882352941171</v>
      </c>
      <c r="BI326" s="67">
        <v>1461376.2115771237</v>
      </c>
    </row>
    <row r="327" spans="1:61" x14ac:dyDescent="0.25">
      <c r="A327" s="142">
        <v>0</v>
      </c>
      <c r="B327" s="95">
        <v>40490</v>
      </c>
      <c r="C327" s="440">
        <v>40490</v>
      </c>
      <c r="D327" s="133">
        <v>39762</v>
      </c>
      <c r="E327" s="134">
        <v>39</v>
      </c>
      <c r="F327" s="135">
        <v>45</v>
      </c>
      <c r="G327" s="136"/>
      <c r="H327" s="137"/>
      <c r="I327" s="441"/>
      <c r="J327" s="441"/>
      <c r="K327" s="438">
        <v>470.58823529411762</v>
      </c>
      <c r="L327" s="438">
        <v>282.35294117647061</v>
      </c>
      <c r="M327" s="438">
        <v>752.94117647058829</v>
      </c>
      <c r="N327" s="438">
        <v>479.05882352941177</v>
      </c>
      <c r="O327" s="438">
        <v>207.05882352941177</v>
      </c>
      <c r="P327" s="438">
        <v>686.11764705882354</v>
      </c>
      <c r="Q327" s="438">
        <v>49.882352941176471</v>
      </c>
      <c r="R327" s="438">
        <v>0</v>
      </c>
      <c r="S327" s="438">
        <v>49.882352941176471</v>
      </c>
      <c r="T327" s="438">
        <v>197.64705882352942</v>
      </c>
      <c r="U327" s="438">
        <v>1496.4705882352941</v>
      </c>
      <c r="V327" s="438">
        <v>1694.1176470588234</v>
      </c>
      <c r="W327" s="438">
        <v>726.58823529411768</v>
      </c>
      <c r="X327" s="438">
        <v>1703.5294117647059</v>
      </c>
      <c r="Y327" s="438">
        <v>2430.1176470588234</v>
      </c>
      <c r="Z327" s="200">
        <v>3183.0588235294117</v>
      </c>
      <c r="AA327" s="438">
        <v>16.094117647058823</v>
      </c>
      <c r="AB327" s="438">
        <v>18.117647058823529</v>
      </c>
      <c r="AC327" s="438">
        <v>34.211764705882352</v>
      </c>
      <c r="AD327" s="438">
        <v>0</v>
      </c>
      <c r="AE327" s="438">
        <v>0</v>
      </c>
      <c r="AF327" s="438">
        <v>0</v>
      </c>
      <c r="AG327" s="438">
        <v>37.55294117647059</v>
      </c>
      <c r="AH327" s="438">
        <v>14.823529411764707</v>
      </c>
      <c r="AI327" s="438">
        <v>52.376470588235293</v>
      </c>
      <c r="AJ327" s="438">
        <v>11.294117647058824</v>
      </c>
      <c r="AK327" s="438">
        <v>48</v>
      </c>
      <c r="AL327" s="438">
        <v>59.294117647058826</v>
      </c>
      <c r="AM327" s="438">
        <v>48.847058823529409</v>
      </c>
      <c r="AN327" s="438">
        <v>62.823529411764703</v>
      </c>
      <c r="AO327" s="438">
        <v>111.67058823529412</v>
      </c>
      <c r="AP327" s="200">
        <v>145.88235294117646</v>
      </c>
      <c r="AQ327" s="439">
        <v>0</v>
      </c>
      <c r="AR327" s="200">
        <v>787.15294117647068</v>
      </c>
      <c r="AS327" s="200">
        <v>2541.7882352941174</v>
      </c>
      <c r="AT327" s="66">
        <v>3328.9411764705883</v>
      </c>
      <c r="AU327" s="438">
        <v>0</v>
      </c>
      <c r="AV327" s="438">
        <v>0</v>
      </c>
      <c r="AW327" s="75">
        <v>0</v>
      </c>
      <c r="AX327" s="438">
        <v>0</v>
      </c>
      <c r="AY327" s="66">
        <v>0</v>
      </c>
      <c r="AZ327" s="442">
        <v>0</v>
      </c>
      <c r="BA327" s="101">
        <v>37.647058823529413</v>
      </c>
      <c r="BB327" s="101">
        <v>47.058823529411768</v>
      </c>
      <c r="BC327" s="101">
        <v>37.647058823529413</v>
      </c>
      <c r="BD327" s="101">
        <v>47.058823529411768</v>
      </c>
      <c r="BE327" s="101">
        <v>84.705882352941174</v>
      </c>
      <c r="BF327" s="101">
        <v>95.058823529411768</v>
      </c>
      <c r="BG327" s="66">
        <v>179.76470588235293</v>
      </c>
      <c r="BH327" s="67">
        <v>3508.7058823529414</v>
      </c>
      <c r="BI327" s="67">
        <v>1464884.9174594767</v>
      </c>
    </row>
    <row r="328" spans="1:61" x14ac:dyDescent="0.25">
      <c r="A328" s="142">
        <v>0</v>
      </c>
      <c r="B328" s="95">
        <v>40491</v>
      </c>
      <c r="C328" s="440">
        <v>40491</v>
      </c>
      <c r="D328" s="133">
        <v>39763</v>
      </c>
      <c r="E328" s="134">
        <v>40</v>
      </c>
      <c r="F328" s="135">
        <v>45</v>
      </c>
      <c r="G328" s="136"/>
      <c r="H328" s="137"/>
      <c r="I328" s="441"/>
      <c r="J328" s="441"/>
      <c r="K328" s="438">
        <v>470.58823529411762</v>
      </c>
      <c r="L328" s="438">
        <v>188.23529411764707</v>
      </c>
      <c r="M328" s="438">
        <v>658.82352941176464</v>
      </c>
      <c r="N328" s="438">
        <v>215.52941176470588</v>
      </c>
      <c r="O328" s="438">
        <v>51.764705882352942</v>
      </c>
      <c r="P328" s="438">
        <v>267.29411764705884</v>
      </c>
      <c r="Q328" s="438">
        <v>50.823529411764703</v>
      </c>
      <c r="R328" s="438">
        <v>0</v>
      </c>
      <c r="S328" s="438">
        <v>50.823529411764703</v>
      </c>
      <c r="T328" s="438">
        <v>51.764705882352942</v>
      </c>
      <c r="U328" s="438">
        <v>423.52941176470586</v>
      </c>
      <c r="V328" s="438">
        <v>475.29411764705884</v>
      </c>
      <c r="W328" s="438">
        <v>318.11764705882354</v>
      </c>
      <c r="X328" s="438">
        <v>475.29411764705884</v>
      </c>
      <c r="Y328" s="438">
        <v>793.41176470588232</v>
      </c>
      <c r="Z328" s="200">
        <v>1452.2352941176471</v>
      </c>
      <c r="AA328" s="438">
        <v>3.6705882352941175</v>
      </c>
      <c r="AB328" s="438">
        <v>4.1411764705882357</v>
      </c>
      <c r="AC328" s="438">
        <v>7.8117647058823536</v>
      </c>
      <c r="AD328" s="438">
        <v>0</v>
      </c>
      <c r="AE328" s="438">
        <v>0</v>
      </c>
      <c r="AF328" s="438">
        <v>0</v>
      </c>
      <c r="AG328" s="438">
        <v>8.5647058823529409</v>
      </c>
      <c r="AH328" s="438">
        <v>3.388235294117647</v>
      </c>
      <c r="AI328" s="438">
        <v>11.952941176470588</v>
      </c>
      <c r="AJ328" s="438">
        <v>5.6470588235294121</v>
      </c>
      <c r="AK328" s="438">
        <v>7.5294117647058822</v>
      </c>
      <c r="AL328" s="438">
        <v>13.176470588235293</v>
      </c>
      <c r="AM328" s="438">
        <v>14.211764705882352</v>
      </c>
      <c r="AN328" s="438">
        <v>10.91764705882353</v>
      </c>
      <c r="AO328" s="438">
        <v>25.129411764705882</v>
      </c>
      <c r="AP328" s="200">
        <v>32.941176470588232</v>
      </c>
      <c r="AQ328" s="439">
        <v>0</v>
      </c>
      <c r="AR328" s="200">
        <v>666.63529411764694</v>
      </c>
      <c r="AS328" s="200">
        <v>818.5411764705882</v>
      </c>
      <c r="AT328" s="66">
        <v>1485.1764705882351</v>
      </c>
      <c r="AU328" s="438">
        <v>0</v>
      </c>
      <c r="AV328" s="438">
        <v>0</v>
      </c>
      <c r="AW328" s="75">
        <v>0</v>
      </c>
      <c r="AX328" s="438">
        <v>0</v>
      </c>
      <c r="AY328" s="66">
        <v>0</v>
      </c>
      <c r="AZ328" s="442">
        <v>0</v>
      </c>
      <c r="BA328" s="101">
        <v>0</v>
      </c>
      <c r="BB328" s="101">
        <v>0</v>
      </c>
      <c r="BC328" s="101">
        <v>0</v>
      </c>
      <c r="BD328" s="101">
        <v>0</v>
      </c>
      <c r="BE328" s="101">
        <v>0</v>
      </c>
      <c r="BF328" s="101">
        <v>49.882352941176471</v>
      </c>
      <c r="BG328" s="66">
        <v>49.882352941176471</v>
      </c>
      <c r="BH328" s="67">
        <v>1535.0588235294117</v>
      </c>
      <c r="BI328" s="67">
        <v>1466419.9762830061</v>
      </c>
    </row>
    <row r="329" spans="1:61" ht="13.8" thickBot="1" x14ac:dyDescent="0.3">
      <c r="A329" s="142">
        <v>0</v>
      </c>
      <c r="B329" s="102">
        <v>40492</v>
      </c>
      <c r="C329" s="443">
        <v>40492</v>
      </c>
      <c r="D329" s="103">
        <v>39764</v>
      </c>
      <c r="E329" s="104">
        <v>41</v>
      </c>
      <c r="F329" s="105">
        <v>45</v>
      </c>
      <c r="G329" s="106"/>
      <c r="H329" s="107"/>
      <c r="I329" s="444"/>
      <c r="J329" s="444"/>
      <c r="K329" s="445">
        <v>564.70588235294122</v>
      </c>
      <c r="L329" s="445">
        <v>80</v>
      </c>
      <c r="M329" s="445">
        <v>644.70588235294122</v>
      </c>
      <c r="N329" s="445">
        <v>68.705882352941174</v>
      </c>
      <c r="O329" s="445">
        <v>14.117647058823529</v>
      </c>
      <c r="P329" s="445">
        <v>82.82352941176471</v>
      </c>
      <c r="Q329" s="445">
        <v>5.6470588235294121</v>
      </c>
      <c r="R329" s="445">
        <v>0</v>
      </c>
      <c r="S329" s="445">
        <v>5.6470588235294121</v>
      </c>
      <c r="T329" s="445">
        <v>28.235294117647058</v>
      </c>
      <c r="U329" s="445">
        <v>197.64705882352942</v>
      </c>
      <c r="V329" s="445">
        <v>225.88235294117646</v>
      </c>
      <c r="W329" s="445">
        <v>102.58823529411765</v>
      </c>
      <c r="X329" s="445">
        <v>211.76470588235293</v>
      </c>
      <c r="Y329" s="445">
        <v>314.35294117647061</v>
      </c>
      <c r="Z329" s="200">
        <v>959.05882352941171</v>
      </c>
      <c r="AA329" s="445">
        <v>2.5411764705882356</v>
      </c>
      <c r="AB329" s="445">
        <v>4.1411764705882357</v>
      </c>
      <c r="AC329" s="445">
        <v>6.6823529411764708</v>
      </c>
      <c r="AD329" s="445">
        <v>0</v>
      </c>
      <c r="AE329" s="445">
        <v>0</v>
      </c>
      <c r="AF329" s="445">
        <v>0</v>
      </c>
      <c r="AG329" s="445">
        <v>5.9294117647058826</v>
      </c>
      <c r="AH329" s="445">
        <v>3.388235294117647</v>
      </c>
      <c r="AI329" s="445">
        <v>9.3176470588235301</v>
      </c>
      <c r="AJ329" s="445">
        <v>3.7647058823529411</v>
      </c>
      <c r="AK329" s="445">
        <v>18.823529411764707</v>
      </c>
      <c r="AL329" s="445">
        <v>22.588235294117649</v>
      </c>
      <c r="AM329" s="445">
        <v>9.6941176470588246</v>
      </c>
      <c r="AN329" s="445">
        <v>22.211764705882356</v>
      </c>
      <c r="AO329" s="445">
        <v>31.90588235294118</v>
      </c>
      <c r="AP329" s="200">
        <v>38.588235294117652</v>
      </c>
      <c r="AQ329" s="446">
        <v>0</v>
      </c>
      <c r="AR329" s="200">
        <v>651.38823529411764</v>
      </c>
      <c r="AS329" s="200">
        <v>346.25882352941181</v>
      </c>
      <c r="AT329" s="66">
        <v>997.64705882352951</v>
      </c>
      <c r="AU329" s="445">
        <v>0</v>
      </c>
      <c r="AV329" s="445">
        <v>0</v>
      </c>
      <c r="AW329" s="75">
        <v>0</v>
      </c>
      <c r="AX329" s="445">
        <v>0</v>
      </c>
      <c r="AY329" s="66">
        <v>0</v>
      </c>
      <c r="AZ329" s="447">
        <v>0</v>
      </c>
      <c r="BA329" s="108">
        <v>61.176470588235297</v>
      </c>
      <c r="BB329" s="108">
        <v>0</v>
      </c>
      <c r="BC329" s="108">
        <v>61.176470588235297</v>
      </c>
      <c r="BD329" s="108">
        <v>0</v>
      </c>
      <c r="BE329" s="108">
        <v>61.176470588235297</v>
      </c>
      <c r="BF329" s="108">
        <v>47.058823529411768</v>
      </c>
      <c r="BG329" s="66">
        <v>108.23529411764707</v>
      </c>
      <c r="BH329" s="67">
        <v>1105.8823529411766</v>
      </c>
      <c r="BI329" s="67">
        <v>1467525.8586359473</v>
      </c>
    </row>
    <row r="330" spans="1:61" x14ac:dyDescent="0.25">
      <c r="A330" s="142">
        <v>0</v>
      </c>
      <c r="B330" s="109">
        <v>40493</v>
      </c>
      <c r="C330" s="271">
        <v>40493</v>
      </c>
      <c r="D330" s="110">
        <v>39765</v>
      </c>
      <c r="E330" s="111">
        <v>42</v>
      </c>
      <c r="F330" s="112">
        <v>45</v>
      </c>
      <c r="G330" s="113" t="s">
        <v>58</v>
      </c>
      <c r="H330" s="114"/>
      <c r="I330" s="272"/>
      <c r="J330" s="272"/>
      <c r="K330" s="273">
        <v>800</v>
      </c>
      <c r="L330" s="273">
        <v>94.117647058823536</v>
      </c>
      <c r="M330" s="273">
        <v>894.11764705882354</v>
      </c>
      <c r="N330" s="273">
        <v>61.176470588235297</v>
      </c>
      <c r="O330" s="273">
        <v>8.4705882352941178</v>
      </c>
      <c r="P330" s="273">
        <v>69.647058823529406</v>
      </c>
      <c r="Q330" s="273">
        <v>21.647058823529413</v>
      </c>
      <c r="R330" s="273">
        <v>0</v>
      </c>
      <c r="S330" s="273">
        <v>21.647058823529413</v>
      </c>
      <c r="T330" s="273">
        <v>18.823529411764707</v>
      </c>
      <c r="U330" s="273">
        <v>129.88235294117646</v>
      </c>
      <c r="V330" s="273">
        <v>148.70588235294119</v>
      </c>
      <c r="W330" s="273">
        <v>101.64705882352941</v>
      </c>
      <c r="X330" s="273">
        <v>138.35294117647058</v>
      </c>
      <c r="Y330" s="273">
        <v>240</v>
      </c>
      <c r="Z330" s="200">
        <v>1134.1176470588234</v>
      </c>
      <c r="AA330" s="273">
        <v>1.1294117647058823</v>
      </c>
      <c r="AB330" s="273">
        <v>2.5882352941176472</v>
      </c>
      <c r="AC330" s="273">
        <v>3.7176470588235295</v>
      </c>
      <c r="AD330" s="273">
        <v>0</v>
      </c>
      <c r="AE330" s="273">
        <v>0</v>
      </c>
      <c r="AF330" s="273">
        <v>0</v>
      </c>
      <c r="AG330" s="273">
        <v>2.6352941176470588</v>
      </c>
      <c r="AH330" s="273">
        <v>2.1176470588235294</v>
      </c>
      <c r="AI330" s="273">
        <v>4.7529411764705882</v>
      </c>
      <c r="AJ330" s="273">
        <v>5.6470588235294121</v>
      </c>
      <c r="AK330" s="273">
        <v>11.294117647058824</v>
      </c>
      <c r="AL330" s="273">
        <v>16.941176470588236</v>
      </c>
      <c r="AM330" s="273">
        <v>8.2823529411764714</v>
      </c>
      <c r="AN330" s="273">
        <v>13.411764705882353</v>
      </c>
      <c r="AO330" s="273">
        <v>21.694117647058825</v>
      </c>
      <c r="AP330" s="200">
        <v>25.411764705882351</v>
      </c>
      <c r="AQ330" s="274">
        <v>0</v>
      </c>
      <c r="AR330" s="200">
        <v>897.83529411764709</v>
      </c>
      <c r="AS330" s="200">
        <v>261.69411764705882</v>
      </c>
      <c r="AT330" s="66">
        <v>1159.5294117647059</v>
      </c>
      <c r="AU330" s="273">
        <v>0</v>
      </c>
      <c r="AV330" s="273">
        <v>0</v>
      </c>
      <c r="AW330" s="75">
        <v>0</v>
      </c>
      <c r="AX330" s="273">
        <v>141.1764705882353</v>
      </c>
      <c r="AY330" s="66">
        <v>141.1764705882353</v>
      </c>
      <c r="AZ330" s="275">
        <v>0</v>
      </c>
      <c r="BA330" s="115">
        <v>28.235294117647058</v>
      </c>
      <c r="BB330" s="115">
        <v>0</v>
      </c>
      <c r="BC330" s="115">
        <v>28.235294117647058</v>
      </c>
      <c r="BD330" s="115">
        <v>0</v>
      </c>
      <c r="BE330" s="115">
        <v>28.235294117647058</v>
      </c>
      <c r="BF330" s="115">
        <v>82.82352941176471</v>
      </c>
      <c r="BG330" s="66">
        <v>111.05882352941177</v>
      </c>
      <c r="BH330" s="67">
        <v>1411.7647058823529</v>
      </c>
      <c r="BI330" s="67">
        <v>1468937.6233418297</v>
      </c>
    </row>
    <row r="331" spans="1:61" x14ac:dyDescent="0.25">
      <c r="A331" s="142">
        <v>0</v>
      </c>
      <c r="B331" s="68">
        <v>40494</v>
      </c>
      <c r="C331" s="198">
        <v>40494</v>
      </c>
      <c r="D331" s="69">
        <v>39766</v>
      </c>
      <c r="E331" s="70">
        <v>43</v>
      </c>
      <c r="F331" s="71">
        <v>45</v>
      </c>
      <c r="G331" s="72"/>
      <c r="H331" s="82"/>
      <c r="I331" s="210"/>
      <c r="J331" s="210"/>
      <c r="K331" s="235">
        <v>847.05882352941171</v>
      </c>
      <c r="L331" s="235">
        <v>47.058823529411768</v>
      </c>
      <c r="M331" s="235">
        <v>894.11764705882342</v>
      </c>
      <c r="N331" s="235">
        <v>56.470588235294116</v>
      </c>
      <c r="O331" s="235">
        <v>9.4117647058823533</v>
      </c>
      <c r="P331" s="235">
        <v>65.882352941176464</v>
      </c>
      <c r="Q331" s="235">
        <v>7.5294117647058822</v>
      </c>
      <c r="R331" s="235">
        <v>0</v>
      </c>
      <c r="S331" s="235">
        <v>7.5294117647058822</v>
      </c>
      <c r="T331" s="235">
        <v>39.529411764705884</v>
      </c>
      <c r="U331" s="235">
        <v>188.23529411764707</v>
      </c>
      <c r="V331" s="235">
        <v>227.76470588235293</v>
      </c>
      <c r="W331" s="235">
        <v>103.52941176470588</v>
      </c>
      <c r="X331" s="235">
        <v>197.64705882352942</v>
      </c>
      <c r="Y331" s="235">
        <v>301.1764705882353</v>
      </c>
      <c r="Z331" s="200">
        <v>1195.2941176470588</v>
      </c>
      <c r="AA331" s="235">
        <v>1.6941176470588235</v>
      </c>
      <c r="AB331" s="235">
        <v>3.6235294117647059</v>
      </c>
      <c r="AC331" s="235">
        <v>5.3176470588235301</v>
      </c>
      <c r="AD331" s="235">
        <v>0</v>
      </c>
      <c r="AE331" s="235">
        <v>0</v>
      </c>
      <c r="AF331" s="235">
        <v>0</v>
      </c>
      <c r="AG331" s="235">
        <v>3.9529411764705884</v>
      </c>
      <c r="AH331" s="235">
        <v>2.9647058823529413</v>
      </c>
      <c r="AI331" s="235">
        <v>6.9176470588235288</v>
      </c>
      <c r="AJ331" s="235">
        <v>3.7647058823529411</v>
      </c>
      <c r="AK331" s="235">
        <v>3.7647058823529411</v>
      </c>
      <c r="AL331" s="235">
        <v>7.5294117647058822</v>
      </c>
      <c r="AM331" s="235">
        <v>7.7176470588235286</v>
      </c>
      <c r="AN331" s="235">
        <v>6.7294117647058824</v>
      </c>
      <c r="AO331" s="235">
        <v>14.447058823529412</v>
      </c>
      <c r="AP331" s="200">
        <v>19.764705882352942</v>
      </c>
      <c r="AQ331" s="141">
        <v>0</v>
      </c>
      <c r="AR331" s="200">
        <v>899.435294117647</v>
      </c>
      <c r="AS331" s="200">
        <v>315.62352941176471</v>
      </c>
      <c r="AT331" s="66">
        <v>1215.0588235294117</v>
      </c>
      <c r="AU331" s="235">
        <v>0</v>
      </c>
      <c r="AV331" s="235">
        <v>0</v>
      </c>
      <c r="AW331" s="75">
        <v>0</v>
      </c>
      <c r="AX331" s="235">
        <v>0</v>
      </c>
      <c r="AY331" s="66">
        <v>0</v>
      </c>
      <c r="AZ331" s="202">
        <v>0</v>
      </c>
      <c r="BA331" s="87">
        <v>32.941176470588232</v>
      </c>
      <c r="BB331" s="87">
        <v>0</v>
      </c>
      <c r="BC331" s="87">
        <v>32.941176470588232</v>
      </c>
      <c r="BD331" s="87">
        <v>0</v>
      </c>
      <c r="BE331" s="87">
        <v>32.941176470588232</v>
      </c>
      <c r="BF331" s="87">
        <v>112.94117647058823</v>
      </c>
      <c r="BG331" s="66">
        <v>145.88235294117646</v>
      </c>
      <c r="BH331" s="67">
        <v>1360.9411764705883</v>
      </c>
      <c r="BI331" s="67">
        <v>1470298.5645183004</v>
      </c>
    </row>
    <row r="332" spans="1:61" x14ac:dyDescent="0.25">
      <c r="A332" s="142">
        <v>0</v>
      </c>
      <c r="B332" s="85">
        <v>40495</v>
      </c>
      <c r="C332" s="203">
        <v>40495</v>
      </c>
      <c r="D332" s="76">
        <v>39767</v>
      </c>
      <c r="E332" s="77">
        <v>44</v>
      </c>
      <c r="F332" s="78">
        <v>45</v>
      </c>
      <c r="G332" s="79"/>
      <c r="H332" s="80"/>
      <c r="I332" s="212"/>
      <c r="J332" s="212"/>
      <c r="K332" s="231">
        <v>1585.8823529411766</v>
      </c>
      <c r="L332" s="231">
        <v>376.47058823529414</v>
      </c>
      <c r="M332" s="231">
        <v>1962.3529411764707</v>
      </c>
      <c r="N332" s="231">
        <v>517.64705882352939</v>
      </c>
      <c r="O332" s="231">
        <v>272.94117647058823</v>
      </c>
      <c r="P332" s="231">
        <v>790.58823529411768</v>
      </c>
      <c r="Q332" s="231">
        <v>48</v>
      </c>
      <c r="R332" s="231">
        <v>0</v>
      </c>
      <c r="S332" s="231">
        <v>48</v>
      </c>
      <c r="T332" s="231">
        <v>310.58823529411762</v>
      </c>
      <c r="U332" s="231">
        <v>997.64705882352939</v>
      </c>
      <c r="V332" s="231">
        <v>1308.2352941176471</v>
      </c>
      <c r="W332" s="231">
        <v>876.23529411764707</v>
      </c>
      <c r="X332" s="231">
        <v>1270.5882352941176</v>
      </c>
      <c r="Y332" s="231">
        <v>2146.8235294117649</v>
      </c>
      <c r="Z332" s="231">
        <v>4109.1764705882351</v>
      </c>
      <c r="AA332" s="231">
        <v>24.847058823529409</v>
      </c>
      <c r="AB332" s="231">
        <v>11.905882352941177</v>
      </c>
      <c r="AC332" s="231">
        <v>36.752941176470586</v>
      </c>
      <c r="AD332" s="231">
        <v>0</v>
      </c>
      <c r="AE332" s="231">
        <v>0</v>
      </c>
      <c r="AF332" s="231">
        <v>0</v>
      </c>
      <c r="AG332" s="231">
        <v>57.976470588235294</v>
      </c>
      <c r="AH332" s="231">
        <v>9.7411764705882344</v>
      </c>
      <c r="AI332" s="231">
        <v>67.71764705882353</v>
      </c>
      <c r="AJ332" s="231">
        <v>20.705882352941178</v>
      </c>
      <c r="AK332" s="231">
        <v>61.176470588235297</v>
      </c>
      <c r="AL332" s="231">
        <v>81.882352941176464</v>
      </c>
      <c r="AM332" s="231">
        <v>78.682352941176461</v>
      </c>
      <c r="AN332" s="231">
        <v>70.917647058823519</v>
      </c>
      <c r="AO332" s="231">
        <v>149.6</v>
      </c>
      <c r="AP332" s="231">
        <v>186.35294117647058</v>
      </c>
      <c r="AQ332" s="231">
        <v>0</v>
      </c>
      <c r="AR332" s="200">
        <v>1999.1058823529413</v>
      </c>
      <c r="AS332" s="200">
        <v>2296.4235294117648</v>
      </c>
      <c r="AT332" s="66">
        <v>4295.5294117647063</v>
      </c>
      <c r="AU332" s="231">
        <v>14.117647058823529</v>
      </c>
      <c r="AV332" s="231">
        <v>23.529411764705884</v>
      </c>
      <c r="AW332" s="75">
        <v>56.470588235294116</v>
      </c>
      <c r="AX332" s="231">
        <v>320</v>
      </c>
      <c r="AY332" s="66">
        <v>414.11764705882354</v>
      </c>
      <c r="AZ332" s="208">
        <v>0</v>
      </c>
      <c r="BA332" s="231">
        <v>403.76470588235293</v>
      </c>
      <c r="BB332" s="231">
        <v>1364.7058823529412</v>
      </c>
      <c r="BC332" s="231">
        <v>403.76470588235293</v>
      </c>
      <c r="BD332" s="231">
        <v>1390.1176470588234</v>
      </c>
      <c r="BE332" s="231">
        <v>1793.8823529411766</v>
      </c>
      <c r="BF332" s="231">
        <v>447.05882352941177</v>
      </c>
      <c r="BG332" s="66">
        <v>2240.9411764705883</v>
      </c>
      <c r="BH332" s="67">
        <v>6950.588235294118</v>
      </c>
      <c r="BI332" s="67">
        <v>1477249.1527535946</v>
      </c>
    </row>
    <row r="333" spans="1:61" x14ac:dyDescent="0.25">
      <c r="A333" s="142">
        <v>0</v>
      </c>
      <c r="B333" s="85">
        <v>40496</v>
      </c>
      <c r="C333" s="203">
        <v>40496</v>
      </c>
      <c r="D333" s="76">
        <v>39768</v>
      </c>
      <c r="E333" s="77">
        <v>45</v>
      </c>
      <c r="F333" s="78">
        <v>45</v>
      </c>
      <c r="G333" s="79"/>
      <c r="H333" s="80"/>
      <c r="I333" s="212"/>
      <c r="J333" s="212"/>
      <c r="K333" s="231">
        <v>1389.1764705882354</v>
      </c>
      <c r="L333" s="231">
        <v>254.11764705882354</v>
      </c>
      <c r="M333" s="231">
        <v>1643.294117647059</v>
      </c>
      <c r="N333" s="231">
        <v>320</v>
      </c>
      <c r="O333" s="231">
        <v>282.35294117647061</v>
      </c>
      <c r="P333" s="231">
        <v>602.35294117647061</v>
      </c>
      <c r="Q333" s="231">
        <v>39.529411764705884</v>
      </c>
      <c r="R333" s="231">
        <v>0</v>
      </c>
      <c r="S333" s="231">
        <v>39.529411764705884</v>
      </c>
      <c r="T333" s="231">
        <v>291.76470588235293</v>
      </c>
      <c r="U333" s="231">
        <v>894.11764705882354</v>
      </c>
      <c r="V333" s="231">
        <v>1185.8823529411766</v>
      </c>
      <c r="W333" s="231">
        <v>651.29411764705878</v>
      </c>
      <c r="X333" s="231">
        <v>1176.4705882352941</v>
      </c>
      <c r="Y333" s="231">
        <v>1827.7647058823529</v>
      </c>
      <c r="Z333" s="231">
        <v>3471.0588235294117</v>
      </c>
      <c r="AA333" s="231">
        <v>20.047058823529412</v>
      </c>
      <c r="AB333" s="231">
        <v>10.352941176470589</v>
      </c>
      <c r="AC333" s="231">
        <v>30.4</v>
      </c>
      <c r="AD333" s="231">
        <v>0</v>
      </c>
      <c r="AE333" s="231">
        <v>0</v>
      </c>
      <c r="AF333" s="231">
        <v>0</v>
      </c>
      <c r="AG333" s="231">
        <v>46.776470588235298</v>
      </c>
      <c r="AH333" s="231">
        <v>8.4705882352941178</v>
      </c>
      <c r="AI333" s="231">
        <v>55.247058823529414</v>
      </c>
      <c r="AJ333" s="231">
        <v>18.823529411764707</v>
      </c>
      <c r="AK333" s="231">
        <v>42.352941176470587</v>
      </c>
      <c r="AL333" s="231">
        <v>61.176470588235297</v>
      </c>
      <c r="AM333" s="231">
        <v>65.599999999999994</v>
      </c>
      <c r="AN333" s="231">
        <v>50.823529411764703</v>
      </c>
      <c r="AO333" s="231">
        <v>116.4235294117647</v>
      </c>
      <c r="AP333" s="231">
        <v>146.8235294117647</v>
      </c>
      <c r="AQ333" s="231">
        <v>0</v>
      </c>
      <c r="AR333" s="200">
        <v>1673.6941176470591</v>
      </c>
      <c r="AS333" s="200">
        <v>1944.1882352941177</v>
      </c>
      <c r="AT333" s="66">
        <v>3617.8823529411766</v>
      </c>
      <c r="AU333" s="231">
        <v>0</v>
      </c>
      <c r="AV333" s="231">
        <v>28.235294117647058</v>
      </c>
      <c r="AW333" s="75">
        <v>0</v>
      </c>
      <c r="AX333" s="231">
        <v>207.05882352941177</v>
      </c>
      <c r="AY333" s="66">
        <v>235.29411764705884</v>
      </c>
      <c r="AZ333" s="208">
        <v>0</v>
      </c>
      <c r="BA333" s="231">
        <v>376.47058823529414</v>
      </c>
      <c r="BB333" s="231">
        <v>1364.7058823529412</v>
      </c>
      <c r="BC333" s="231">
        <v>376.47058823529414</v>
      </c>
      <c r="BD333" s="231">
        <v>1388.2352941176471</v>
      </c>
      <c r="BE333" s="231">
        <v>1764.7058823529412</v>
      </c>
      <c r="BF333" s="231">
        <v>313.41176470588238</v>
      </c>
      <c r="BG333" s="66">
        <v>2078.1176470588234</v>
      </c>
      <c r="BH333" s="67">
        <v>5931.2941176470595</v>
      </c>
      <c r="BI333" s="67">
        <v>1483180.4468712416</v>
      </c>
    </row>
    <row r="334" spans="1:61" x14ac:dyDescent="0.25">
      <c r="A334" s="142">
        <v>0</v>
      </c>
      <c r="B334" s="81">
        <v>40497</v>
      </c>
      <c r="C334" s="198">
        <v>40497</v>
      </c>
      <c r="D334" s="69">
        <v>39769</v>
      </c>
      <c r="E334" s="70">
        <v>46</v>
      </c>
      <c r="F334" s="71">
        <v>46</v>
      </c>
      <c r="G334" s="72"/>
      <c r="H334" s="82"/>
      <c r="I334" s="210"/>
      <c r="J334" s="210"/>
      <c r="K334" s="84">
        <v>0</v>
      </c>
      <c r="L334" s="84">
        <v>0</v>
      </c>
      <c r="M334" s="84">
        <v>0</v>
      </c>
      <c r="N334" s="84">
        <v>0</v>
      </c>
      <c r="O334" s="84">
        <v>0</v>
      </c>
      <c r="P334" s="84">
        <v>0</v>
      </c>
      <c r="Q334" s="84">
        <v>0</v>
      </c>
      <c r="R334" s="84">
        <v>0</v>
      </c>
      <c r="S334" s="84">
        <v>0</v>
      </c>
      <c r="T334" s="84">
        <v>0</v>
      </c>
      <c r="U334" s="84">
        <v>0</v>
      </c>
      <c r="V334" s="84">
        <v>0</v>
      </c>
      <c r="W334" s="84">
        <v>0</v>
      </c>
      <c r="X334" s="84">
        <v>0</v>
      </c>
      <c r="Y334" s="84">
        <v>0</v>
      </c>
      <c r="Z334" s="84">
        <v>0</v>
      </c>
      <c r="AA334" s="84">
        <v>0</v>
      </c>
      <c r="AB334" s="84">
        <v>0</v>
      </c>
      <c r="AC334" s="84">
        <v>0</v>
      </c>
      <c r="AD334" s="84">
        <v>0</v>
      </c>
      <c r="AE334" s="84">
        <v>0</v>
      </c>
      <c r="AF334" s="84">
        <v>0</v>
      </c>
      <c r="AG334" s="84">
        <v>0</v>
      </c>
      <c r="AH334" s="84">
        <v>0</v>
      </c>
      <c r="AI334" s="84">
        <v>0</v>
      </c>
      <c r="AJ334" s="84">
        <v>0</v>
      </c>
      <c r="AK334" s="84">
        <v>0</v>
      </c>
      <c r="AL334" s="84">
        <v>0</v>
      </c>
      <c r="AM334" s="84">
        <v>0</v>
      </c>
      <c r="AN334" s="84">
        <v>0</v>
      </c>
      <c r="AO334" s="84">
        <v>0</v>
      </c>
      <c r="AP334" s="84">
        <v>0</v>
      </c>
      <c r="AQ334" s="84">
        <v>0</v>
      </c>
      <c r="AR334" s="200">
        <v>0</v>
      </c>
      <c r="AS334" s="200">
        <v>0</v>
      </c>
      <c r="AT334" s="66">
        <v>0</v>
      </c>
      <c r="AU334" s="448">
        <v>0</v>
      </c>
      <c r="AV334" s="448">
        <v>0</v>
      </c>
      <c r="AW334" s="75">
        <v>0</v>
      </c>
      <c r="AX334" s="448">
        <v>0</v>
      </c>
      <c r="AY334" s="66">
        <v>0</v>
      </c>
      <c r="AZ334" s="202">
        <v>0</v>
      </c>
      <c r="BA334" s="448">
        <v>0</v>
      </c>
      <c r="BB334" s="448">
        <v>0</v>
      </c>
      <c r="BC334" s="448">
        <v>0</v>
      </c>
      <c r="BD334" s="448">
        <v>0</v>
      </c>
      <c r="BE334" s="448">
        <v>0</v>
      </c>
      <c r="BF334" s="448">
        <v>0</v>
      </c>
      <c r="BG334" s="66">
        <v>0</v>
      </c>
      <c r="BH334" s="67">
        <v>0</v>
      </c>
      <c r="BI334" s="67">
        <v>1483180.4468712416</v>
      </c>
    </row>
    <row r="335" spans="1:61" x14ac:dyDescent="0.25">
      <c r="A335" s="142">
        <v>0</v>
      </c>
      <c r="B335" s="81">
        <v>40498</v>
      </c>
      <c r="C335" s="198">
        <v>40498</v>
      </c>
      <c r="D335" s="69">
        <v>39770</v>
      </c>
      <c r="E335" s="70">
        <v>47</v>
      </c>
      <c r="F335" s="71">
        <v>46</v>
      </c>
      <c r="G335" s="72"/>
      <c r="H335" s="82"/>
      <c r="I335" s="210"/>
      <c r="J335" s="210"/>
      <c r="K335" s="84">
        <v>0</v>
      </c>
      <c r="L335" s="84">
        <v>0</v>
      </c>
      <c r="M335" s="84">
        <v>0</v>
      </c>
      <c r="N335" s="84">
        <v>0</v>
      </c>
      <c r="O335" s="84">
        <v>0</v>
      </c>
      <c r="P335" s="84">
        <v>0</v>
      </c>
      <c r="Q335" s="84">
        <v>0</v>
      </c>
      <c r="R335" s="84">
        <v>0</v>
      </c>
      <c r="S335" s="84">
        <v>0</v>
      </c>
      <c r="T335" s="84">
        <v>0</v>
      </c>
      <c r="U335" s="84">
        <v>0</v>
      </c>
      <c r="V335" s="84">
        <v>0</v>
      </c>
      <c r="W335" s="84">
        <v>0</v>
      </c>
      <c r="X335" s="84">
        <v>0</v>
      </c>
      <c r="Y335" s="84">
        <v>0</v>
      </c>
      <c r="Z335" s="84">
        <v>0</v>
      </c>
      <c r="AA335" s="84">
        <v>0</v>
      </c>
      <c r="AB335" s="84">
        <v>0</v>
      </c>
      <c r="AC335" s="84">
        <v>0</v>
      </c>
      <c r="AD335" s="84">
        <v>0</v>
      </c>
      <c r="AE335" s="84">
        <v>0</v>
      </c>
      <c r="AF335" s="84">
        <v>0</v>
      </c>
      <c r="AG335" s="84">
        <v>0</v>
      </c>
      <c r="AH335" s="84">
        <v>0</v>
      </c>
      <c r="AI335" s="84">
        <v>0</v>
      </c>
      <c r="AJ335" s="84">
        <v>0</v>
      </c>
      <c r="AK335" s="84">
        <v>0</v>
      </c>
      <c r="AL335" s="84">
        <v>0</v>
      </c>
      <c r="AM335" s="84">
        <v>0</v>
      </c>
      <c r="AN335" s="84">
        <v>0</v>
      </c>
      <c r="AO335" s="84">
        <v>0</v>
      </c>
      <c r="AP335" s="84">
        <v>0</v>
      </c>
      <c r="AQ335" s="84">
        <v>0</v>
      </c>
      <c r="AR335" s="200">
        <v>0</v>
      </c>
      <c r="AS335" s="200">
        <v>0</v>
      </c>
      <c r="AT335" s="66">
        <v>0</v>
      </c>
      <c r="AU335" s="448">
        <v>0</v>
      </c>
      <c r="AV335" s="448">
        <v>0</v>
      </c>
      <c r="AW335" s="75">
        <v>0</v>
      </c>
      <c r="AX335" s="448">
        <v>0</v>
      </c>
      <c r="AY335" s="66">
        <v>0</v>
      </c>
      <c r="AZ335" s="202">
        <v>0</v>
      </c>
      <c r="BA335" s="448">
        <v>0</v>
      </c>
      <c r="BB335" s="448">
        <v>0</v>
      </c>
      <c r="BC335" s="448">
        <v>0</v>
      </c>
      <c r="BD335" s="448">
        <v>0</v>
      </c>
      <c r="BE335" s="448">
        <v>0</v>
      </c>
      <c r="BF335" s="448">
        <v>0</v>
      </c>
      <c r="BG335" s="66">
        <v>0</v>
      </c>
      <c r="BH335" s="67">
        <v>0</v>
      </c>
      <c r="BI335" s="67">
        <v>1483180.4468712416</v>
      </c>
    </row>
    <row r="336" spans="1:61" x14ac:dyDescent="0.25">
      <c r="A336" s="142">
        <v>0</v>
      </c>
      <c r="B336" s="81">
        <v>40499</v>
      </c>
      <c r="C336" s="198">
        <v>40499</v>
      </c>
      <c r="D336" s="69">
        <v>39771</v>
      </c>
      <c r="E336" s="70">
        <v>48</v>
      </c>
      <c r="F336" s="71">
        <v>46</v>
      </c>
      <c r="G336" s="72"/>
      <c r="H336" s="82"/>
      <c r="I336" s="210"/>
      <c r="J336" s="210"/>
      <c r="K336" s="84">
        <v>0</v>
      </c>
      <c r="L336" s="84">
        <v>0</v>
      </c>
      <c r="M336" s="84">
        <v>0</v>
      </c>
      <c r="N336" s="84">
        <v>0</v>
      </c>
      <c r="O336" s="84">
        <v>0</v>
      </c>
      <c r="P336" s="84">
        <v>0</v>
      </c>
      <c r="Q336" s="84">
        <v>0</v>
      </c>
      <c r="R336" s="84">
        <v>0</v>
      </c>
      <c r="S336" s="84">
        <v>0</v>
      </c>
      <c r="T336" s="84">
        <v>0</v>
      </c>
      <c r="U336" s="84">
        <v>0</v>
      </c>
      <c r="V336" s="84">
        <v>0</v>
      </c>
      <c r="W336" s="84">
        <v>0</v>
      </c>
      <c r="X336" s="84">
        <v>0</v>
      </c>
      <c r="Y336" s="84">
        <v>0</v>
      </c>
      <c r="Z336" s="84">
        <v>0</v>
      </c>
      <c r="AA336" s="84">
        <v>0</v>
      </c>
      <c r="AB336" s="84">
        <v>0</v>
      </c>
      <c r="AC336" s="84">
        <v>0</v>
      </c>
      <c r="AD336" s="84">
        <v>0</v>
      </c>
      <c r="AE336" s="84">
        <v>0</v>
      </c>
      <c r="AF336" s="84">
        <v>0</v>
      </c>
      <c r="AG336" s="84">
        <v>0</v>
      </c>
      <c r="AH336" s="84">
        <v>0</v>
      </c>
      <c r="AI336" s="84">
        <v>0</v>
      </c>
      <c r="AJ336" s="84">
        <v>0</v>
      </c>
      <c r="AK336" s="84">
        <v>0</v>
      </c>
      <c r="AL336" s="84">
        <v>0</v>
      </c>
      <c r="AM336" s="84">
        <v>0</v>
      </c>
      <c r="AN336" s="84">
        <v>0</v>
      </c>
      <c r="AO336" s="84">
        <v>0</v>
      </c>
      <c r="AP336" s="84">
        <v>0</v>
      </c>
      <c r="AQ336" s="84">
        <v>0</v>
      </c>
      <c r="AR336" s="200">
        <v>0</v>
      </c>
      <c r="AS336" s="200">
        <v>0</v>
      </c>
      <c r="AT336" s="66">
        <v>0</v>
      </c>
      <c r="AU336" s="448">
        <v>0</v>
      </c>
      <c r="AV336" s="448">
        <v>0</v>
      </c>
      <c r="AW336" s="75">
        <v>0</v>
      </c>
      <c r="AX336" s="448">
        <v>0</v>
      </c>
      <c r="AY336" s="66">
        <v>0</v>
      </c>
      <c r="AZ336" s="202">
        <v>0</v>
      </c>
      <c r="BA336" s="448">
        <v>0</v>
      </c>
      <c r="BB336" s="448">
        <v>0</v>
      </c>
      <c r="BC336" s="448">
        <v>0</v>
      </c>
      <c r="BD336" s="448">
        <v>0</v>
      </c>
      <c r="BE336" s="448">
        <v>0</v>
      </c>
      <c r="BF336" s="448">
        <v>0</v>
      </c>
      <c r="BG336" s="66">
        <v>0</v>
      </c>
      <c r="BH336" s="67">
        <v>0</v>
      </c>
      <c r="BI336" s="67">
        <v>1483180.4468712416</v>
      </c>
    </row>
    <row r="337" spans="1:61" x14ac:dyDescent="0.25">
      <c r="A337" s="142">
        <v>0</v>
      </c>
      <c r="B337" s="81">
        <v>40500</v>
      </c>
      <c r="C337" s="198">
        <v>40500</v>
      </c>
      <c r="D337" s="69">
        <v>39772</v>
      </c>
      <c r="E337" s="70">
        <v>49</v>
      </c>
      <c r="F337" s="71">
        <v>46</v>
      </c>
      <c r="G337" s="72"/>
      <c r="H337" s="82"/>
      <c r="I337" s="210"/>
      <c r="J337" s="210"/>
      <c r="K337" s="84">
        <v>0</v>
      </c>
      <c r="L337" s="84">
        <v>0</v>
      </c>
      <c r="M337" s="84">
        <v>0</v>
      </c>
      <c r="N337" s="84">
        <v>0</v>
      </c>
      <c r="O337" s="84">
        <v>0</v>
      </c>
      <c r="P337" s="84">
        <v>0</v>
      </c>
      <c r="Q337" s="84">
        <v>0</v>
      </c>
      <c r="R337" s="84">
        <v>0</v>
      </c>
      <c r="S337" s="84">
        <v>0</v>
      </c>
      <c r="T337" s="84">
        <v>0</v>
      </c>
      <c r="U337" s="84">
        <v>0</v>
      </c>
      <c r="V337" s="84">
        <v>0</v>
      </c>
      <c r="W337" s="84">
        <v>0</v>
      </c>
      <c r="X337" s="84">
        <v>0</v>
      </c>
      <c r="Y337" s="84">
        <v>0</v>
      </c>
      <c r="Z337" s="84">
        <v>0</v>
      </c>
      <c r="AA337" s="84">
        <v>0</v>
      </c>
      <c r="AB337" s="84">
        <v>0</v>
      </c>
      <c r="AC337" s="84">
        <v>0</v>
      </c>
      <c r="AD337" s="84">
        <v>0</v>
      </c>
      <c r="AE337" s="84">
        <v>0</v>
      </c>
      <c r="AF337" s="84">
        <v>0</v>
      </c>
      <c r="AG337" s="84">
        <v>0</v>
      </c>
      <c r="AH337" s="84">
        <v>0</v>
      </c>
      <c r="AI337" s="84">
        <v>0</v>
      </c>
      <c r="AJ337" s="84">
        <v>0</v>
      </c>
      <c r="AK337" s="84">
        <v>0</v>
      </c>
      <c r="AL337" s="84">
        <v>0</v>
      </c>
      <c r="AM337" s="84">
        <v>0</v>
      </c>
      <c r="AN337" s="84">
        <v>0</v>
      </c>
      <c r="AO337" s="84">
        <v>0</v>
      </c>
      <c r="AP337" s="84">
        <v>0</v>
      </c>
      <c r="AQ337" s="84">
        <v>0</v>
      </c>
      <c r="AR337" s="200">
        <v>0</v>
      </c>
      <c r="AS337" s="200">
        <v>0</v>
      </c>
      <c r="AT337" s="66">
        <v>0</v>
      </c>
      <c r="AU337" s="448">
        <v>0</v>
      </c>
      <c r="AV337" s="448">
        <v>0</v>
      </c>
      <c r="AW337" s="75">
        <v>0</v>
      </c>
      <c r="AX337" s="448">
        <v>0</v>
      </c>
      <c r="AY337" s="66">
        <v>0</v>
      </c>
      <c r="AZ337" s="202">
        <v>0</v>
      </c>
      <c r="BA337" s="448">
        <v>0</v>
      </c>
      <c r="BB337" s="448">
        <v>0</v>
      </c>
      <c r="BC337" s="448">
        <v>0</v>
      </c>
      <c r="BD337" s="448">
        <v>0</v>
      </c>
      <c r="BE337" s="448">
        <v>0</v>
      </c>
      <c r="BF337" s="448">
        <v>0</v>
      </c>
      <c r="BG337" s="66">
        <v>0</v>
      </c>
      <c r="BH337" s="67">
        <v>0</v>
      </c>
      <c r="BI337" s="67">
        <v>1483180.4468712416</v>
      </c>
    </row>
    <row r="338" spans="1:61" x14ac:dyDescent="0.25">
      <c r="A338" s="142">
        <v>0</v>
      </c>
      <c r="B338" s="81">
        <v>40501</v>
      </c>
      <c r="C338" s="198">
        <v>40501</v>
      </c>
      <c r="D338" s="69">
        <v>39773</v>
      </c>
      <c r="E338" s="70">
        <v>50</v>
      </c>
      <c r="F338" s="71">
        <v>46</v>
      </c>
      <c r="G338" s="72"/>
      <c r="H338" s="82"/>
      <c r="I338" s="210"/>
      <c r="J338" s="210"/>
      <c r="K338" s="84">
        <v>0</v>
      </c>
      <c r="L338" s="84">
        <v>0</v>
      </c>
      <c r="M338" s="84">
        <v>0</v>
      </c>
      <c r="N338" s="84">
        <v>0</v>
      </c>
      <c r="O338" s="84">
        <v>0</v>
      </c>
      <c r="P338" s="84">
        <v>0</v>
      </c>
      <c r="Q338" s="84">
        <v>0</v>
      </c>
      <c r="R338" s="84">
        <v>0</v>
      </c>
      <c r="S338" s="84">
        <v>0</v>
      </c>
      <c r="T338" s="84">
        <v>0</v>
      </c>
      <c r="U338" s="84">
        <v>0</v>
      </c>
      <c r="V338" s="84">
        <v>0</v>
      </c>
      <c r="W338" s="84">
        <v>0</v>
      </c>
      <c r="X338" s="84">
        <v>0</v>
      </c>
      <c r="Y338" s="84">
        <v>0</v>
      </c>
      <c r="Z338" s="84">
        <v>0</v>
      </c>
      <c r="AA338" s="84">
        <v>0</v>
      </c>
      <c r="AB338" s="84">
        <v>0</v>
      </c>
      <c r="AC338" s="84">
        <v>0</v>
      </c>
      <c r="AD338" s="84">
        <v>0</v>
      </c>
      <c r="AE338" s="84">
        <v>0</v>
      </c>
      <c r="AF338" s="84">
        <v>0</v>
      </c>
      <c r="AG338" s="84">
        <v>0</v>
      </c>
      <c r="AH338" s="84">
        <v>0</v>
      </c>
      <c r="AI338" s="84">
        <v>0</v>
      </c>
      <c r="AJ338" s="84">
        <v>0</v>
      </c>
      <c r="AK338" s="84">
        <v>0</v>
      </c>
      <c r="AL338" s="84">
        <v>0</v>
      </c>
      <c r="AM338" s="84">
        <v>0</v>
      </c>
      <c r="AN338" s="84">
        <v>0</v>
      </c>
      <c r="AO338" s="84">
        <v>0</v>
      </c>
      <c r="AP338" s="84">
        <v>0</v>
      </c>
      <c r="AQ338" s="84">
        <v>0</v>
      </c>
      <c r="AR338" s="200">
        <v>0</v>
      </c>
      <c r="AS338" s="200">
        <v>0</v>
      </c>
      <c r="AT338" s="66">
        <v>0</v>
      </c>
      <c r="AU338" s="448">
        <v>0</v>
      </c>
      <c r="AV338" s="448">
        <v>0</v>
      </c>
      <c r="AW338" s="75">
        <v>0</v>
      </c>
      <c r="AX338" s="448">
        <v>0</v>
      </c>
      <c r="AY338" s="66">
        <v>0</v>
      </c>
      <c r="AZ338" s="202">
        <v>0</v>
      </c>
      <c r="BA338" s="448">
        <v>0</v>
      </c>
      <c r="BB338" s="448">
        <v>0</v>
      </c>
      <c r="BC338" s="448">
        <v>0</v>
      </c>
      <c r="BD338" s="448">
        <v>0</v>
      </c>
      <c r="BE338" s="448">
        <v>0</v>
      </c>
      <c r="BF338" s="448">
        <v>0</v>
      </c>
      <c r="BG338" s="66">
        <v>0</v>
      </c>
      <c r="BH338" s="67">
        <v>0</v>
      </c>
      <c r="BI338" s="67">
        <v>1483180.4468712416</v>
      </c>
    </row>
    <row r="339" spans="1:61" x14ac:dyDescent="0.25">
      <c r="A339" s="142">
        <v>0</v>
      </c>
      <c r="B339" s="85">
        <v>40502</v>
      </c>
      <c r="C339" s="203">
        <v>40502</v>
      </c>
      <c r="D339" s="76">
        <v>39774</v>
      </c>
      <c r="E339" s="77">
        <v>51</v>
      </c>
      <c r="F339" s="78">
        <v>46</v>
      </c>
      <c r="G339" s="79"/>
      <c r="H339" s="80"/>
      <c r="I339" s="212"/>
      <c r="J339" s="212"/>
      <c r="K339" s="231">
        <v>668.23529411764707</v>
      </c>
      <c r="L339" s="231">
        <v>64</v>
      </c>
      <c r="M339" s="231">
        <v>732.23529411764707</v>
      </c>
      <c r="N339" s="231">
        <v>527.05882352941171</v>
      </c>
      <c r="O339" s="231">
        <v>263.52941176470586</v>
      </c>
      <c r="P339" s="231">
        <v>790.58823529411768</v>
      </c>
      <c r="Q339" s="231">
        <v>47.058823529411768</v>
      </c>
      <c r="R339" s="231">
        <v>0</v>
      </c>
      <c r="S339" s="231">
        <v>47.058823529411768</v>
      </c>
      <c r="T339" s="231">
        <v>282.35294117647061</v>
      </c>
      <c r="U339" s="231">
        <v>705.88235294117646</v>
      </c>
      <c r="V339" s="231">
        <v>988.23529411764707</v>
      </c>
      <c r="W339" s="231">
        <v>856.47058823529414</v>
      </c>
      <c r="X339" s="231">
        <v>969.41176470588232</v>
      </c>
      <c r="Y339" s="231">
        <v>1825.8823529411766</v>
      </c>
      <c r="Z339" s="231">
        <v>2558.1176470588234</v>
      </c>
      <c r="AA339" s="231">
        <v>24</v>
      </c>
      <c r="AB339" s="231">
        <v>22.258823529411764</v>
      </c>
      <c r="AC339" s="231">
        <v>46.258823529411764</v>
      </c>
      <c r="AD339" s="231">
        <v>0</v>
      </c>
      <c r="AE339" s="231">
        <v>0</v>
      </c>
      <c r="AF339" s="231">
        <v>0</v>
      </c>
      <c r="AG339" s="231">
        <v>56</v>
      </c>
      <c r="AH339" s="231">
        <v>18.211764705882356</v>
      </c>
      <c r="AI339" s="231">
        <v>74.211764705882345</v>
      </c>
      <c r="AJ339" s="231">
        <v>20.705882352941178</v>
      </c>
      <c r="AK339" s="231">
        <v>66.82352941176471</v>
      </c>
      <c r="AL339" s="231">
        <v>87.529411764705884</v>
      </c>
      <c r="AM339" s="231">
        <v>76.705882352941174</v>
      </c>
      <c r="AN339" s="231">
        <v>85.035294117647055</v>
      </c>
      <c r="AO339" s="231">
        <v>161.74117647058824</v>
      </c>
      <c r="AP339" s="231">
        <v>208</v>
      </c>
      <c r="AQ339" s="231">
        <v>0</v>
      </c>
      <c r="AR339" s="200">
        <v>778.49411764705883</v>
      </c>
      <c r="AS339" s="200">
        <v>1987.6235294117648</v>
      </c>
      <c r="AT339" s="66">
        <v>2766.1176470588234</v>
      </c>
      <c r="AU339" s="231">
        <v>14.117647058823529</v>
      </c>
      <c r="AV339" s="231">
        <v>32.941176470588232</v>
      </c>
      <c r="AW339" s="75">
        <v>282.35294117647061</v>
      </c>
      <c r="AX339" s="231">
        <v>635.29411764705878</v>
      </c>
      <c r="AY339" s="66">
        <v>964.70588235294122</v>
      </c>
      <c r="AZ339" s="208">
        <v>0</v>
      </c>
      <c r="BA339" s="231">
        <v>225.88235294117646</v>
      </c>
      <c r="BB339" s="231">
        <v>2254.1176470588234</v>
      </c>
      <c r="BC339" s="231">
        <v>225.88235294117646</v>
      </c>
      <c r="BD339" s="231">
        <v>2254.1176470588234</v>
      </c>
      <c r="BE339" s="231">
        <v>2480</v>
      </c>
      <c r="BF339" s="231">
        <v>0</v>
      </c>
      <c r="BG339" s="66">
        <v>2480</v>
      </c>
      <c r="BH339" s="67">
        <v>6210.8235294117649</v>
      </c>
      <c r="BI339" s="67">
        <v>1489391.2704006534</v>
      </c>
    </row>
    <row r="340" spans="1:61" x14ac:dyDescent="0.25">
      <c r="A340" s="142">
        <v>0</v>
      </c>
      <c r="B340" s="85">
        <v>40503</v>
      </c>
      <c r="C340" s="203">
        <v>40503</v>
      </c>
      <c r="D340" s="76">
        <v>39775</v>
      </c>
      <c r="E340" s="77">
        <v>52</v>
      </c>
      <c r="F340" s="78">
        <v>46</v>
      </c>
      <c r="G340" s="79"/>
      <c r="H340" s="80"/>
      <c r="I340" s="212"/>
      <c r="J340" s="212"/>
      <c r="K340" s="231">
        <v>357.64705882352939</v>
      </c>
      <c r="L340" s="231">
        <v>47.058823529411768</v>
      </c>
      <c r="M340" s="231">
        <v>404.70588235294116</v>
      </c>
      <c r="N340" s="231">
        <v>301.1764705882353</v>
      </c>
      <c r="O340" s="231">
        <v>188.23529411764707</v>
      </c>
      <c r="P340" s="231">
        <v>489.41176470588238</v>
      </c>
      <c r="Q340" s="231">
        <v>51.764705882352942</v>
      </c>
      <c r="R340" s="231">
        <v>0</v>
      </c>
      <c r="S340" s="231">
        <v>51.764705882352942</v>
      </c>
      <c r="T340" s="231">
        <v>263.52941176470586</v>
      </c>
      <c r="U340" s="231">
        <v>611.76470588235293</v>
      </c>
      <c r="V340" s="231">
        <v>875.29411764705878</v>
      </c>
      <c r="W340" s="231">
        <v>616.47058823529414</v>
      </c>
      <c r="X340" s="231">
        <v>800</v>
      </c>
      <c r="Y340" s="231">
        <v>1416.4705882352941</v>
      </c>
      <c r="Z340" s="231">
        <v>1821.1764705882354</v>
      </c>
      <c r="AA340" s="231">
        <v>22.588235294117649</v>
      </c>
      <c r="AB340" s="231">
        <v>15.529411764705882</v>
      </c>
      <c r="AC340" s="231">
        <v>38.117647058823529</v>
      </c>
      <c r="AD340" s="231">
        <v>0</v>
      </c>
      <c r="AE340" s="231">
        <v>0</v>
      </c>
      <c r="AF340" s="231">
        <v>0</v>
      </c>
      <c r="AG340" s="231">
        <v>52.705882352941174</v>
      </c>
      <c r="AH340" s="231">
        <v>12.705882352941176</v>
      </c>
      <c r="AI340" s="231">
        <v>65.411764705882348</v>
      </c>
      <c r="AJ340" s="231">
        <v>14.117647058823529</v>
      </c>
      <c r="AK340" s="231">
        <v>51.764705882352942</v>
      </c>
      <c r="AL340" s="231">
        <v>65.882352941176464</v>
      </c>
      <c r="AM340" s="231">
        <v>66.82352941176471</v>
      </c>
      <c r="AN340" s="231">
        <v>64.470588235294116</v>
      </c>
      <c r="AO340" s="231">
        <v>131.29411764705881</v>
      </c>
      <c r="AP340" s="231">
        <v>169.41176470588235</v>
      </c>
      <c r="AQ340" s="231">
        <v>0</v>
      </c>
      <c r="AR340" s="200">
        <v>442.8235294117647</v>
      </c>
      <c r="AS340" s="200">
        <v>1547.7647058823529</v>
      </c>
      <c r="AT340" s="66">
        <v>1990.5882352941176</v>
      </c>
      <c r="AU340" s="231">
        <v>0</v>
      </c>
      <c r="AV340" s="231">
        <v>46.833661694342808</v>
      </c>
      <c r="AW340" s="75">
        <v>0</v>
      </c>
      <c r="AX340" s="231">
        <v>207.05882352941177</v>
      </c>
      <c r="AY340" s="66">
        <v>253.89248522375459</v>
      </c>
      <c r="AZ340" s="208">
        <v>0</v>
      </c>
      <c r="BA340" s="231">
        <v>160</v>
      </c>
      <c r="BB340" s="231">
        <v>1957.6470588235295</v>
      </c>
      <c r="BC340" s="231">
        <v>160</v>
      </c>
      <c r="BD340" s="231">
        <v>1957.6470588235295</v>
      </c>
      <c r="BE340" s="231">
        <v>2117.6470588235293</v>
      </c>
      <c r="BF340" s="231">
        <v>40.470588235294116</v>
      </c>
      <c r="BG340" s="66">
        <v>2158.1176470588234</v>
      </c>
      <c r="BH340" s="67">
        <v>4402.5983675766956</v>
      </c>
      <c r="BI340" s="67">
        <v>1493793.8687682301</v>
      </c>
    </row>
    <row r="341" spans="1:61" x14ac:dyDescent="0.25">
      <c r="A341" s="142">
        <v>0</v>
      </c>
      <c r="B341" s="81">
        <v>40504</v>
      </c>
      <c r="C341" s="198">
        <v>40504</v>
      </c>
      <c r="D341" s="69">
        <v>39776</v>
      </c>
      <c r="E341" s="70">
        <v>53</v>
      </c>
      <c r="F341" s="71">
        <v>47</v>
      </c>
      <c r="G341" s="72"/>
      <c r="H341" s="82"/>
      <c r="I341" s="210"/>
      <c r="J341" s="210"/>
      <c r="K341" s="84">
        <v>0</v>
      </c>
      <c r="L341" s="84">
        <v>0</v>
      </c>
      <c r="M341" s="84">
        <v>0</v>
      </c>
      <c r="N341" s="84">
        <v>0</v>
      </c>
      <c r="O341" s="84">
        <v>0</v>
      </c>
      <c r="P341" s="84">
        <v>0</v>
      </c>
      <c r="Q341" s="84">
        <v>0</v>
      </c>
      <c r="R341" s="84">
        <v>0</v>
      </c>
      <c r="S341" s="84">
        <v>0</v>
      </c>
      <c r="T341" s="84">
        <v>0</v>
      </c>
      <c r="U341" s="84">
        <v>0</v>
      </c>
      <c r="V341" s="84">
        <v>0</v>
      </c>
      <c r="W341" s="84">
        <v>0</v>
      </c>
      <c r="X341" s="84">
        <v>0</v>
      </c>
      <c r="Y341" s="84">
        <v>0</v>
      </c>
      <c r="Z341" s="84">
        <v>0</v>
      </c>
      <c r="AA341" s="84">
        <v>0</v>
      </c>
      <c r="AB341" s="84">
        <v>0</v>
      </c>
      <c r="AC341" s="84">
        <v>0</v>
      </c>
      <c r="AD341" s="84">
        <v>0</v>
      </c>
      <c r="AE341" s="84">
        <v>0</v>
      </c>
      <c r="AF341" s="84">
        <v>0</v>
      </c>
      <c r="AG341" s="84">
        <v>0</v>
      </c>
      <c r="AH341" s="84">
        <v>0</v>
      </c>
      <c r="AI341" s="84">
        <v>0</v>
      </c>
      <c r="AJ341" s="84">
        <v>0</v>
      </c>
      <c r="AK341" s="84">
        <v>0</v>
      </c>
      <c r="AL341" s="84">
        <v>0</v>
      </c>
      <c r="AM341" s="84">
        <v>0</v>
      </c>
      <c r="AN341" s="84">
        <v>0</v>
      </c>
      <c r="AO341" s="84">
        <v>0</v>
      </c>
      <c r="AP341" s="84">
        <v>0</v>
      </c>
      <c r="AQ341" s="84">
        <v>0</v>
      </c>
      <c r="AR341" s="200">
        <v>0</v>
      </c>
      <c r="AS341" s="200">
        <v>0</v>
      </c>
      <c r="AT341" s="66">
        <v>0</v>
      </c>
      <c r="AU341" s="448">
        <v>0</v>
      </c>
      <c r="AV341" s="448">
        <v>0</v>
      </c>
      <c r="AW341" s="75">
        <v>0</v>
      </c>
      <c r="AX341" s="448">
        <v>0</v>
      </c>
      <c r="AY341" s="66">
        <v>0</v>
      </c>
      <c r="AZ341" s="202">
        <v>0</v>
      </c>
      <c r="BA341" s="448">
        <v>0</v>
      </c>
      <c r="BB341" s="448">
        <v>0</v>
      </c>
      <c r="BC341" s="448">
        <v>0</v>
      </c>
      <c r="BD341" s="448">
        <v>0</v>
      </c>
      <c r="BE341" s="448">
        <v>0</v>
      </c>
      <c r="BF341" s="448">
        <v>0</v>
      </c>
      <c r="BG341" s="66">
        <v>0</v>
      </c>
      <c r="BH341" s="67">
        <v>0</v>
      </c>
      <c r="BI341" s="67">
        <v>1493793.8687682301</v>
      </c>
    </row>
    <row r="342" spans="1:61" x14ac:dyDescent="0.25">
      <c r="A342" s="142">
        <v>0</v>
      </c>
      <c r="B342" s="81">
        <v>40505</v>
      </c>
      <c r="C342" s="198">
        <v>40505</v>
      </c>
      <c r="D342" s="69">
        <v>39777</v>
      </c>
      <c r="E342" s="70">
        <v>54</v>
      </c>
      <c r="F342" s="71">
        <v>47</v>
      </c>
      <c r="G342" s="72"/>
      <c r="H342" s="82"/>
      <c r="I342" s="210"/>
      <c r="J342" s="210"/>
      <c r="K342" s="84">
        <v>0</v>
      </c>
      <c r="L342" s="84">
        <v>0</v>
      </c>
      <c r="M342" s="84">
        <v>0</v>
      </c>
      <c r="N342" s="84">
        <v>0</v>
      </c>
      <c r="O342" s="84">
        <v>0</v>
      </c>
      <c r="P342" s="84">
        <v>0</v>
      </c>
      <c r="Q342" s="84">
        <v>0</v>
      </c>
      <c r="R342" s="84">
        <v>0</v>
      </c>
      <c r="S342" s="84">
        <v>0</v>
      </c>
      <c r="T342" s="84">
        <v>0</v>
      </c>
      <c r="U342" s="84">
        <v>0</v>
      </c>
      <c r="V342" s="84">
        <v>0</v>
      </c>
      <c r="W342" s="84">
        <v>0</v>
      </c>
      <c r="X342" s="84">
        <v>0</v>
      </c>
      <c r="Y342" s="84">
        <v>0</v>
      </c>
      <c r="Z342" s="84">
        <v>0</v>
      </c>
      <c r="AA342" s="84">
        <v>0</v>
      </c>
      <c r="AB342" s="84">
        <v>0</v>
      </c>
      <c r="AC342" s="84">
        <v>0</v>
      </c>
      <c r="AD342" s="84">
        <v>0</v>
      </c>
      <c r="AE342" s="84">
        <v>0</v>
      </c>
      <c r="AF342" s="84">
        <v>0</v>
      </c>
      <c r="AG342" s="84">
        <v>0</v>
      </c>
      <c r="AH342" s="84">
        <v>0</v>
      </c>
      <c r="AI342" s="84">
        <v>0</v>
      </c>
      <c r="AJ342" s="84">
        <v>0</v>
      </c>
      <c r="AK342" s="84">
        <v>0</v>
      </c>
      <c r="AL342" s="84">
        <v>0</v>
      </c>
      <c r="AM342" s="84">
        <v>0</v>
      </c>
      <c r="AN342" s="84">
        <v>0</v>
      </c>
      <c r="AO342" s="84">
        <v>0</v>
      </c>
      <c r="AP342" s="84">
        <v>0</v>
      </c>
      <c r="AQ342" s="84">
        <v>0</v>
      </c>
      <c r="AR342" s="200">
        <v>0</v>
      </c>
      <c r="AS342" s="200">
        <v>0</v>
      </c>
      <c r="AT342" s="66">
        <v>0</v>
      </c>
      <c r="AU342" s="448">
        <v>0</v>
      </c>
      <c r="AV342" s="448">
        <v>0</v>
      </c>
      <c r="AW342" s="75">
        <v>0</v>
      </c>
      <c r="AX342" s="448">
        <v>0</v>
      </c>
      <c r="AY342" s="66">
        <v>0</v>
      </c>
      <c r="AZ342" s="202">
        <v>0</v>
      </c>
      <c r="BA342" s="448">
        <v>0</v>
      </c>
      <c r="BB342" s="448">
        <v>0</v>
      </c>
      <c r="BC342" s="448">
        <v>0</v>
      </c>
      <c r="BD342" s="448">
        <v>0</v>
      </c>
      <c r="BE342" s="448">
        <v>0</v>
      </c>
      <c r="BF342" s="448">
        <v>0</v>
      </c>
      <c r="BG342" s="66">
        <v>0</v>
      </c>
      <c r="BH342" s="67">
        <v>0</v>
      </c>
      <c r="BI342" s="67">
        <v>1493793.8687682301</v>
      </c>
    </row>
    <row r="343" spans="1:61" x14ac:dyDescent="0.25">
      <c r="A343" s="142">
        <v>0</v>
      </c>
      <c r="B343" s="81">
        <v>40506</v>
      </c>
      <c r="C343" s="198">
        <v>40506</v>
      </c>
      <c r="D343" s="69">
        <v>39778</v>
      </c>
      <c r="E343" s="70">
        <v>55</v>
      </c>
      <c r="F343" s="71">
        <v>47</v>
      </c>
      <c r="G343" s="72"/>
      <c r="H343" s="82"/>
      <c r="I343" s="210"/>
      <c r="J343" s="210"/>
      <c r="K343" s="84">
        <v>0</v>
      </c>
      <c r="L343" s="84">
        <v>0</v>
      </c>
      <c r="M343" s="84">
        <v>0</v>
      </c>
      <c r="N343" s="84">
        <v>0</v>
      </c>
      <c r="O343" s="84">
        <v>0</v>
      </c>
      <c r="P343" s="84">
        <v>0</v>
      </c>
      <c r="Q343" s="84">
        <v>0</v>
      </c>
      <c r="R343" s="84">
        <v>0</v>
      </c>
      <c r="S343" s="84">
        <v>0</v>
      </c>
      <c r="T343" s="84">
        <v>0</v>
      </c>
      <c r="U343" s="84">
        <v>0</v>
      </c>
      <c r="V343" s="84">
        <v>0</v>
      </c>
      <c r="W343" s="84">
        <v>0</v>
      </c>
      <c r="X343" s="84">
        <v>0</v>
      </c>
      <c r="Y343" s="84">
        <v>0</v>
      </c>
      <c r="Z343" s="84">
        <v>0</v>
      </c>
      <c r="AA343" s="84">
        <v>0</v>
      </c>
      <c r="AB343" s="84">
        <v>0</v>
      </c>
      <c r="AC343" s="84">
        <v>0</v>
      </c>
      <c r="AD343" s="84">
        <v>0</v>
      </c>
      <c r="AE343" s="84">
        <v>0</v>
      </c>
      <c r="AF343" s="84">
        <v>0</v>
      </c>
      <c r="AG343" s="84">
        <v>0</v>
      </c>
      <c r="AH343" s="84">
        <v>0</v>
      </c>
      <c r="AI343" s="84">
        <v>0</v>
      </c>
      <c r="AJ343" s="84">
        <v>0</v>
      </c>
      <c r="AK343" s="84">
        <v>0</v>
      </c>
      <c r="AL343" s="84">
        <v>0</v>
      </c>
      <c r="AM343" s="84">
        <v>0</v>
      </c>
      <c r="AN343" s="84">
        <v>0</v>
      </c>
      <c r="AO343" s="84">
        <v>0</v>
      </c>
      <c r="AP343" s="84">
        <v>0</v>
      </c>
      <c r="AQ343" s="84">
        <v>0</v>
      </c>
      <c r="AR343" s="200">
        <v>0</v>
      </c>
      <c r="AS343" s="200">
        <v>0</v>
      </c>
      <c r="AT343" s="66">
        <v>0</v>
      </c>
      <c r="AU343" s="448">
        <v>0</v>
      </c>
      <c r="AV343" s="448">
        <v>0</v>
      </c>
      <c r="AW343" s="75">
        <v>155.29411764705881</v>
      </c>
      <c r="AX343" s="448">
        <v>0</v>
      </c>
      <c r="AY343" s="66">
        <v>155.29411764705881</v>
      </c>
      <c r="AZ343" s="202">
        <v>0</v>
      </c>
      <c r="BA343" s="448">
        <v>0</v>
      </c>
      <c r="BB343" s="448">
        <v>0</v>
      </c>
      <c r="BC343" s="448">
        <v>0</v>
      </c>
      <c r="BD343" s="448">
        <v>0</v>
      </c>
      <c r="BE343" s="448">
        <v>0</v>
      </c>
      <c r="BF343" s="448">
        <v>0</v>
      </c>
      <c r="BG343" s="66">
        <v>0</v>
      </c>
      <c r="BH343" s="67">
        <v>155.29411764705881</v>
      </c>
      <c r="BI343" s="67">
        <v>1493949.1628858771</v>
      </c>
    </row>
    <row r="344" spans="1:61" x14ac:dyDescent="0.25">
      <c r="A344" s="142">
        <v>0</v>
      </c>
      <c r="B344" s="81">
        <v>40507</v>
      </c>
      <c r="C344" s="198">
        <v>40507</v>
      </c>
      <c r="D344" s="69">
        <v>39779</v>
      </c>
      <c r="E344" s="70">
        <v>56</v>
      </c>
      <c r="F344" s="71">
        <v>47</v>
      </c>
      <c r="G344" s="72"/>
      <c r="H344" s="82"/>
      <c r="I344" s="210"/>
      <c r="J344" s="210"/>
      <c r="K344" s="84">
        <v>0</v>
      </c>
      <c r="L344" s="84">
        <v>0</v>
      </c>
      <c r="M344" s="84">
        <v>0</v>
      </c>
      <c r="N344" s="84">
        <v>0</v>
      </c>
      <c r="O344" s="84">
        <v>0</v>
      </c>
      <c r="P344" s="84">
        <v>0</v>
      </c>
      <c r="Q344" s="84">
        <v>0</v>
      </c>
      <c r="R344" s="84">
        <v>0</v>
      </c>
      <c r="S344" s="84">
        <v>0</v>
      </c>
      <c r="T344" s="84">
        <v>0</v>
      </c>
      <c r="U344" s="84">
        <v>0</v>
      </c>
      <c r="V344" s="84">
        <v>0</v>
      </c>
      <c r="W344" s="84">
        <v>0</v>
      </c>
      <c r="X344" s="84">
        <v>0</v>
      </c>
      <c r="Y344" s="84">
        <v>0</v>
      </c>
      <c r="Z344" s="84">
        <v>0</v>
      </c>
      <c r="AA344" s="84">
        <v>0</v>
      </c>
      <c r="AB344" s="84">
        <v>0</v>
      </c>
      <c r="AC344" s="84">
        <v>0</v>
      </c>
      <c r="AD344" s="84">
        <v>0</v>
      </c>
      <c r="AE344" s="84">
        <v>0</v>
      </c>
      <c r="AF344" s="84">
        <v>0</v>
      </c>
      <c r="AG344" s="84">
        <v>0</v>
      </c>
      <c r="AH344" s="84">
        <v>0</v>
      </c>
      <c r="AI344" s="84">
        <v>0</v>
      </c>
      <c r="AJ344" s="84">
        <v>0</v>
      </c>
      <c r="AK344" s="84">
        <v>0</v>
      </c>
      <c r="AL344" s="84">
        <v>0</v>
      </c>
      <c r="AM344" s="84">
        <v>0</v>
      </c>
      <c r="AN344" s="84">
        <v>0</v>
      </c>
      <c r="AO344" s="84">
        <v>0</v>
      </c>
      <c r="AP344" s="84">
        <v>0</v>
      </c>
      <c r="AQ344" s="84">
        <v>0</v>
      </c>
      <c r="AR344" s="200">
        <v>0</v>
      </c>
      <c r="AS344" s="200">
        <v>0</v>
      </c>
      <c r="AT344" s="66">
        <v>0</v>
      </c>
      <c r="AU344" s="448">
        <v>0</v>
      </c>
      <c r="AV344" s="448">
        <v>0</v>
      </c>
      <c r="AW344" s="75">
        <v>0</v>
      </c>
      <c r="AX344" s="448">
        <v>0</v>
      </c>
      <c r="AY344" s="66">
        <v>0</v>
      </c>
      <c r="AZ344" s="202">
        <v>0</v>
      </c>
      <c r="BA344" s="448">
        <v>0</v>
      </c>
      <c r="BB344" s="448">
        <v>0</v>
      </c>
      <c r="BC344" s="448">
        <v>0</v>
      </c>
      <c r="BD344" s="448">
        <v>0</v>
      </c>
      <c r="BE344" s="448">
        <v>0</v>
      </c>
      <c r="BF344" s="448">
        <v>0</v>
      </c>
      <c r="BG344" s="66">
        <v>0</v>
      </c>
      <c r="BH344" s="67">
        <v>0</v>
      </c>
      <c r="BI344" s="67">
        <v>1493949.1628858771</v>
      </c>
    </row>
    <row r="345" spans="1:61" x14ac:dyDescent="0.25">
      <c r="A345" s="142">
        <v>0</v>
      </c>
      <c r="B345" s="81">
        <v>40508</v>
      </c>
      <c r="C345" s="198">
        <v>40508</v>
      </c>
      <c r="D345" s="69">
        <v>39780</v>
      </c>
      <c r="E345" s="70">
        <v>57</v>
      </c>
      <c r="F345" s="71">
        <v>47</v>
      </c>
      <c r="G345" s="72"/>
      <c r="H345" s="82"/>
      <c r="I345" s="210"/>
      <c r="J345" s="210"/>
      <c r="K345" s="84">
        <v>0</v>
      </c>
      <c r="L345" s="84">
        <v>0</v>
      </c>
      <c r="M345" s="84">
        <v>0</v>
      </c>
      <c r="N345" s="84">
        <v>0</v>
      </c>
      <c r="O345" s="84">
        <v>0</v>
      </c>
      <c r="P345" s="84">
        <v>0</v>
      </c>
      <c r="Q345" s="84">
        <v>0</v>
      </c>
      <c r="R345" s="84">
        <v>0</v>
      </c>
      <c r="S345" s="84">
        <v>0</v>
      </c>
      <c r="T345" s="84">
        <v>0</v>
      </c>
      <c r="U345" s="84">
        <v>0</v>
      </c>
      <c r="V345" s="84">
        <v>0</v>
      </c>
      <c r="W345" s="84">
        <v>0</v>
      </c>
      <c r="X345" s="84">
        <v>0</v>
      </c>
      <c r="Y345" s="84">
        <v>0</v>
      </c>
      <c r="Z345" s="84">
        <v>0</v>
      </c>
      <c r="AA345" s="84">
        <v>0</v>
      </c>
      <c r="AB345" s="84">
        <v>0</v>
      </c>
      <c r="AC345" s="84">
        <v>0</v>
      </c>
      <c r="AD345" s="84">
        <v>0</v>
      </c>
      <c r="AE345" s="84">
        <v>0</v>
      </c>
      <c r="AF345" s="84">
        <v>0</v>
      </c>
      <c r="AG345" s="84">
        <v>0</v>
      </c>
      <c r="AH345" s="84">
        <v>0</v>
      </c>
      <c r="AI345" s="84">
        <v>0</v>
      </c>
      <c r="AJ345" s="84">
        <v>0</v>
      </c>
      <c r="AK345" s="84">
        <v>0</v>
      </c>
      <c r="AL345" s="84">
        <v>0</v>
      </c>
      <c r="AM345" s="84">
        <v>0</v>
      </c>
      <c r="AN345" s="84">
        <v>0</v>
      </c>
      <c r="AO345" s="84">
        <v>0</v>
      </c>
      <c r="AP345" s="84">
        <v>0</v>
      </c>
      <c r="AQ345" s="84">
        <v>0</v>
      </c>
      <c r="AR345" s="200">
        <v>0</v>
      </c>
      <c r="AS345" s="200">
        <v>0</v>
      </c>
      <c r="AT345" s="66">
        <v>0</v>
      </c>
      <c r="AU345" s="448">
        <v>0</v>
      </c>
      <c r="AV345" s="448">
        <v>0</v>
      </c>
      <c r="AW345" s="75">
        <v>0</v>
      </c>
      <c r="AX345" s="448">
        <v>0</v>
      </c>
      <c r="AY345" s="66">
        <v>0</v>
      </c>
      <c r="AZ345" s="202">
        <v>0</v>
      </c>
      <c r="BA345" s="448">
        <v>0</v>
      </c>
      <c r="BB345" s="448">
        <v>0</v>
      </c>
      <c r="BC345" s="448">
        <v>0</v>
      </c>
      <c r="BD345" s="448">
        <v>0</v>
      </c>
      <c r="BE345" s="448">
        <v>0</v>
      </c>
      <c r="BF345" s="448">
        <v>0</v>
      </c>
      <c r="BG345" s="66">
        <v>0</v>
      </c>
      <c r="BH345" s="67">
        <v>0</v>
      </c>
      <c r="BI345" s="67">
        <v>1493949.1628858771</v>
      </c>
    </row>
    <row r="346" spans="1:61" x14ac:dyDescent="0.25">
      <c r="A346" s="142">
        <v>0</v>
      </c>
      <c r="B346" s="85">
        <v>40509</v>
      </c>
      <c r="C346" s="203">
        <v>40509</v>
      </c>
      <c r="D346" s="76">
        <v>39781</v>
      </c>
      <c r="E346" s="77">
        <v>58</v>
      </c>
      <c r="F346" s="78">
        <v>47</v>
      </c>
      <c r="G346" s="79"/>
      <c r="H346" s="80"/>
      <c r="I346" s="212"/>
      <c r="J346" s="212"/>
      <c r="K346" s="231">
        <v>698.35294117647061</v>
      </c>
      <c r="L346" s="231">
        <v>67.764705882352942</v>
      </c>
      <c r="M346" s="231">
        <v>766.11764705882354</v>
      </c>
      <c r="N346" s="231">
        <v>451.76470588235293</v>
      </c>
      <c r="O346" s="231">
        <v>225.88235294117646</v>
      </c>
      <c r="P346" s="231">
        <v>677.64705882352939</v>
      </c>
      <c r="Q346" s="231">
        <v>89.411764705882348</v>
      </c>
      <c r="R346" s="231">
        <v>0</v>
      </c>
      <c r="S346" s="231">
        <v>89.411764705882348</v>
      </c>
      <c r="T346" s="231">
        <v>320</v>
      </c>
      <c r="U346" s="231">
        <v>960</v>
      </c>
      <c r="V346" s="231">
        <v>1280</v>
      </c>
      <c r="W346" s="231">
        <v>861.17647058823525</v>
      </c>
      <c r="X346" s="231">
        <v>1185.8823529411766</v>
      </c>
      <c r="Y346" s="231">
        <v>2047.0588235294117</v>
      </c>
      <c r="Z346" s="231">
        <v>2813.1764705882351</v>
      </c>
      <c r="AA346" s="231">
        <v>14.964705882352941</v>
      </c>
      <c r="AB346" s="231">
        <v>19.152941176470591</v>
      </c>
      <c r="AC346" s="231">
        <v>34.117647058823529</v>
      </c>
      <c r="AD346" s="231">
        <v>4.7058823529411766</v>
      </c>
      <c r="AE346" s="231">
        <v>0</v>
      </c>
      <c r="AF346" s="231">
        <v>4.7058823529411766</v>
      </c>
      <c r="AG346" s="231">
        <v>34.917647058823533</v>
      </c>
      <c r="AH346" s="231">
        <v>15.670588235294117</v>
      </c>
      <c r="AI346" s="231">
        <v>50.588235294117645</v>
      </c>
      <c r="AJ346" s="231">
        <v>23.529411764705884</v>
      </c>
      <c r="AK346" s="231">
        <v>61.176470588235297</v>
      </c>
      <c r="AL346" s="231">
        <v>84.705882352941174</v>
      </c>
      <c r="AM346" s="231">
        <v>63.152941176470584</v>
      </c>
      <c r="AN346" s="231">
        <v>76.847058823529423</v>
      </c>
      <c r="AO346" s="231">
        <v>140</v>
      </c>
      <c r="AP346" s="231">
        <v>174.11764705882354</v>
      </c>
      <c r="AQ346" s="231">
        <v>0</v>
      </c>
      <c r="AR346" s="200">
        <v>800.23529411764707</v>
      </c>
      <c r="AS346" s="200">
        <v>2187.0588235294117</v>
      </c>
      <c r="AT346" s="66">
        <v>2987.2941176470586</v>
      </c>
      <c r="AU346" s="231">
        <v>14.117647058823529</v>
      </c>
      <c r="AV346" s="231">
        <v>28.235294117647058</v>
      </c>
      <c r="AW346" s="75">
        <v>141.1764705882353</v>
      </c>
      <c r="AX346" s="231">
        <v>282.35294117647061</v>
      </c>
      <c r="AY346" s="66">
        <v>465.88235294117646</v>
      </c>
      <c r="AZ346" s="208">
        <v>0</v>
      </c>
      <c r="BA346" s="231">
        <v>244.70588235294119</v>
      </c>
      <c r="BB346" s="231">
        <v>1929.4117647058824</v>
      </c>
      <c r="BC346" s="231">
        <v>244.70588235294119</v>
      </c>
      <c r="BD346" s="231">
        <v>1948.2352941176471</v>
      </c>
      <c r="BE346" s="231">
        <v>2192.9411764705883</v>
      </c>
      <c r="BF346" s="231">
        <v>0</v>
      </c>
      <c r="BG346" s="66">
        <v>2192.9411764705883</v>
      </c>
      <c r="BH346" s="67">
        <v>5646.1176470588234</v>
      </c>
      <c r="BI346" s="67">
        <v>1499595.2805329359</v>
      </c>
    </row>
    <row r="347" spans="1:61" x14ac:dyDescent="0.25">
      <c r="A347" s="142">
        <v>0</v>
      </c>
      <c r="B347" s="85">
        <v>40510</v>
      </c>
      <c r="C347" s="203">
        <v>40510</v>
      </c>
      <c r="D347" s="76">
        <v>39782</v>
      </c>
      <c r="E347" s="77">
        <v>59</v>
      </c>
      <c r="F347" s="78">
        <v>47</v>
      </c>
      <c r="G347" s="79"/>
      <c r="H347" s="80"/>
      <c r="I347" s="212"/>
      <c r="J347" s="212"/>
      <c r="K347" s="231">
        <v>432.94117647058823</v>
      </c>
      <c r="L347" s="231">
        <v>48.941176470588232</v>
      </c>
      <c r="M347" s="231">
        <v>481.88235294117646</v>
      </c>
      <c r="N347" s="231">
        <v>272.94117647058823</v>
      </c>
      <c r="O347" s="231">
        <v>235.29411764705881</v>
      </c>
      <c r="P347" s="231">
        <v>508.23529411764707</v>
      </c>
      <c r="Q347" s="231">
        <v>84.705882352941174</v>
      </c>
      <c r="R347" s="231">
        <v>0</v>
      </c>
      <c r="S347" s="231">
        <v>84.705882352941174</v>
      </c>
      <c r="T347" s="231">
        <v>282.35294117647061</v>
      </c>
      <c r="U347" s="231">
        <v>922.35294117647061</v>
      </c>
      <c r="V347" s="231">
        <v>1204.7058823529412</v>
      </c>
      <c r="W347" s="231">
        <v>640</v>
      </c>
      <c r="X347" s="231">
        <v>1157.6470588235295</v>
      </c>
      <c r="Y347" s="231">
        <v>1797.6470588235295</v>
      </c>
      <c r="Z347" s="231">
        <v>2279.5294117647059</v>
      </c>
      <c r="AA347" s="231">
        <v>13.835294117647058</v>
      </c>
      <c r="AB347" s="231">
        <v>15.011764705882353</v>
      </c>
      <c r="AC347" s="231">
        <v>28.847058823529409</v>
      </c>
      <c r="AD347" s="231">
        <v>0</v>
      </c>
      <c r="AE347" s="231">
        <v>0</v>
      </c>
      <c r="AF347" s="231">
        <v>0</v>
      </c>
      <c r="AG347" s="231">
        <v>32.28235294117647</v>
      </c>
      <c r="AH347" s="231">
        <v>12.282352941176471</v>
      </c>
      <c r="AI347" s="231">
        <v>44.564705882352939</v>
      </c>
      <c r="AJ347" s="231">
        <v>20.705882352941178</v>
      </c>
      <c r="AK347" s="231">
        <v>59.294117647058826</v>
      </c>
      <c r="AL347" s="231">
        <v>80</v>
      </c>
      <c r="AM347" s="231">
        <v>52.988235294117644</v>
      </c>
      <c r="AN347" s="231">
        <v>71.576470588235296</v>
      </c>
      <c r="AO347" s="231">
        <v>124.56470588235294</v>
      </c>
      <c r="AP347" s="231">
        <v>153.41176470588235</v>
      </c>
      <c r="AQ347" s="231">
        <v>0</v>
      </c>
      <c r="AR347" s="200">
        <v>510.7294117647059</v>
      </c>
      <c r="AS347" s="200">
        <v>1922.2117647058824</v>
      </c>
      <c r="AT347" s="66">
        <v>2432.9411764705883</v>
      </c>
      <c r="AU347" s="231">
        <v>0</v>
      </c>
      <c r="AV347" s="231">
        <v>32.941176470588232</v>
      </c>
      <c r="AW347" s="75">
        <v>0</v>
      </c>
      <c r="AX347" s="231">
        <v>188.23529411764707</v>
      </c>
      <c r="AY347" s="66">
        <v>221.1764705882353</v>
      </c>
      <c r="AZ347" s="208">
        <v>0</v>
      </c>
      <c r="BA347" s="231">
        <v>207.05882352941177</v>
      </c>
      <c r="BB347" s="231">
        <v>1816.4705882352941</v>
      </c>
      <c r="BC347" s="231">
        <v>207.05882352941177</v>
      </c>
      <c r="BD347" s="231">
        <v>1840</v>
      </c>
      <c r="BE347" s="231">
        <v>2047.0588235294117</v>
      </c>
      <c r="BF347" s="231">
        <v>28.235294117647058</v>
      </c>
      <c r="BG347" s="66">
        <v>2075.2941176470586</v>
      </c>
      <c r="BH347" s="67">
        <v>4729.411764705882</v>
      </c>
      <c r="BI347" s="67">
        <v>1504324.6922976417</v>
      </c>
    </row>
    <row r="348" spans="1:61" x14ac:dyDescent="0.25">
      <c r="A348" s="142">
        <v>0</v>
      </c>
      <c r="B348" s="81">
        <v>40511</v>
      </c>
      <c r="C348" s="198">
        <v>40511</v>
      </c>
      <c r="D348" s="69">
        <v>39783</v>
      </c>
      <c r="E348" s="70">
        <v>60</v>
      </c>
      <c r="F348" s="71">
        <v>48</v>
      </c>
      <c r="G348" s="72"/>
      <c r="H348" s="82"/>
      <c r="I348" s="210"/>
      <c r="J348" s="210"/>
      <c r="K348" s="84">
        <v>0</v>
      </c>
      <c r="L348" s="84">
        <v>0</v>
      </c>
      <c r="M348" s="84">
        <v>0</v>
      </c>
      <c r="N348" s="84">
        <v>0</v>
      </c>
      <c r="O348" s="84">
        <v>0</v>
      </c>
      <c r="P348" s="84">
        <v>0</v>
      </c>
      <c r="Q348" s="84">
        <v>0</v>
      </c>
      <c r="R348" s="84">
        <v>0</v>
      </c>
      <c r="S348" s="84">
        <v>0</v>
      </c>
      <c r="T348" s="84">
        <v>0</v>
      </c>
      <c r="U348" s="84">
        <v>0</v>
      </c>
      <c r="V348" s="84">
        <v>0</v>
      </c>
      <c r="W348" s="84">
        <v>0</v>
      </c>
      <c r="X348" s="84">
        <v>0</v>
      </c>
      <c r="Y348" s="84">
        <v>0</v>
      </c>
      <c r="Z348" s="84">
        <v>0</v>
      </c>
      <c r="AA348" s="84">
        <v>0</v>
      </c>
      <c r="AB348" s="84">
        <v>0</v>
      </c>
      <c r="AC348" s="84">
        <v>0</v>
      </c>
      <c r="AD348" s="84">
        <v>0</v>
      </c>
      <c r="AE348" s="84">
        <v>0</v>
      </c>
      <c r="AF348" s="84">
        <v>0</v>
      </c>
      <c r="AG348" s="84">
        <v>0</v>
      </c>
      <c r="AH348" s="84">
        <v>0</v>
      </c>
      <c r="AI348" s="84">
        <v>0</v>
      </c>
      <c r="AJ348" s="84">
        <v>0</v>
      </c>
      <c r="AK348" s="84">
        <v>0</v>
      </c>
      <c r="AL348" s="84">
        <v>0</v>
      </c>
      <c r="AM348" s="84">
        <v>0</v>
      </c>
      <c r="AN348" s="84">
        <v>0</v>
      </c>
      <c r="AO348" s="84">
        <v>0</v>
      </c>
      <c r="AP348" s="84">
        <v>0</v>
      </c>
      <c r="AQ348" s="84">
        <v>0</v>
      </c>
      <c r="AR348" s="200">
        <v>0</v>
      </c>
      <c r="AS348" s="200">
        <v>0</v>
      </c>
      <c r="AT348" s="66">
        <v>0</v>
      </c>
      <c r="AU348" s="448">
        <v>0</v>
      </c>
      <c r="AV348" s="448">
        <v>0</v>
      </c>
      <c r="AW348" s="75">
        <v>0</v>
      </c>
      <c r="AX348" s="448">
        <v>0</v>
      </c>
      <c r="AY348" s="66">
        <v>0</v>
      </c>
      <c r="AZ348" s="202">
        <v>0</v>
      </c>
      <c r="BA348" s="448">
        <v>0</v>
      </c>
      <c r="BB348" s="448">
        <v>0</v>
      </c>
      <c r="BC348" s="448">
        <v>0</v>
      </c>
      <c r="BD348" s="448">
        <v>0</v>
      </c>
      <c r="BE348" s="448">
        <v>0</v>
      </c>
      <c r="BF348" s="448">
        <v>0</v>
      </c>
      <c r="BG348" s="66">
        <v>0</v>
      </c>
      <c r="BH348" s="67">
        <v>0</v>
      </c>
      <c r="BI348" s="67">
        <v>1504324.6922976417</v>
      </c>
    </row>
    <row r="349" spans="1:61" x14ac:dyDescent="0.25">
      <c r="A349" s="142">
        <v>0</v>
      </c>
      <c r="B349" s="81">
        <v>40512</v>
      </c>
      <c r="C349" s="198">
        <v>40512</v>
      </c>
      <c r="D349" s="69">
        <v>39784</v>
      </c>
      <c r="E349" s="70">
        <v>30</v>
      </c>
      <c r="F349" s="71">
        <v>48</v>
      </c>
      <c r="G349" s="72"/>
      <c r="H349" s="82"/>
      <c r="I349" s="210"/>
      <c r="J349" s="210"/>
      <c r="K349" s="84">
        <v>0</v>
      </c>
      <c r="L349" s="84">
        <v>0</v>
      </c>
      <c r="M349" s="84">
        <v>0</v>
      </c>
      <c r="N349" s="84">
        <v>0</v>
      </c>
      <c r="O349" s="84">
        <v>0</v>
      </c>
      <c r="P349" s="84">
        <v>0</v>
      </c>
      <c r="Q349" s="84">
        <v>0</v>
      </c>
      <c r="R349" s="84">
        <v>0</v>
      </c>
      <c r="S349" s="84">
        <v>0</v>
      </c>
      <c r="T349" s="84">
        <v>0</v>
      </c>
      <c r="U349" s="84">
        <v>0</v>
      </c>
      <c r="V349" s="84">
        <v>0</v>
      </c>
      <c r="W349" s="84">
        <v>0</v>
      </c>
      <c r="X349" s="84">
        <v>0</v>
      </c>
      <c r="Y349" s="84">
        <v>0</v>
      </c>
      <c r="Z349" s="84">
        <v>0</v>
      </c>
      <c r="AA349" s="84">
        <v>0</v>
      </c>
      <c r="AB349" s="84">
        <v>0</v>
      </c>
      <c r="AC349" s="84">
        <v>0</v>
      </c>
      <c r="AD349" s="84">
        <v>0</v>
      </c>
      <c r="AE349" s="84">
        <v>0</v>
      </c>
      <c r="AF349" s="84">
        <v>0</v>
      </c>
      <c r="AG349" s="84">
        <v>0</v>
      </c>
      <c r="AH349" s="84">
        <v>0</v>
      </c>
      <c r="AI349" s="84">
        <v>0</v>
      </c>
      <c r="AJ349" s="84">
        <v>0</v>
      </c>
      <c r="AK349" s="84">
        <v>0</v>
      </c>
      <c r="AL349" s="84">
        <v>0</v>
      </c>
      <c r="AM349" s="84">
        <v>0</v>
      </c>
      <c r="AN349" s="84">
        <v>0</v>
      </c>
      <c r="AO349" s="84">
        <v>0</v>
      </c>
      <c r="AP349" s="84">
        <v>0</v>
      </c>
      <c r="AQ349" s="84">
        <v>0</v>
      </c>
      <c r="AR349" s="200">
        <v>0</v>
      </c>
      <c r="AS349" s="200">
        <v>0</v>
      </c>
      <c r="AT349" s="66">
        <v>0</v>
      </c>
      <c r="AU349" s="448">
        <v>0</v>
      </c>
      <c r="AV349" s="448">
        <v>0</v>
      </c>
      <c r="AW349" s="75">
        <v>0</v>
      </c>
      <c r="AX349" s="448">
        <v>0</v>
      </c>
      <c r="AY349" s="66">
        <v>0</v>
      </c>
      <c r="AZ349" s="202">
        <v>0</v>
      </c>
      <c r="BA349" s="448">
        <v>0</v>
      </c>
      <c r="BB349" s="448">
        <v>0</v>
      </c>
      <c r="BC349" s="448">
        <v>0</v>
      </c>
      <c r="BD349" s="448">
        <v>0</v>
      </c>
      <c r="BE349" s="448">
        <v>0</v>
      </c>
      <c r="BF349" s="448">
        <v>0</v>
      </c>
      <c r="BG349" s="66">
        <v>0</v>
      </c>
      <c r="BH349" s="67">
        <v>0</v>
      </c>
      <c r="BI349" s="67">
        <v>1504324.6922976417</v>
      </c>
    </row>
    <row r="350" spans="1:61" s="230" customFormat="1" x14ac:dyDescent="0.25">
      <c r="A350" s="215"/>
      <c r="B350" s="216"/>
      <c r="C350" s="217"/>
      <c r="D350" s="218"/>
      <c r="E350" s="219"/>
      <c r="F350" s="220"/>
      <c r="G350" s="221"/>
      <c r="H350" s="222"/>
      <c r="I350" s="223"/>
      <c r="J350" s="223"/>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24"/>
      <c r="AO350" s="224"/>
      <c r="AP350" s="224"/>
      <c r="AQ350" s="225"/>
      <c r="AR350" s="226"/>
      <c r="AS350" s="226"/>
      <c r="AT350" s="66">
        <v>0</v>
      </c>
      <c r="AU350" s="224"/>
      <c r="AV350" s="224"/>
      <c r="AW350" s="227"/>
      <c r="AX350" s="224"/>
      <c r="AY350" s="66">
        <v>0</v>
      </c>
      <c r="AZ350" s="224"/>
      <c r="BA350" s="224"/>
      <c r="BB350" s="224"/>
      <c r="BC350" s="224"/>
      <c r="BD350" s="224"/>
      <c r="BE350" s="224"/>
      <c r="BF350" s="224"/>
      <c r="BG350" s="228"/>
      <c r="BH350" s="229"/>
      <c r="BI350" s="229"/>
    </row>
    <row r="351" spans="1:61" x14ac:dyDescent="0.25">
      <c r="A351" s="142">
        <v>0</v>
      </c>
      <c r="B351" s="81">
        <v>40513</v>
      </c>
      <c r="C351" s="198">
        <v>40513</v>
      </c>
      <c r="D351" s="69">
        <v>39785</v>
      </c>
      <c r="E351" s="70">
        <v>1</v>
      </c>
      <c r="F351" s="71">
        <v>48</v>
      </c>
      <c r="G351" s="72"/>
      <c r="H351" s="82"/>
      <c r="I351" s="210"/>
      <c r="J351" s="210"/>
      <c r="K351" s="84">
        <v>0</v>
      </c>
      <c r="L351" s="84">
        <v>0</v>
      </c>
      <c r="M351" s="84">
        <v>0</v>
      </c>
      <c r="N351" s="84">
        <v>0</v>
      </c>
      <c r="O351" s="84">
        <v>0</v>
      </c>
      <c r="P351" s="84">
        <v>0</v>
      </c>
      <c r="Q351" s="84">
        <v>0</v>
      </c>
      <c r="R351" s="84">
        <v>0</v>
      </c>
      <c r="S351" s="84">
        <v>0</v>
      </c>
      <c r="T351" s="84">
        <v>0</v>
      </c>
      <c r="U351" s="84">
        <v>0</v>
      </c>
      <c r="V351" s="84">
        <v>0</v>
      </c>
      <c r="W351" s="84">
        <v>0</v>
      </c>
      <c r="X351" s="84">
        <v>0</v>
      </c>
      <c r="Y351" s="84">
        <v>0</v>
      </c>
      <c r="Z351" s="84">
        <v>0</v>
      </c>
      <c r="AA351" s="84">
        <v>0</v>
      </c>
      <c r="AB351" s="84">
        <v>0</v>
      </c>
      <c r="AC351" s="84">
        <v>0</v>
      </c>
      <c r="AD351" s="84">
        <v>0</v>
      </c>
      <c r="AE351" s="84">
        <v>0</v>
      </c>
      <c r="AF351" s="84">
        <v>0</v>
      </c>
      <c r="AG351" s="84">
        <v>0</v>
      </c>
      <c r="AH351" s="84">
        <v>0</v>
      </c>
      <c r="AI351" s="84">
        <v>0</v>
      </c>
      <c r="AJ351" s="84">
        <v>0</v>
      </c>
      <c r="AK351" s="84">
        <v>0</v>
      </c>
      <c r="AL351" s="84">
        <v>0</v>
      </c>
      <c r="AM351" s="84">
        <v>0</v>
      </c>
      <c r="AN351" s="84">
        <v>0</v>
      </c>
      <c r="AO351" s="84">
        <v>0</v>
      </c>
      <c r="AP351" s="84">
        <v>0</v>
      </c>
      <c r="AQ351" s="84">
        <v>0</v>
      </c>
      <c r="AR351" s="200">
        <v>0</v>
      </c>
      <c r="AS351" s="200">
        <v>0</v>
      </c>
      <c r="AT351" s="66">
        <v>0</v>
      </c>
      <c r="AU351" s="448">
        <v>0</v>
      </c>
      <c r="AV351" s="448">
        <v>0</v>
      </c>
      <c r="AW351" s="75">
        <v>0</v>
      </c>
      <c r="AX351" s="448">
        <v>0</v>
      </c>
      <c r="AY351" s="66">
        <v>0</v>
      </c>
      <c r="AZ351" s="202">
        <v>0</v>
      </c>
      <c r="BA351" s="448">
        <v>0</v>
      </c>
      <c r="BB351" s="448">
        <v>0</v>
      </c>
      <c r="BC351" s="448">
        <v>0</v>
      </c>
      <c r="BD351" s="448">
        <v>0</v>
      </c>
      <c r="BE351" s="448">
        <v>0</v>
      </c>
      <c r="BF351" s="448">
        <v>0</v>
      </c>
      <c r="BG351" s="66">
        <v>0</v>
      </c>
      <c r="BH351" s="67">
        <v>0</v>
      </c>
      <c r="BI351" s="67">
        <v>1504324.6922976417</v>
      </c>
    </row>
    <row r="352" spans="1:61" x14ac:dyDescent="0.25">
      <c r="A352" s="142">
        <v>0</v>
      </c>
      <c r="B352" s="81">
        <v>40514</v>
      </c>
      <c r="C352" s="198">
        <v>40514</v>
      </c>
      <c r="D352" s="69">
        <v>39786</v>
      </c>
      <c r="E352" s="70">
        <v>2</v>
      </c>
      <c r="F352" s="71">
        <v>48</v>
      </c>
      <c r="G352" s="72"/>
      <c r="H352" s="82"/>
      <c r="I352" s="210"/>
      <c r="J352" s="210"/>
      <c r="K352" s="84">
        <v>0</v>
      </c>
      <c r="L352" s="84">
        <v>0</v>
      </c>
      <c r="M352" s="84">
        <v>0</v>
      </c>
      <c r="N352" s="84">
        <v>0</v>
      </c>
      <c r="O352" s="84">
        <v>0</v>
      </c>
      <c r="P352" s="84">
        <v>0</v>
      </c>
      <c r="Q352" s="84">
        <v>0</v>
      </c>
      <c r="R352" s="84">
        <v>0</v>
      </c>
      <c r="S352" s="84">
        <v>0</v>
      </c>
      <c r="T352" s="84">
        <v>0</v>
      </c>
      <c r="U352" s="84">
        <v>0</v>
      </c>
      <c r="V352" s="84">
        <v>0</v>
      </c>
      <c r="W352" s="84">
        <v>0</v>
      </c>
      <c r="X352" s="84">
        <v>0</v>
      </c>
      <c r="Y352" s="84">
        <v>0</v>
      </c>
      <c r="Z352" s="84">
        <v>0</v>
      </c>
      <c r="AA352" s="84">
        <v>0</v>
      </c>
      <c r="AB352" s="84">
        <v>0</v>
      </c>
      <c r="AC352" s="84">
        <v>0</v>
      </c>
      <c r="AD352" s="84">
        <v>0</v>
      </c>
      <c r="AE352" s="84">
        <v>0</v>
      </c>
      <c r="AF352" s="84">
        <v>0</v>
      </c>
      <c r="AG352" s="84">
        <v>0</v>
      </c>
      <c r="AH352" s="84">
        <v>0</v>
      </c>
      <c r="AI352" s="84">
        <v>0</v>
      </c>
      <c r="AJ352" s="84">
        <v>0</v>
      </c>
      <c r="AK352" s="84">
        <v>0</v>
      </c>
      <c r="AL352" s="84">
        <v>0</v>
      </c>
      <c r="AM352" s="84">
        <v>0</v>
      </c>
      <c r="AN352" s="84">
        <v>0</v>
      </c>
      <c r="AO352" s="84">
        <v>0</v>
      </c>
      <c r="AP352" s="84">
        <v>0</v>
      </c>
      <c r="AQ352" s="84">
        <v>0</v>
      </c>
      <c r="AR352" s="200">
        <v>0</v>
      </c>
      <c r="AS352" s="200">
        <v>0</v>
      </c>
      <c r="AT352" s="66">
        <v>0</v>
      </c>
      <c r="AU352" s="448">
        <v>0</v>
      </c>
      <c r="AV352" s="448">
        <v>0</v>
      </c>
      <c r="AW352" s="75">
        <v>0</v>
      </c>
      <c r="AX352" s="448">
        <v>0</v>
      </c>
      <c r="AY352" s="66">
        <v>0</v>
      </c>
      <c r="AZ352" s="202">
        <v>0</v>
      </c>
      <c r="BA352" s="448">
        <v>0</v>
      </c>
      <c r="BB352" s="448">
        <v>0</v>
      </c>
      <c r="BC352" s="448">
        <v>0</v>
      </c>
      <c r="BD352" s="448">
        <v>0</v>
      </c>
      <c r="BE352" s="448">
        <v>0</v>
      </c>
      <c r="BF352" s="448">
        <v>0</v>
      </c>
      <c r="BG352" s="66">
        <v>0</v>
      </c>
      <c r="BH352" s="67">
        <v>0</v>
      </c>
      <c r="BI352" s="67">
        <v>1504324.6922976417</v>
      </c>
    </row>
    <row r="353" spans="1:61" x14ac:dyDescent="0.25">
      <c r="A353" s="142">
        <v>0</v>
      </c>
      <c r="B353" s="81">
        <v>40515</v>
      </c>
      <c r="C353" s="198">
        <v>40515</v>
      </c>
      <c r="D353" s="69">
        <v>39787</v>
      </c>
      <c r="E353" s="70">
        <v>3</v>
      </c>
      <c r="F353" s="71">
        <v>48</v>
      </c>
      <c r="G353" s="72"/>
      <c r="H353" s="82"/>
      <c r="I353" s="210"/>
      <c r="J353" s="210"/>
      <c r="K353" s="84">
        <v>0</v>
      </c>
      <c r="L353" s="84">
        <v>0</v>
      </c>
      <c r="M353" s="84">
        <v>0</v>
      </c>
      <c r="N353" s="84">
        <v>0</v>
      </c>
      <c r="O353" s="84">
        <v>0</v>
      </c>
      <c r="P353" s="84">
        <v>0</v>
      </c>
      <c r="Q353" s="84">
        <v>0</v>
      </c>
      <c r="R353" s="84">
        <v>0</v>
      </c>
      <c r="S353" s="84">
        <v>0</v>
      </c>
      <c r="T353" s="84">
        <v>0</v>
      </c>
      <c r="U353" s="84">
        <v>0</v>
      </c>
      <c r="V353" s="84">
        <v>0</v>
      </c>
      <c r="W353" s="84">
        <v>0</v>
      </c>
      <c r="X353" s="84">
        <v>0</v>
      </c>
      <c r="Y353" s="84">
        <v>0</v>
      </c>
      <c r="Z353" s="84">
        <v>0</v>
      </c>
      <c r="AA353" s="84">
        <v>0</v>
      </c>
      <c r="AB353" s="84">
        <v>0</v>
      </c>
      <c r="AC353" s="84">
        <v>0</v>
      </c>
      <c r="AD353" s="84">
        <v>0</v>
      </c>
      <c r="AE353" s="84">
        <v>0</v>
      </c>
      <c r="AF353" s="84">
        <v>0</v>
      </c>
      <c r="AG353" s="84">
        <v>0</v>
      </c>
      <c r="AH353" s="84">
        <v>0</v>
      </c>
      <c r="AI353" s="84">
        <v>0</v>
      </c>
      <c r="AJ353" s="84">
        <v>0</v>
      </c>
      <c r="AK353" s="84">
        <v>0</v>
      </c>
      <c r="AL353" s="84">
        <v>0</v>
      </c>
      <c r="AM353" s="84">
        <v>0</v>
      </c>
      <c r="AN353" s="84">
        <v>0</v>
      </c>
      <c r="AO353" s="84">
        <v>0</v>
      </c>
      <c r="AP353" s="84">
        <v>0</v>
      </c>
      <c r="AQ353" s="84">
        <v>0</v>
      </c>
      <c r="AR353" s="200">
        <v>0</v>
      </c>
      <c r="AS353" s="200">
        <v>0</v>
      </c>
      <c r="AT353" s="66">
        <v>0</v>
      </c>
      <c r="AU353" s="448">
        <v>0</v>
      </c>
      <c r="AV353" s="448">
        <v>0</v>
      </c>
      <c r="AW353" s="75">
        <v>94.117647058823536</v>
      </c>
      <c r="AX353" s="448">
        <v>0</v>
      </c>
      <c r="AY353" s="66">
        <v>94.117647058823536</v>
      </c>
      <c r="AZ353" s="202">
        <v>0</v>
      </c>
      <c r="BA353" s="448">
        <v>0</v>
      </c>
      <c r="BB353" s="448">
        <v>0</v>
      </c>
      <c r="BC353" s="448">
        <v>0</v>
      </c>
      <c r="BD353" s="448">
        <v>0</v>
      </c>
      <c r="BE353" s="448">
        <v>0</v>
      </c>
      <c r="BF353" s="448">
        <v>0</v>
      </c>
      <c r="BG353" s="66">
        <v>0</v>
      </c>
      <c r="BH353" s="67">
        <v>94.117647058823536</v>
      </c>
      <c r="BI353" s="67">
        <v>1504418.8099447004</v>
      </c>
    </row>
    <row r="354" spans="1:61" x14ac:dyDescent="0.25">
      <c r="A354" s="142">
        <v>0</v>
      </c>
      <c r="B354" s="85">
        <v>40516</v>
      </c>
      <c r="C354" s="203">
        <v>40516</v>
      </c>
      <c r="D354" s="76">
        <v>39788</v>
      </c>
      <c r="E354" s="77">
        <v>4</v>
      </c>
      <c r="F354" s="78">
        <v>48</v>
      </c>
      <c r="G354" s="79"/>
      <c r="H354" s="80"/>
      <c r="I354" s="212"/>
      <c r="J354" s="212"/>
      <c r="K354" s="231">
        <v>856.47058823529414</v>
      </c>
      <c r="L354" s="231">
        <v>141.1764705882353</v>
      </c>
      <c r="M354" s="231">
        <v>997.64705882352951</v>
      </c>
      <c r="N354" s="231">
        <v>256</v>
      </c>
      <c r="O354" s="231">
        <v>33.882352941176471</v>
      </c>
      <c r="P354" s="231">
        <v>289.88235294117646</v>
      </c>
      <c r="Q354" s="231">
        <v>31.058823529411764</v>
      </c>
      <c r="R354" s="231">
        <v>0</v>
      </c>
      <c r="S354" s="231">
        <v>31.058823529411764</v>
      </c>
      <c r="T354" s="231">
        <v>105.41176470588235</v>
      </c>
      <c r="U354" s="231">
        <v>671.05882352941171</v>
      </c>
      <c r="V354" s="231">
        <v>776.47058823529414</v>
      </c>
      <c r="W354" s="231">
        <v>392.47058823529414</v>
      </c>
      <c r="X354" s="231">
        <v>704.94117647058829</v>
      </c>
      <c r="Y354" s="231">
        <v>1097.4117647058824</v>
      </c>
      <c r="Z354" s="231">
        <v>2095.0588235294117</v>
      </c>
      <c r="AA354" s="231">
        <v>13.552941176470588</v>
      </c>
      <c r="AB354" s="231">
        <v>16.564705882352943</v>
      </c>
      <c r="AC354" s="231">
        <v>30.117647058823529</v>
      </c>
      <c r="AD354" s="231">
        <v>9.4117647058823533</v>
      </c>
      <c r="AE354" s="231">
        <v>0</v>
      </c>
      <c r="AF354" s="231">
        <v>9.4117647058823533</v>
      </c>
      <c r="AG354" s="231">
        <v>31.623529411764707</v>
      </c>
      <c r="AH354" s="231">
        <v>13.552941176470588</v>
      </c>
      <c r="AI354" s="231">
        <v>45.176470588235297</v>
      </c>
      <c r="AJ354" s="231">
        <v>8.4705882352941178</v>
      </c>
      <c r="AK354" s="231">
        <v>180.70588235294119</v>
      </c>
      <c r="AL354" s="231">
        <v>189.1764705882353</v>
      </c>
      <c r="AM354" s="231">
        <v>49.505882352941178</v>
      </c>
      <c r="AN354" s="231">
        <v>194.25882352941176</v>
      </c>
      <c r="AO354" s="231">
        <v>243.76470588235293</v>
      </c>
      <c r="AP354" s="231">
        <v>273.88235294117646</v>
      </c>
      <c r="AQ354" s="231">
        <v>0</v>
      </c>
      <c r="AR354" s="200">
        <v>1027.7647058823529</v>
      </c>
      <c r="AS354" s="200">
        <v>1341.1764705882354</v>
      </c>
      <c r="AT354" s="66">
        <v>2368.9411764705883</v>
      </c>
      <c r="AU354" s="231">
        <v>14.117647058823529</v>
      </c>
      <c r="AV354" s="231">
        <v>37.647058823529413</v>
      </c>
      <c r="AW354" s="75">
        <v>0</v>
      </c>
      <c r="AX354" s="231">
        <v>282.35294117647061</v>
      </c>
      <c r="AY354" s="66">
        <v>334.11764705882354</v>
      </c>
      <c r="AZ354" s="208">
        <v>0</v>
      </c>
      <c r="BA354" s="231">
        <v>260.70588235294116</v>
      </c>
      <c r="BB354" s="231">
        <v>609.88235294117646</v>
      </c>
      <c r="BC354" s="231">
        <v>260.70588235294116</v>
      </c>
      <c r="BD354" s="231">
        <v>609.88235294117646</v>
      </c>
      <c r="BE354" s="231">
        <v>870.58823529411768</v>
      </c>
      <c r="BF354" s="231">
        <v>0</v>
      </c>
      <c r="BG354" s="66">
        <v>870.58823529411768</v>
      </c>
      <c r="BH354" s="67">
        <v>3573.6470588235297</v>
      </c>
      <c r="BI354" s="67">
        <v>1507992.4570035241</v>
      </c>
    </row>
    <row r="355" spans="1:61" x14ac:dyDescent="0.25">
      <c r="A355" s="142">
        <v>0</v>
      </c>
      <c r="B355" s="85">
        <v>40517</v>
      </c>
      <c r="C355" s="203">
        <v>40517</v>
      </c>
      <c r="D355" s="76">
        <v>39789</v>
      </c>
      <c r="E355" s="77">
        <v>5</v>
      </c>
      <c r="F355" s="78">
        <v>48</v>
      </c>
      <c r="G355" s="79"/>
      <c r="H355" s="80"/>
      <c r="I355" s="212"/>
      <c r="J355" s="212"/>
      <c r="K355" s="231">
        <v>654.11764705882354</v>
      </c>
      <c r="L355" s="231">
        <v>89.411764705882348</v>
      </c>
      <c r="M355" s="231">
        <v>743.52941176470586</v>
      </c>
      <c r="N355" s="231">
        <v>170.35294117647058</v>
      </c>
      <c r="O355" s="231">
        <v>35.764705882352942</v>
      </c>
      <c r="P355" s="231">
        <v>206.11764705882354</v>
      </c>
      <c r="Q355" s="231">
        <v>14.117647058823529</v>
      </c>
      <c r="R355" s="231">
        <v>0</v>
      </c>
      <c r="S355" s="231">
        <v>14.117647058823529</v>
      </c>
      <c r="T355" s="231">
        <v>50.823529411764703</v>
      </c>
      <c r="U355" s="231">
        <v>720</v>
      </c>
      <c r="V355" s="231">
        <v>770.82352941176475</v>
      </c>
      <c r="W355" s="231">
        <v>235.29411764705881</v>
      </c>
      <c r="X355" s="231">
        <v>755.76470588235293</v>
      </c>
      <c r="Y355" s="231">
        <v>991.05882352941171</v>
      </c>
      <c r="Z355" s="231">
        <v>1734.5882352941176</v>
      </c>
      <c r="AA355" s="231">
        <v>12.705882352941176</v>
      </c>
      <c r="AB355" s="231">
        <v>17.600000000000001</v>
      </c>
      <c r="AC355" s="231">
        <v>30.305882352941179</v>
      </c>
      <c r="AD355" s="231">
        <v>0</v>
      </c>
      <c r="AE355" s="231">
        <v>0</v>
      </c>
      <c r="AF355" s="231">
        <v>0</v>
      </c>
      <c r="AG355" s="231">
        <v>29.647058823529413</v>
      </c>
      <c r="AH355" s="231">
        <v>14.4</v>
      </c>
      <c r="AI355" s="231">
        <v>44.047058823529412</v>
      </c>
      <c r="AJ355" s="231">
        <v>5.6470588235294121</v>
      </c>
      <c r="AK355" s="231">
        <v>226.8235294117647</v>
      </c>
      <c r="AL355" s="231">
        <v>232.47058823529412</v>
      </c>
      <c r="AM355" s="231">
        <v>35.294117647058826</v>
      </c>
      <c r="AN355" s="231">
        <v>241.22352941176473</v>
      </c>
      <c r="AO355" s="231">
        <v>276.51764705882351</v>
      </c>
      <c r="AP355" s="231">
        <v>306.8235294117647</v>
      </c>
      <c r="AQ355" s="231">
        <v>0</v>
      </c>
      <c r="AR355" s="200">
        <v>773.83529411764698</v>
      </c>
      <c r="AS355" s="200">
        <v>1267.5764705882352</v>
      </c>
      <c r="AT355" s="66">
        <v>2041.4117647058822</v>
      </c>
      <c r="AU355" s="231">
        <v>0</v>
      </c>
      <c r="AV355" s="231">
        <v>56.470588235294116</v>
      </c>
      <c r="AW355" s="75">
        <v>0</v>
      </c>
      <c r="AX355" s="231">
        <v>188.23529411764707</v>
      </c>
      <c r="AY355" s="66">
        <v>244.70588235294119</v>
      </c>
      <c r="AZ355" s="208">
        <v>0</v>
      </c>
      <c r="BA355" s="231">
        <v>315.29411764705884</v>
      </c>
      <c r="BB355" s="231">
        <v>590.11764705882354</v>
      </c>
      <c r="BC355" s="231">
        <v>315.29411764705884</v>
      </c>
      <c r="BD355" s="231">
        <v>590.11764705882354</v>
      </c>
      <c r="BE355" s="231">
        <v>905.41176470588232</v>
      </c>
      <c r="BF355" s="231">
        <v>0</v>
      </c>
      <c r="BG355" s="66">
        <v>905.41176470588232</v>
      </c>
      <c r="BH355" s="67">
        <v>3191.5294117647054</v>
      </c>
      <c r="BI355" s="67">
        <v>1511183.9864152889</v>
      </c>
    </row>
    <row r="356" spans="1:61" x14ac:dyDescent="0.25">
      <c r="A356" s="142">
        <v>0</v>
      </c>
      <c r="B356" s="68">
        <v>40518</v>
      </c>
      <c r="C356" s="198">
        <v>40518</v>
      </c>
      <c r="D356" s="69">
        <v>39790</v>
      </c>
      <c r="E356" s="70">
        <v>6</v>
      </c>
      <c r="F356" s="71">
        <v>49</v>
      </c>
      <c r="G356" s="72"/>
      <c r="H356" s="82"/>
      <c r="I356" s="210"/>
      <c r="J356" s="210"/>
      <c r="K356" s="231">
        <v>0</v>
      </c>
      <c r="L356" s="231">
        <v>0</v>
      </c>
      <c r="M356" s="231">
        <v>0</v>
      </c>
      <c r="N356" s="231">
        <v>21.647058823529413</v>
      </c>
      <c r="O356" s="231">
        <v>3.7647058823529411</v>
      </c>
      <c r="P356" s="231">
        <v>25.411764705882351</v>
      </c>
      <c r="Q356" s="231">
        <v>0</v>
      </c>
      <c r="R356" s="231">
        <v>0</v>
      </c>
      <c r="S356" s="231">
        <v>0</v>
      </c>
      <c r="T356" s="231">
        <v>6.5882352941176467</v>
      </c>
      <c r="U356" s="231">
        <v>48</v>
      </c>
      <c r="V356" s="231">
        <v>54.588235294117645</v>
      </c>
      <c r="W356" s="231">
        <v>28.235294117647058</v>
      </c>
      <c r="X356" s="231">
        <v>51.764705882352942</v>
      </c>
      <c r="Y356" s="231">
        <v>80</v>
      </c>
      <c r="Z356" s="231">
        <v>80</v>
      </c>
      <c r="AA356" s="231">
        <v>0</v>
      </c>
      <c r="AB356" s="231">
        <v>0</v>
      </c>
      <c r="AC356" s="231">
        <v>0</v>
      </c>
      <c r="AD356" s="231">
        <v>0</v>
      </c>
      <c r="AE356" s="231">
        <v>0</v>
      </c>
      <c r="AF356" s="231">
        <v>0</v>
      </c>
      <c r="AG356" s="231">
        <v>0</v>
      </c>
      <c r="AH356" s="231">
        <v>0</v>
      </c>
      <c r="AI356" s="231">
        <v>0</v>
      </c>
      <c r="AJ356" s="231">
        <v>0</v>
      </c>
      <c r="AK356" s="231">
        <v>0</v>
      </c>
      <c r="AL356" s="231">
        <v>0</v>
      </c>
      <c r="AM356" s="231">
        <v>0</v>
      </c>
      <c r="AN356" s="231">
        <v>0</v>
      </c>
      <c r="AO356" s="231">
        <v>0</v>
      </c>
      <c r="AP356" s="231">
        <v>0</v>
      </c>
      <c r="AQ356" s="231">
        <v>0</v>
      </c>
      <c r="AR356" s="200">
        <v>0</v>
      </c>
      <c r="AS356" s="200">
        <v>80</v>
      </c>
      <c r="AT356" s="66">
        <v>80</v>
      </c>
      <c r="AU356" s="235">
        <v>0</v>
      </c>
      <c r="AV356" s="235">
        <v>0</v>
      </c>
      <c r="AW356" s="75">
        <v>0</v>
      </c>
      <c r="AX356" s="235">
        <v>0</v>
      </c>
      <c r="AY356" s="66">
        <v>0</v>
      </c>
      <c r="AZ356" s="202">
        <v>0</v>
      </c>
      <c r="BA356" s="235">
        <v>42.352941176470587</v>
      </c>
      <c r="BB356" s="235">
        <v>0</v>
      </c>
      <c r="BC356" s="235">
        <v>42.352941176470587</v>
      </c>
      <c r="BD356" s="235">
        <v>0</v>
      </c>
      <c r="BE356" s="235">
        <v>42.352941176470587</v>
      </c>
      <c r="BF356" s="235">
        <v>52.705882352941174</v>
      </c>
      <c r="BG356" s="66">
        <v>95.058823529411768</v>
      </c>
      <c r="BH356" s="67">
        <v>175.05882352941177</v>
      </c>
      <c r="BI356" s="67">
        <v>1511359.0452388183</v>
      </c>
    </row>
    <row r="357" spans="1:61" x14ac:dyDescent="0.25">
      <c r="A357" s="142">
        <v>0</v>
      </c>
      <c r="B357" s="68">
        <v>40519</v>
      </c>
      <c r="C357" s="198">
        <v>40519</v>
      </c>
      <c r="D357" s="69">
        <v>39791</v>
      </c>
      <c r="E357" s="70">
        <v>7</v>
      </c>
      <c r="F357" s="71">
        <v>49</v>
      </c>
      <c r="G357" s="72"/>
      <c r="H357" s="82"/>
      <c r="I357" s="210"/>
      <c r="J357" s="210"/>
      <c r="K357" s="231">
        <v>0</v>
      </c>
      <c r="L357" s="231">
        <v>0</v>
      </c>
      <c r="M357" s="231">
        <v>0</v>
      </c>
      <c r="N357" s="231">
        <v>0</v>
      </c>
      <c r="O357" s="231">
        <v>0</v>
      </c>
      <c r="P357" s="231">
        <v>0</v>
      </c>
      <c r="Q357" s="231">
        <v>0</v>
      </c>
      <c r="R357" s="231">
        <v>0</v>
      </c>
      <c r="S357" s="231">
        <v>0</v>
      </c>
      <c r="T357" s="231">
        <v>0</v>
      </c>
      <c r="U357" s="231">
        <v>0</v>
      </c>
      <c r="V357" s="231">
        <v>0</v>
      </c>
      <c r="W357" s="231">
        <v>0</v>
      </c>
      <c r="X357" s="231">
        <v>0</v>
      </c>
      <c r="Y357" s="231">
        <v>0</v>
      </c>
      <c r="Z357" s="231">
        <v>0</v>
      </c>
      <c r="AA357" s="231">
        <v>0</v>
      </c>
      <c r="AB357" s="231">
        <v>0</v>
      </c>
      <c r="AC357" s="231">
        <v>0</v>
      </c>
      <c r="AD357" s="231">
        <v>0</v>
      </c>
      <c r="AE357" s="231">
        <v>0</v>
      </c>
      <c r="AF357" s="231">
        <v>0</v>
      </c>
      <c r="AG357" s="231">
        <v>0</v>
      </c>
      <c r="AH357" s="231">
        <v>0</v>
      </c>
      <c r="AI357" s="231">
        <v>0</v>
      </c>
      <c r="AJ357" s="231">
        <v>0</v>
      </c>
      <c r="AK357" s="231">
        <v>0</v>
      </c>
      <c r="AL357" s="231">
        <v>0</v>
      </c>
      <c r="AM357" s="231">
        <v>0</v>
      </c>
      <c r="AN357" s="231">
        <v>0</v>
      </c>
      <c r="AO357" s="231">
        <v>0</v>
      </c>
      <c r="AP357" s="231">
        <v>0</v>
      </c>
      <c r="AQ357" s="231">
        <v>0</v>
      </c>
      <c r="AR357" s="200">
        <v>0</v>
      </c>
      <c r="AS357" s="200">
        <v>0</v>
      </c>
      <c r="AT357" s="66">
        <v>0</v>
      </c>
      <c r="AU357" s="235">
        <v>0</v>
      </c>
      <c r="AV357" s="235">
        <v>0</v>
      </c>
      <c r="AW357" s="75">
        <v>0</v>
      </c>
      <c r="AX357" s="235">
        <v>0</v>
      </c>
      <c r="AY357" s="66">
        <v>0</v>
      </c>
      <c r="AZ357" s="202">
        <v>0</v>
      </c>
      <c r="BA357" s="235">
        <v>0</v>
      </c>
      <c r="BB357" s="235">
        <v>0</v>
      </c>
      <c r="BC357" s="235">
        <v>0</v>
      </c>
      <c r="BD357" s="235">
        <v>0</v>
      </c>
      <c r="BE357" s="235">
        <v>0</v>
      </c>
      <c r="BF357" s="235">
        <v>305.88235294117646</v>
      </c>
      <c r="BG357" s="66">
        <v>305.88235294117646</v>
      </c>
      <c r="BH357" s="67">
        <v>305.88235294117646</v>
      </c>
      <c r="BI357" s="67">
        <v>1511664.9275917595</v>
      </c>
    </row>
    <row r="358" spans="1:61" x14ac:dyDescent="0.25">
      <c r="A358" s="142">
        <v>0</v>
      </c>
      <c r="B358" s="81">
        <v>40520</v>
      </c>
      <c r="C358" s="198">
        <v>40520</v>
      </c>
      <c r="D358" s="69">
        <v>39792</v>
      </c>
      <c r="E358" s="70">
        <v>8</v>
      </c>
      <c r="F358" s="71">
        <v>49</v>
      </c>
      <c r="G358" s="72"/>
      <c r="H358" s="82"/>
      <c r="I358" s="210"/>
      <c r="J358" s="210"/>
      <c r="K358" s="84">
        <v>0</v>
      </c>
      <c r="L358" s="84">
        <v>0</v>
      </c>
      <c r="M358" s="84">
        <v>0</v>
      </c>
      <c r="N358" s="84">
        <v>0</v>
      </c>
      <c r="O358" s="84">
        <v>0</v>
      </c>
      <c r="P358" s="84">
        <v>0</v>
      </c>
      <c r="Q358" s="84">
        <v>0</v>
      </c>
      <c r="R358" s="84">
        <v>0</v>
      </c>
      <c r="S358" s="84">
        <v>0</v>
      </c>
      <c r="T358" s="84">
        <v>0</v>
      </c>
      <c r="U358" s="84">
        <v>0</v>
      </c>
      <c r="V358" s="84">
        <v>0</v>
      </c>
      <c r="W358" s="84">
        <v>0</v>
      </c>
      <c r="X358" s="84">
        <v>0</v>
      </c>
      <c r="Y358" s="84">
        <v>0</v>
      </c>
      <c r="Z358" s="84">
        <v>0</v>
      </c>
      <c r="AA358" s="84">
        <v>0</v>
      </c>
      <c r="AB358" s="84">
        <v>0</v>
      </c>
      <c r="AC358" s="84">
        <v>0</v>
      </c>
      <c r="AD358" s="84">
        <v>0</v>
      </c>
      <c r="AE358" s="84">
        <v>0</v>
      </c>
      <c r="AF358" s="84">
        <v>0</v>
      </c>
      <c r="AG358" s="84">
        <v>0</v>
      </c>
      <c r="AH358" s="84">
        <v>0</v>
      </c>
      <c r="AI358" s="84">
        <v>0</v>
      </c>
      <c r="AJ358" s="84">
        <v>0</v>
      </c>
      <c r="AK358" s="84">
        <v>0</v>
      </c>
      <c r="AL358" s="84">
        <v>0</v>
      </c>
      <c r="AM358" s="84">
        <v>0</v>
      </c>
      <c r="AN358" s="84">
        <v>0</v>
      </c>
      <c r="AO358" s="84">
        <v>0</v>
      </c>
      <c r="AP358" s="84">
        <v>0</v>
      </c>
      <c r="AQ358" s="84">
        <v>0</v>
      </c>
      <c r="AR358" s="200">
        <v>0</v>
      </c>
      <c r="AS358" s="200">
        <v>0</v>
      </c>
      <c r="AT358" s="66">
        <v>0</v>
      </c>
      <c r="AU358" s="448">
        <v>0</v>
      </c>
      <c r="AV358" s="448">
        <v>0</v>
      </c>
      <c r="AW358" s="75">
        <v>0</v>
      </c>
      <c r="AX358" s="448">
        <v>0</v>
      </c>
      <c r="AY358" s="66">
        <v>0</v>
      </c>
      <c r="AZ358" s="202">
        <v>0</v>
      </c>
      <c r="BA358" s="448">
        <v>0</v>
      </c>
      <c r="BB358" s="448">
        <v>0</v>
      </c>
      <c r="BC358" s="448">
        <v>0</v>
      </c>
      <c r="BD358" s="448">
        <v>0</v>
      </c>
      <c r="BE358" s="448">
        <v>0</v>
      </c>
      <c r="BF358" s="448">
        <v>0</v>
      </c>
      <c r="BG358" s="66">
        <v>0</v>
      </c>
      <c r="BH358" s="67">
        <v>0</v>
      </c>
      <c r="BI358" s="67">
        <v>1511664.9275917595</v>
      </c>
    </row>
    <row r="359" spans="1:61" x14ac:dyDescent="0.25">
      <c r="A359" s="142">
        <v>0</v>
      </c>
      <c r="B359" s="81">
        <v>40521</v>
      </c>
      <c r="C359" s="198">
        <v>40521</v>
      </c>
      <c r="D359" s="69">
        <v>39793</v>
      </c>
      <c r="E359" s="70">
        <v>9</v>
      </c>
      <c r="F359" s="71">
        <v>49</v>
      </c>
      <c r="G359" s="72"/>
      <c r="H359" s="82"/>
      <c r="I359" s="210"/>
      <c r="J359" s="210"/>
      <c r="K359" s="84">
        <v>0</v>
      </c>
      <c r="L359" s="84">
        <v>0</v>
      </c>
      <c r="M359" s="84">
        <v>0</v>
      </c>
      <c r="N359" s="84">
        <v>0</v>
      </c>
      <c r="O359" s="84">
        <v>0</v>
      </c>
      <c r="P359" s="84">
        <v>0</v>
      </c>
      <c r="Q359" s="84">
        <v>0</v>
      </c>
      <c r="R359" s="84">
        <v>0</v>
      </c>
      <c r="S359" s="84">
        <v>0</v>
      </c>
      <c r="T359" s="84">
        <v>0</v>
      </c>
      <c r="U359" s="84">
        <v>0</v>
      </c>
      <c r="V359" s="84">
        <v>0</v>
      </c>
      <c r="W359" s="84">
        <v>0</v>
      </c>
      <c r="X359" s="84">
        <v>0</v>
      </c>
      <c r="Y359" s="84">
        <v>0</v>
      </c>
      <c r="Z359" s="84">
        <v>0</v>
      </c>
      <c r="AA359" s="84">
        <v>0</v>
      </c>
      <c r="AB359" s="84">
        <v>0</v>
      </c>
      <c r="AC359" s="84">
        <v>0</v>
      </c>
      <c r="AD359" s="84">
        <v>0</v>
      </c>
      <c r="AE359" s="84">
        <v>0</v>
      </c>
      <c r="AF359" s="84">
        <v>0</v>
      </c>
      <c r="AG359" s="84">
        <v>0</v>
      </c>
      <c r="AH359" s="84">
        <v>0</v>
      </c>
      <c r="AI359" s="84">
        <v>0</v>
      </c>
      <c r="AJ359" s="84">
        <v>0</v>
      </c>
      <c r="AK359" s="84">
        <v>0</v>
      </c>
      <c r="AL359" s="84">
        <v>0</v>
      </c>
      <c r="AM359" s="84">
        <v>0</v>
      </c>
      <c r="AN359" s="84">
        <v>0</v>
      </c>
      <c r="AO359" s="84">
        <v>0</v>
      </c>
      <c r="AP359" s="84">
        <v>0</v>
      </c>
      <c r="AQ359" s="84">
        <v>0</v>
      </c>
      <c r="AR359" s="200">
        <v>0</v>
      </c>
      <c r="AS359" s="200">
        <v>0</v>
      </c>
      <c r="AT359" s="66">
        <v>0</v>
      </c>
      <c r="AU359" s="448">
        <v>0</v>
      </c>
      <c r="AV359" s="448">
        <v>0</v>
      </c>
      <c r="AW359" s="75">
        <v>0</v>
      </c>
      <c r="AX359" s="448">
        <v>0</v>
      </c>
      <c r="AY359" s="66">
        <v>0</v>
      </c>
      <c r="AZ359" s="202">
        <v>0</v>
      </c>
      <c r="BA359" s="448">
        <v>0</v>
      </c>
      <c r="BB359" s="448">
        <v>0</v>
      </c>
      <c r="BC359" s="448">
        <v>0</v>
      </c>
      <c r="BD359" s="448">
        <v>0</v>
      </c>
      <c r="BE359" s="448">
        <v>0</v>
      </c>
      <c r="BF359" s="448">
        <v>0</v>
      </c>
      <c r="BG359" s="66">
        <v>0</v>
      </c>
      <c r="BH359" s="67">
        <v>0</v>
      </c>
      <c r="BI359" s="67">
        <v>1511664.9275917595</v>
      </c>
    </row>
    <row r="360" spans="1:61" x14ac:dyDescent="0.25">
      <c r="A360" s="142">
        <v>0</v>
      </c>
      <c r="B360" s="81">
        <v>40522</v>
      </c>
      <c r="C360" s="198">
        <v>40522</v>
      </c>
      <c r="D360" s="69">
        <v>39794</v>
      </c>
      <c r="E360" s="70">
        <v>10</v>
      </c>
      <c r="F360" s="71">
        <v>49</v>
      </c>
      <c r="G360" s="72"/>
      <c r="H360" s="82"/>
      <c r="I360" s="210"/>
      <c r="J360" s="210"/>
      <c r="K360" s="84">
        <v>0</v>
      </c>
      <c r="L360" s="84">
        <v>0</v>
      </c>
      <c r="M360" s="84">
        <v>0</v>
      </c>
      <c r="N360" s="84">
        <v>0</v>
      </c>
      <c r="O360" s="84">
        <v>0</v>
      </c>
      <c r="P360" s="84">
        <v>0</v>
      </c>
      <c r="Q360" s="84">
        <v>0</v>
      </c>
      <c r="R360" s="84">
        <v>0</v>
      </c>
      <c r="S360" s="84">
        <v>0</v>
      </c>
      <c r="T360" s="84">
        <v>0</v>
      </c>
      <c r="U360" s="84">
        <v>0</v>
      </c>
      <c r="V360" s="84">
        <v>0</v>
      </c>
      <c r="W360" s="84">
        <v>0</v>
      </c>
      <c r="X360" s="84">
        <v>0</v>
      </c>
      <c r="Y360" s="84">
        <v>0</v>
      </c>
      <c r="Z360" s="84">
        <v>0</v>
      </c>
      <c r="AA360" s="84">
        <v>0</v>
      </c>
      <c r="AB360" s="84">
        <v>0</v>
      </c>
      <c r="AC360" s="84">
        <v>0</v>
      </c>
      <c r="AD360" s="84">
        <v>0</v>
      </c>
      <c r="AE360" s="84">
        <v>0</v>
      </c>
      <c r="AF360" s="84">
        <v>0</v>
      </c>
      <c r="AG360" s="84">
        <v>0</v>
      </c>
      <c r="AH360" s="84">
        <v>0</v>
      </c>
      <c r="AI360" s="84">
        <v>0</v>
      </c>
      <c r="AJ360" s="84">
        <v>0</v>
      </c>
      <c r="AK360" s="84">
        <v>0</v>
      </c>
      <c r="AL360" s="84">
        <v>0</v>
      </c>
      <c r="AM360" s="84">
        <v>0</v>
      </c>
      <c r="AN360" s="84">
        <v>0</v>
      </c>
      <c r="AO360" s="84">
        <v>0</v>
      </c>
      <c r="AP360" s="84">
        <v>0</v>
      </c>
      <c r="AQ360" s="84">
        <v>0</v>
      </c>
      <c r="AR360" s="200">
        <v>0</v>
      </c>
      <c r="AS360" s="200">
        <v>0</v>
      </c>
      <c r="AT360" s="66">
        <v>0</v>
      </c>
      <c r="AU360" s="448">
        <v>0</v>
      </c>
      <c r="AV360" s="448">
        <v>0</v>
      </c>
      <c r="AW360" s="75">
        <v>0</v>
      </c>
      <c r="AX360" s="448">
        <v>0</v>
      </c>
      <c r="AY360" s="66">
        <v>0</v>
      </c>
      <c r="AZ360" s="202">
        <v>0</v>
      </c>
      <c r="BA360" s="448">
        <v>0</v>
      </c>
      <c r="BB360" s="448">
        <v>0</v>
      </c>
      <c r="BC360" s="448">
        <v>0</v>
      </c>
      <c r="BD360" s="448">
        <v>0</v>
      </c>
      <c r="BE360" s="448">
        <v>0</v>
      </c>
      <c r="BF360" s="448">
        <v>0</v>
      </c>
      <c r="BG360" s="66">
        <v>0</v>
      </c>
      <c r="BH360" s="67">
        <v>0</v>
      </c>
      <c r="BI360" s="67">
        <v>1511664.9275917595</v>
      </c>
    </row>
    <row r="361" spans="1:61" x14ac:dyDescent="0.25">
      <c r="A361" s="142">
        <v>0</v>
      </c>
      <c r="B361" s="85">
        <v>40523</v>
      </c>
      <c r="C361" s="203">
        <v>40523</v>
      </c>
      <c r="D361" s="76">
        <v>39795</v>
      </c>
      <c r="E361" s="77">
        <v>11</v>
      </c>
      <c r="F361" s="78">
        <v>49</v>
      </c>
      <c r="G361" s="79"/>
      <c r="H361" s="80"/>
      <c r="I361" s="212"/>
      <c r="J361" s="212"/>
      <c r="K361" s="231">
        <v>847.05882352941171</v>
      </c>
      <c r="L361" s="231">
        <v>98.82352941176471</v>
      </c>
      <c r="M361" s="231">
        <v>945.88235294117646</v>
      </c>
      <c r="N361" s="231">
        <v>230.58823529411765</v>
      </c>
      <c r="O361" s="231">
        <v>32.941176470588232</v>
      </c>
      <c r="P361" s="231">
        <v>263.52941176470586</v>
      </c>
      <c r="Q361" s="231">
        <v>10.352941176470589</v>
      </c>
      <c r="R361" s="231">
        <v>0</v>
      </c>
      <c r="S361" s="231">
        <v>10.352941176470589</v>
      </c>
      <c r="T361" s="231">
        <v>80</v>
      </c>
      <c r="U361" s="231">
        <v>537.41176470588232</v>
      </c>
      <c r="V361" s="231">
        <v>617.41176470588232</v>
      </c>
      <c r="W361" s="231">
        <v>320.94117647058823</v>
      </c>
      <c r="X361" s="231">
        <v>570.35294117647061</v>
      </c>
      <c r="Y361" s="231">
        <v>891.29411764705878</v>
      </c>
      <c r="Z361" s="231">
        <v>1837.1764705882354</v>
      </c>
      <c r="AA361" s="231">
        <v>0</v>
      </c>
      <c r="AB361" s="231">
        <v>1.0352941176470589</v>
      </c>
      <c r="AC361" s="231">
        <v>1.0352941176470589</v>
      </c>
      <c r="AD361" s="231">
        <v>0</v>
      </c>
      <c r="AE361" s="231">
        <v>0</v>
      </c>
      <c r="AF361" s="231">
        <v>0</v>
      </c>
      <c r="AG361" s="231">
        <v>0</v>
      </c>
      <c r="AH361" s="231">
        <v>0.84705882352941175</v>
      </c>
      <c r="AI361" s="231">
        <v>0.84705882352941175</v>
      </c>
      <c r="AJ361" s="231">
        <v>0</v>
      </c>
      <c r="AK361" s="231">
        <v>5.6470588235294121</v>
      </c>
      <c r="AL361" s="231">
        <v>5.6470588235294121</v>
      </c>
      <c r="AM361" s="231">
        <v>0</v>
      </c>
      <c r="AN361" s="231">
        <v>6.4941176470588236</v>
      </c>
      <c r="AO361" s="231">
        <v>6.4941176470588236</v>
      </c>
      <c r="AP361" s="231">
        <v>7.5294117647058822</v>
      </c>
      <c r="AQ361" s="231">
        <v>0</v>
      </c>
      <c r="AR361" s="200">
        <v>946.91764705882349</v>
      </c>
      <c r="AS361" s="200">
        <v>897.78823529411761</v>
      </c>
      <c r="AT361" s="66">
        <v>1844.705882352941</v>
      </c>
      <c r="AU361" s="231">
        <v>14.117647058823529</v>
      </c>
      <c r="AV361" s="231">
        <v>75.294117647058826</v>
      </c>
      <c r="AW361" s="75">
        <v>254.11764705882354</v>
      </c>
      <c r="AX361" s="231">
        <v>282.35294117647061</v>
      </c>
      <c r="AY361" s="66">
        <v>625.88235294117646</v>
      </c>
      <c r="AZ361" s="208">
        <v>0</v>
      </c>
      <c r="BA361" s="231">
        <v>207.05882352941177</v>
      </c>
      <c r="BB361" s="231">
        <v>207.05882352941177</v>
      </c>
      <c r="BC361" s="231">
        <v>207.05882352941177</v>
      </c>
      <c r="BD361" s="231">
        <v>207.05882352941177</v>
      </c>
      <c r="BE361" s="231">
        <v>414.11764705882354</v>
      </c>
      <c r="BF361" s="231">
        <v>89.411764705882348</v>
      </c>
      <c r="BG361" s="66">
        <v>503.52941176470586</v>
      </c>
      <c r="BH361" s="67">
        <v>2974.1176470588234</v>
      </c>
      <c r="BI361" s="67">
        <v>1514639.0452388183</v>
      </c>
    </row>
    <row r="362" spans="1:61" x14ac:dyDescent="0.25">
      <c r="A362" s="142">
        <v>0</v>
      </c>
      <c r="B362" s="85">
        <v>40524</v>
      </c>
      <c r="C362" s="203">
        <v>40524</v>
      </c>
      <c r="D362" s="76">
        <v>39796</v>
      </c>
      <c r="E362" s="77">
        <v>12</v>
      </c>
      <c r="F362" s="78">
        <v>49</v>
      </c>
      <c r="G362" s="79"/>
      <c r="H362" s="80"/>
      <c r="I362" s="212"/>
      <c r="J362" s="212"/>
      <c r="K362" s="231">
        <v>583.52941176470586</v>
      </c>
      <c r="L362" s="231">
        <v>70.588235294117652</v>
      </c>
      <c r="M362" s="231">
        <v>654.11764705882354</v>
      </c>
      <c r="N362" s="231">
        <v>138.35294117647058</v>
      </c>
      <c r="O362" s="231">
        <v>32</v>
      </c>
      <c r="P362" s="231">
        <v>170.35294117647058</v>
      </c>
      <c r="Q362" s="231">
        <v>5.6470588235294121</v>
      </c>
      <c r="R362" s="231">
        <v>0</v>
      </c>
      <c r="S362" s="231">
        <v>5.6470588235294121</v>
      </c>
      <c r="T362" s="231">
        <v>35.764705882352942</v>
      </c>
      <c r="U362" s="231">
        <v>525.17647058823525</v>
      </c>
      <c r="V362" s="231">
        <v>560.94117647058829</v>
      </c>
      <c r="W362" s="231">
        <v>179.76470588235293</v>
      </c>
      <c r="X362" s="231">
        <v>557.17647058823525</v>
      </c>
      <c r="Y362" s="231">
        <v>736.94117647058829</v>
      </c>
      <c r="Z362" s="231">
        <v>1391.0588235294117</v>
      </c>
      <c r="AA362" s="231">
        <v>0.56470588235294117</v>
      </c>
      <c r="AB362" s="231">
        <v>1.0352941176470589</v>
      </c>
      <c r="AC362" s="231">
        <v>1.6</v>
      </c>
      <c r="AD362" s="231">
        <v>0</v>
      </c>
      <c r="AE362" s="231">
        <v>0</v>
      </c>
      <c r="AF362" s="231">
        <v>0</v>
      </c>
      <c r="AG362" s="231">
        <v>1.3176470588235294</v>
      </c>
      <c r="AH362" s="231">
        <v>0.84705882352941175</v>
      </c>
      <c r="AI362" s="231">
        <v>2.164705882352941</v>
      </c>
      <c r="AJ362" s="231">
        <v>0</v>
      </c>
      <c r="AK362" s="231">
        <v>5.6470588235294121</v>
      </c>
      <c r="AL362" s="231">
        <v>5.6470588235294121</v>
      </c>
      <c r="AM362" s="231">
        <v>1.3176470588235294</v>
      </c>
      <c r="AN362" s="231">
        <v>6.4941176470588236</v>
      </c>
      <c r="AO362" s="231">
        <v>7.8117647058823536</v>
      </c>
      <c r="AP362" s="231">
        <v>9.4117647058823533</v>
      </c>
      <c r="AQ362" s="231">
        <v>0</v>
      </c>
      <c r="AR362" s="200">
        <v>655.71764705882356</v>
      </c>
      <c r="AS362" s="200">
        <v>744.75294117647059</v>
      </c>
      <c r="AT362" s="66">
        <v>1400.4705882352941</v>
      </c>
      <c r="AU362" s="231">
        <v>0</v>
      </c>
      <c r="AV362" s="231">
        <v>160.29769572062401</v>
      </c>
      <c r="AW362" s="75">
        <v>169.41176470588235</v>
      </c>
      <c r="AX362" s="231">
        <v>188.23529411764707</v>
      </c>
      <c r="AY362" s="66">
        <v>517.9447545441534</v>
      </c>
      <c r="AZ362" s="208">
        <v>0</v>
      </c>
      <c r="BA362" s="231">
        <v>207.05882352941177</v>
      </c>
      <c r="BB362" s="231">
        <v>150.58823529411765</v>
      </c>
      <c r="BC362" s="231">
        <v>207.05882352941177</v>
      </c>
      <c r="BD362" s="231">
        <v>150.58823529411765</v>
      </c>
      <c r="BE362" s="231">
        <v>357.64705882352939</v>
      </c>
      <c r="BF362" s="231">
        <v>32.941176470588232</v>
      </c>
      <c r="BG362" s="66">
        <v>390.58823529411762</v>
      </c>
      <c r="BH362" s="67">
        <v>2309.0035780735652</v>
      </c>
      <c r="BI362" s="67">
        <v>1516948.0488168919</v>
      </c>
    </row>
    <row r="363" spans="1:61" x14ac:dyDescent="0.25">
      <c r="A363" s="142">
        <v>0</v>
      </c>
      <c r="B363" s="81">
        <v>40525</v>
      </c>
      <c r="C363" s="198">
        <v>40525</v>
      </c>
      <c r="D363" s="69">
        <v>39797</v>
      </c>
      <c r="E363" s="70">
        <v>13</v>
      </c>
      <c r="F363" s="71">
        <v>50</v>
      </c>
      <c r="G363" s="72"/>
      <c r="H363" s="82"/>
      <c r="I363" s="210"/>
      <c r="J363" s="210"/>
      <c r="K363" s="84">
        <v>0</v>
      </c>
      <c r="L363" s="84">
        <v>0</v>
      </c>
      <c r="M363" s="84">
        <v>0</v>
      </c>
      <c r="N363" s="84">
        <v>0</v>
      </c>
      <c r="O363" s="84">
        <v>0</v>
      </c>
      <c r="P363" s="84">
        <v>0</v>
      </c>
      <c r="Q363" s="84">
        <v>0</v>
      </c>
      <c r="R363" s="84">
        <v>0</v>
      </c>
      <c r="S363" s="84">
        <v>0</v>
      </c>
      <c r="T363" s="84">
        <v>0</v>
      </c>
      <c r="U363" s="84">
        <v>0</v>
      </c>
      <c r="V363" s="84">
        <v>0</v>
      </c>
      <c r="W363" s="84">
        <v>0</v>
      </c>
      <c r="X363" s="84">
        <v>0</v>
      </c>
      <c r="Y363" s="84">
        <v>0</v>
      </c>
      <c r="Z363" s="84">
        <v>0</v>
      </c>
      <c r="AA363" s="84">
        <v>0</v>
      </c>
      <c r="AB363" s="84">
        <v>0</v>
      </c>
      <c r="AC363" s="84">
        <v>0</v>
      </c>
      <c r="AD363" s="84">
        <v>0</v>
      </c>
      <c r="AE363" s="84">
        <v>0</v>
      </c>
      <c r="AF363" s="84">
        <v>0</v>
      </c>
      <c r="AG363" s="84">
        <v>0</v>
      </c>
      <c r="AH363" s="84">
        <v>0</v>
      </c>
      <c r="AI363" s="84">
        <v>0</v>
      </c>
      <c r="AJ363" s="84">
        <v>0</v>
      </c>
      <c r="AK363" s="84">
        <v>0</v>
      </c>
      <c r="AL363" s="84">
        <v>0</v>
      </c>
      <c r="AM363" s="84">
        <v>0</v>
      </c>
      <c r="AN363" s="84">
        <v>0</v>
      </c>
      <c r="AO363" s="84">
        <v>0</v>
      </c>
      <c r="AP363" s="84">
        <v>0</v>
      </c>
      <c r="AQ363" s="84">
        <v>0</v>
      </c>
      <c r="AR363" s="200">
        <v>0</v>
      </c>
      <c r="AS363" s="200">
        <v>0</v>
      </c>
      <c r="AT363" s="66">
        <v>0</v>
      </c>
      <c r="AU363" s="448">
        <v>0</v>
      </c>
      <c r="AV363" s="448">
        <v>0</v>
      </c>
      <c r="AW363" s="75">
        <v>0</v>
      </c>
      <c r="AX363" s="448">
        <v>0</v>
      </c>
      <c r="AY363" s="66">
        <v>0</v>
      </c>
      <c r="AZ363" s="202">
        <v>0</v>
      </c>
      <c r="BA363" s="448">
        <v>0</v>
      </c>
      <c r="BB363" s="448">
        <v>0</v>
      </c>
      <c r="BC363" s="448">
        <v>0</v>
      </c>
      <c r="BD363" s="448">
        <v>0</v>
      </c>
      <c r="BE363" s="448">
        <v>0</v>
      </c>
      <c r="BF363" s="448">
        <v>0</v>
      </c>
      <c r="BG363" s="66">
        <v>0</v>
      </c>
      <c r="BH363" s="67">
        <v>0</v>
      </c>
      <c r="BI363" s="67">
        <v>1516948.0488168919</v>
      </c>
    </row>
    <row r="364" spans="1:61" x14ac:dyDescent="0.25">
      <c r="A364" s="142">
        <v>0</v>
      </c>
      <c r="B364" s="81">
        <v>40526</v>
      </c>
      <c r="C364" s="198">
        <v>40526</v>
      </c>
      <c r="D364" s="69">
        <v>39798</v>
      </c>
      <c r="E364" s="70">
        <v>14</v>
      </c>
      <c r="F364" s="71">
        <v>50</v>
      </c>
      <c r="G364" s="72"/>
      <c r="H364" s="82" t="s">
        <v>47</v>
      </c>
      <c r="I364" s="210"/>
      <c r="J364" s="210"/>
      <c r="K364" s="84">
        <v>0</v>
      </c>
      <c r="L364" s="84">
        <v>0</v>
      </c>
      <c r="M364" s="84">
        <v>0</v>
      </c>
      <c r="N364" s="84">
        <v>0</v>
      </c>
      <c r="O364" s="84">
        <v>0</v>
      </c>
      <c r="P364" s="84">
        <v>0</v>
      </c>
      <c r="Q364" s="84">
        <v>0</v>
      </c>
      <c r="R364" s="84">
        <v>0</v>
      </c>
      <c r="S364" s="84">
        <v>0</v>
      </c>
      <c r="T364" s="84">
        <v>0</v>
      </c>
      <c r="U364" s="84">
        <v>0</v>
      </c>
      <c r="V364" s="84">
        <v>0</v>
      </c>
      <c r="W364" s="84">
        <v>0</v>
      </c>
      <c r="X364" s="84">
        <v>0</v>
      </c>
      <c r="Y364" s="84">
        <v>0</v>
      </c>
      <c r="Z364" s="84">
        <v>0</v>
      </c>
      <c r="AA364" s="84">
        <v>0</v>
      </c>
      <c r="AB364" s="84">
        <v>0</v>
      </c>
      <c r="AC364" s="84">
        <v>0</v>
      </c>
      <c r="AD364" s="84">
        <v>0</v>
      </c>
      <c r="AE364" s="84">
        <v>0</v>
      </c>
      <c r="AF364" s="84">
        <v>0</v>
      </c>
      <c r="AG364" s="84">
        <v>0</v>
      </c>
      <c r="AH364" s="84">
        <v>0</v>
      </c>
      <c r="AI364" s="84">
        <v>0</v>
      </c>
      <c r="AJ364" s="84">
        <v>0</v>
      </c>
      <c r="AK364" s="84">
        <v>0</v>
      </c>
      <c r="AL364" s="84">
        <v>0</v>
      </c>
      <c r="AM364" s="84">
        <v>0</v>
      </c>
      <c r="AN364" s="84">
        <v>0</v>
      </c>
      <c r="AO364" s="84">
        <v>0</v>
      </c>
      <c r="AP364" s="84">
        <v>0</v>
      </c>
      <c r="AQ364" s="84">
        <v>0</v>
      </c>
      <c r="AR364" s="200">
        <v>0</v>
      </c>
      <c r="AS364" s="200">
        <v>0</v>
      </c>
      <c r="AT364" s="66">
        <v>0</v>
      </c>
      <c r="AU364" s="448">
        <v>0</v>
      </c>
      <c r="AV364" s="448">
        <v>0</v>
      </c>
      <c r="AW364" s="75">
        <v>0</v>
      </c>
      <c r="AX364" s="448">
        <v>0</v>
      </c>
      <c r="AY364" s="66">
        <v>0</v>
      </c>
      <c r="AZ364" s="202">
        <v>0</v>
      </c>
      <c r="BA364" s="448">
        <v>0</v>
      </c>
      <c r="BB364" s="448">
        <v>0</v>
      </c>
      <c r="BC364" s="448">
        <v>0</v>
      </c>
      <c r="BD364" s="448">
        <v>0</v>
      </c>
      <c r="BE364" s="448">
        <v>0</v>
      </c>
      <c r="BF364" s="448">
        <v>0</v>
      </c>
      <c r="BG364" s="66">
        <v>0</v>
      </c>
      <c r="BH364" s="67">
        <v>0</v>
      </c>
      <c r="BI364" s="67">
        <v>1516948.0488168919</v>
      </c>
    </row>
    <row r="365" spans="1:61" x14ac:dyDescent="0.25">
      <c r="A365" s="142">
        <v>0</v>
      </c>
      <c r="B365" s="81">
        <v>40527</v>
      </c>
      <c r="C365" s="198">
        <v>40527</v>
      </c>
      <c r="D365" s="69">
        <v>39799</v>
      </c>
      <c r="E365" s="70">
        <v>15</v>
      </c>
      <c r="F365" s="71">
        <v>50</v>
      </c>
      <c r="G365" s="72"/>
      <c r="H365" s="82" t="s">
        <v>47</v>
      </c>
      <c r="I365" s="210"/>
      <c r="J365" s="210"/>
      <c r="K365" s="84">
        <v>0</v>
      </c>
      <c r="L365" s="84">
        <v>0</v>
      </c>
      <c r="M365" s="84">
        <v>0</v>
      </c>
      <c r="N365" s="84">
        <v>0</v>
      </c>
      <c r="O365" s="84">
        <v>0</v>
      </c>
      <c r="P365" s="84">
        <v>0</v>
      </c>
      <c r="Q365" s="84">
        <v>0</v>
      </c>
      <c r="R365" s="84">
        <v>0</v>
      </c>
      <c r="S365" s="84">
        <v>0</v>
      </c>
      <c r="T365" s="84">
        <v>0</v>
      </c>
      <c r="U365" s="84">
        <v>0</v>
      </c>
      <c r="V365" s="84">
        <v>0</v>
      </c>
      <c r="W365" s="84">
        <v>0</v>
      </c>
      <c r="X365" s="84">
        <v>0</v>
      </c>
      <c r="Y365" s="84">
        <v>0</v>
      </c>
      <c r="Z365" s="84">
        <v>0</v>
      </c>
      <c r="AA365" s="84">
        <v>0</v>
      </c>
      <c r="AB365" s="84">
        <v>0</v>
      </c>
      <c r="AC365" s="84">
        <v>0</v>
      </c>
      <c r="AD365" s="84">
        <v>0</v>
      </c>
      <c r="AE365" s="84">
        <v>0</v>
      </c>
      <c r="AF365" s="84">
        <v>0</v>
      </c>
      <c r="AG365" s="84">
        <v>0</v>
      </c>
      <c r="AH365" s="84">
        <v>0</v>
      </c>
      <c r="AI365" s="84">
        <v>0</v>
      </c>
      <c r="AJ365" s="84">
        <v>0</v>
      </c>
      <c r="AK365" s="84">
        <v>0</v>
      </c>
      <c r="AL365" s="84">
        <v>0</v>
      </c>
      <c r="AM365" s="84">
        <v>0</v>
      </c>
      <c r="AN365" s="84">
        <v>0</v>
      </c>
      <c r="AO365" s="84">
        <v>0</v>
      </c>
      <c r="AP365" s="84">
        <v>0</v>
      </c>
      <c r="AQ365" s="84">
        <v>0</v>
      </c>
      <c r="AR365" s="200">
        <v>0</v>
      </c>
      <c r="AS365" s="200">
        <v>0</v>
      </c>
      <c r="AT365" s="66">
        <v>0</v>
      </c>
      <c r="AU365" s="448">
        <v>0</v>
      </c>
      <c r="AV365" s="448">
        <v>0</v>
      </c>
      <c r="AW365" s="75">
        <v>37.647058823529413</v>
      </c>
      <c r="AX365" s="448">
        <v>0</v>
      </c>
      <c r="AY365" s="66">
        <v>37.647058823529413</v>
      </c>
      <c r="AZ365" s="202">
        <v>0</v>
      </c>
      <c r="BA365" s="448">
        <v>0</v>
      </c>
      <c r="BB365" s="448">
        <v>0</v>
      </c>
      <c r="BC365" s="448">
        <v>0</v>
      </c>
      <c r="BD365" s="448">
        <v>0</v>
      </c>
      <c r="BE365" s="448">
        <v>0</v>
      </c>
      <c r="BF365" s="448">
        <v>0</v>
      </c>
      <c r="BG365" s="66">
        <v>0</v>
      </c>
      <c r="BH365" s="67">
        <v>37.647058823529413</v>
      </c>
      <c r="BI365" s="67">
        <v>1516985.6958757155</v>
      </c>
    </row>
    <row r="366" spans="1:61" x14ac:dyDescent="0.25">
      <c r="A366" s="142">
        <v>0</v>
      </c>
      <c r="B366" s="81">
        <v>40528</v>
      </c>
      <c r="C366" s="198">
        <v>40528</v>
      </c>
      <c r="D366" s="69">
        <v>39800</v>
      </c>
      <c r="E366" s="70">
        <v>16</v>
      </c>
      <c r="F366" s="71">
        <v>50</v>
      </c>
      <c r="G366" s="72"/>
      <c r="H366" s="82" t="s">
        <v>47</v>
      </c>
      <c r="I366" s="210"/>
      <c r="J366" s="210"/>
      <c r="K366" s="84">
        <v>0</v>
      </c>
      <c r="L366" s="84">
        <v>0</v>
      </c>
      <c r="M366" s="84">
        <v>0</v>
      </c>
      <c r="N366" s="84">
        <v>0</v>
      </c>
      <c r="O366" s="84">
        <v>0</v>
      </c>
      <c r="P366" s="84">
        <v>0</v>
      </c>
      <c r="Q366" s="84">
        <v>0</v>
      </c>
      <c r="R366" s="84">
        <v>0</v>
      </c>
      <c r="S366" s="84">
        <v>0</v>
      </c>
      <c r="T366" s="84">
        <v>0</v>
      </c>
      <c r="U366" s="84">
        <v>0</v>
      </c>
      <c r="V366" s="84">
        <v>0</v>
      </c>
      <c r="W366" s="84">
        <v>0</v>
      </c>
      <c r="X366" s="84">
        <v>0</v>
      </c>
      <c r="Y366" s="84">
        <v>0</v>
      </c>
      <c r="Z366" s="84">
        <v>0</v>
      </c>
      <c r="AA366" s="84">
        <v>0</v>
      </c>
      <c r="AB366" s="84">
        <v>0</v>
      </c>
      <c r="AC366" s="84">
        <v>0</v>
      </c>
      <c r="AD366" s="84">
        <v>0</v>
      </c>
      <c r="AE366" s="84">
        <v>0</v>
      </c>
      <c r="AF366" s="84">
        <v>0</v>
      </c>
      <c r="AG366" s="84">
        <v>0</v>
      </c>
      <c r="AH366" s="84">
        <v>0</v>
      </c>
      <c r="AI366" s="84">
        <v>0</v>
      </c>
      <c r="AJ366" s="84">
        <v>0</v>
      </c>
      <c r="AK366" s="84">
        <v>0</v>
      </c>
      <c r="AL366" s="84">
        <v>0</v>
      </c>
      <c r="AM366" s="84">
        <v>0</v>
      </c>
      <c r="AN366" s="84">
        <v>0</v>
      </c>
      <c r="AO366" s="84">
        <v>0</v>
      </c>
      <c r="AP366" s="84">
        <v>0</v>
      </c>
      <c r="AQ366" s="84">
        <v>0</v>
      </c>
      <c r="AR366" s="200">
        <v>0</v>
      </c>
      <c r="AS366" s="200">
        <v>0</v>
      </c>
      <c r="AT366" s="66">
        <v>0</v>
      </c>
      <c r="AU366" s="448">
        <v>0</v>
      </c>
      <c r="AV366" s="448">
        <v>0</v>
      </c>
      <c r="AW366" s="75">
        <v>0</v>
      </c>
      <c r="AX366" s="448">
        <v>0</v>
      </c>
      <c r="AY366" s="66">
        <v>0</v>
      </c>
      <c r="AZ366" s="202">
        <v>0</v>
      </c>
      <c r="BA366" s="448">
        <v>0</v>
      </c>
      <c r="BB366" s="448">
        <v>0</v>
      </c>
      <c r="BC366" s="448">
        <v>0</v>
      </c>
      <c r="BD366" s="448">
        <v>0</v>
      </c>
      <c r="BE366" s="448">
        <v>0</v>
      </c>
      <c r="BF366" s="448">
        <v>0</v>
      </c>
      <c r="BG366" s="66">
        <v>0</v>
      </c>
      <c r="BH366" s="67">
        <v>0</v>
      </c>
      <c r="BI366" s="67">
        <v>1516985.6958757155</v>
      </c>
    </row>
    <row r="367" spans="1:61" x14ac:dyDescent="0.25">
      <c r="A367" s="142">
        <v>0</v>
      </c>
      <c r="B367" s="81">
        <v>40529</v>
      </c>
      <c r="C367" s="198">
        <v>40529</v>
      </c>
      <c r="D367" s="69">
        <v>39801</v>
      </c>
      <c r="E367" s="70">
        <v>17</v>
      </c>
      <c r="F367" s="71">
        <v>50</v>
      </c>
      <c r="G367" s="72"/>
      <c r="H367" s="82" t="s">
        <v>47</v>
      </c>
      <c r="I367" s="210"/>
      <c r="J367" s="210"/>
      <c r="K367" s="84">
        <v>0</v>
      </c>
      <c r="L367" s="84">
        <v>0</v>
      </c>
      <c r="M367" s="84">
        <v>0</v>
      </c>
      <c r="N367" s="84">
        <v>0</v>
      </c>
      <c r="O367" s="84">
        <v>0</v>
      </c>
      <c r="P367" s="84">
        <v>0</v>
      </c>
      <c r="Q367" s="84">
        <v>0</v>
      </c>
      <c r="R367" s="84">
        <v>0</v>
      </c>
      <c r="S367" s="84">
        <v>0</v>
      </c>
      <c r="T367" s="84">
        <v>0</v>
      </c>
      <c r="U367" s="84">
        <v>0</v>
      </c>
      <c r="V367" s="84">
        <v>0</v>
      </c>
      <c r="W367" s="84">
        <v>0</v>
      </c>
      <c r="X367" s="84">
        <v>0</v>
      </c>
      <c r="Y367" s="84">
        <v>0</v>
      </c>
      <c r="Z367" s="84">
        <v>0</v>
      </c>
      <c r="AA367" s="84">
        <v>0</v>
      </c>
      <c r="AB367" s="84">
        <v>0</v>
      </c>
      <c r="AC367" s="84">
        <v>0</v>
      </c>
      <c r="AD367" s="84">
        <v>0</v>
      </c>
      <c r="AE367" s="84">
        <v>0</v>
      </c>
      <c r="AF367" s="84">
        <v>0</v>
      </c>
      <c r="AG367" s="84">
        <v>0</v>
      </c>
      <c r="AH367" s="84">
        <v>0</v>
      </c>
      <c r="AI367" s="84">
        <v>0</v>
      </c>
      <c r="AJ367" s="84">
        <v>0</v>
      </c>
      <c r="AK367" s="84">
        <v>0</v>
      </c>
      <c r="AL367" s="84">
        <v>0</v>
      </c>
      <c r="AM367" s="84">
        <v>0</v>
      </c>
      <c r="AN367" s="84">
        <v>0</v>
      </c>
      <c r="AO367" s="84">
        <v>0</v>
      </c>
      <c r="AP367" s="84">
        <v>0</v>
      </c>
      <c r="AQ367" s="84">
        <v>0</v>
      </c>
      <c r="AR367" s="200">
        <v>0</v>
      </c>
      <c r="AS367" s="200">
        <v>0</v>
      </c>
      <c r="AT367" s="66">
        <v>0</v>
      </c>
      <c r="AU367" s="448">
        <v>0</v>
      </c>
      <c r="AV367" s="448">
        <v>0</v>
      </c>
      <c r="AW367" s="75">
        <v>0</v>
      </c>
      <c r="AX367" s="448">
        <v>0</v>
      </c>
      <c r="AY367" s="66">
        <v>0</v>
      </c>
      <c r="AZ367" s="202">
        <v>0</v>
      </c>
      <c r="BA367" s="448">
        <v>0</v>
      </c>
      <c r="BB367" s="448">
        <v>0</v>
      </c>
      <c r="BC367" s="448">
        <v>0</v>
      </c>
      <c r="BD367" s="448">
        <v>0</v>
      </c>
      <c r="BE367" s="448">
        <v>0</v>
      </c>
      <c r="BF367" s="448">
        <v>0</v>
      </c>
      <c r="BG367" s="66">
        <v>0</v>
      </c>
      <c r="BH367" s="67">
        <v>0</v>
      </c>
      <c r="BI367" s="67">
        <v>1516985.6958757155</v>
      </c>
    </row>
    <row r="368" spans="1:61" x14ac:dyDescent="0.25">
      <c r="A368" s="142">
        <v>0</v>
      </c>
      <c r="B368" s="85">
        <v>40530</v>
      </c>
      <c r="C368" s="203">
        <v>40530</v>
      </c>
      <c r="D368" s="76">
        <v>39802</v>
      </c>
      <c r="E368" s="77">
        <v>18</v>
      </c>
      <c r="F368" s="78">
        <v>50</v>
      </c>
      <c r="G368" s="79"/>
      <c r="H368" s="80" t="s">
        <v>4</v>
      </c>
      <c r="I368" s="212"/>
      <c r="J368" s="212"/>
      <c r="K368" s="231">
        <v>1270.5882352941176</v>
      </c>
      <c r="L368" s="231">
        <v>207.05882352941177</v>
      </c>
      <c r="M368" s="231">
        <v>1477.6470588235293</v>
      </c>
      <c r="N368" s="231">
        <v>329.41176470588238</v>
      </c>
      <c r="O368" s="231">
        <v>57.411764705882355</v>
      </c>
      <c r="P368" s="231">
        <v>386.8235294117647</v>
      </c>
      <c r="Q368" s="231">
        <v>44.235294117647058</v>
      </c>
      <c r="R368" s="231">
        <v>0</v>
      </c>
      <c r="S368" s="231">
        <v>44.235294117647058</v>
      </c>
      <c r="T368" s="231">
        <v>293.64705882352939</v>
      </c>
      <c r="U368" s="231">
        <v>1317.6470588235295</v>
      </c>
      <c r="V368" s="231">
        <v>1611.2941176470588</v>
      </c>
      <c r="W368" s="231">
        <v>667.29411764705878</v>
      </c>
      <c r="X368" s="231">
        <v>1375.0588235294117</v>
      </c>
      <c r="Y368" s="231">
        <v>2042.3529411764705</v>
      </c>
      <c r="Z368" s="231">
        <v>3520</v>
      </c>
      <c r="AA368" s="231">
        <v>5.6470588235294121</v>
      </c>
      <c r="AB368" s="231">
        <v>6.7294117647058824</v>
      </c>
      <c r="AC368" s="231">
        <v>12.376470588235295</v>
      </c>
      <c r="AD368" s="231">
        <v>0</v>
      </c>
      <c r="AE368" s="231">
        <v>0</v>
      </c>
      <c r="AF368" s="231">
        <v>0</v>
      </c>
      <c r="AG368" s="231">
        <v>13.176470588235293</v>
      </c>
      <c r="AH368" s="231">
        <v>5.5058823529411764</v>
      </c>
      <c r="AI368" s="231">
        <v>18.682352941176472</v>
      </c>
      <c r="AJ368" s="231">
        <v>2.8235294117647061</v>
      </c>
      <c r="AK368" s="231">
        <v>7.5294117647058822</v>
      </c>
      <c r="AL368" s="231">
        <v>10.352941176470589</v>
      </c>
      <c r="AM368" s="231">
        <v>16</v>
      </c>
      <c r="AN368" s="231">
        <v>13.035294117647059</v>
      </c>
      <c r="AO368" s="231">
        <v>29.035294117647059</v>
      </c>
      <c r="AP368" s="231">
        <v>41.411764705882355</v>
      </c>
      <c r="AQ368" s="231">
        <v>0</v>
      </c>
      <c r="AR368" s="200">
        <v>1490.0235294117647</v>
      </c>
      <c r="AS368" s="200">
        <v>2071.3882352941177</v>
      </c>
      <c r="AT368" s="66">
        <v>3561.4117647058824</v>
      </c>
      <c r="AU368" s="231">
        <v>14.117647058823529</v>
      </c>
      <c r="AV368" s="231">
        <v>53.647058823529413</v>
      </c>
      <c r="AW368" s="75">
        <v>235.29411764705881</v>
      </c>
      <c r="AX368" s="231">
        <v>329.41176470588238</v>
      </c>
      <c r="AY368" s="66">
        <v>632.47058823529414</v>
      </c>
      <c r="AZ368" s="208">
        <v>0</v>
      </c>
      <c r="BA368" s="231">
        <v>174.11764705882354</v>
      </c>
      <c r="BB368" s="231">
        <v>235.29411764705881</v>
      </c>
      <c r="BC368" s="231">
        <v>174.11764705882354</v>
      </c>
      <c r="BD368" s="231">
        <v>235.29411764705881</v>
      </c>
      <c r="BE368" s="231">
        <v>409.41176470588238</v>
      </c>
      <c r="BF368" s="231">
        <v>0</v>
      </c>
      <c r="BG368" s="66">
        <v>409.41176470588238</v>
      </c>
      <c r="BH368" s="67">
        <v>4603.2941176470595</v>
      </c>
      <c r="BI368" s="67">
        <v>1521588.9899933625</v>
      </c>
    </row>
    <row r="369" spans="1:61" x14ac:dyDescent="0.25">
      <c r="A369" s="142">
        <v>0</v>
      </c>
      <c r="B369" s="85">
        <v>40531</v>
      </c>
      <c r="C369" s="203">
        <v>40531</v>
      </c>
      <c r="D369" s="76">
        <v>39803</v>
      </c>
      <c r="E369" s="77">
        <v>19</v>
      </c>
      <c r="F369" s="78">
        <v>50</v>
      </c>
      <c r="G369" s="79"/>
      <c r="H369" s="80" t="s">
        <v>4</v>
      </c>
      <c r="I369" s="212"/>
      <c r="J369" s="212"/>
      <c r="K369" s="231">
        <v>1425.8823529411766</v>
      </c>
      <c r="L369" s="231">
        <v>216.47058823529412</v>
      </c>
      <c r="M369" s="231">
        <v>1642.3529411764707</v>
      </c>
      <c r="N369" s="231">
        <v>329.41176470588238</v>
      </c>
      <c r="O369" s="231">
        <v>121.41176470588235</v>
      </c>
      <c r="P369" s="231">
        <v>450.8235294117647</v>
      </c>
      <c r="Q369" s="231">
        <v>15.058823529411764</v>
      </c>
      <c r="R369" s="231">
        <v>0</v>
      </c>
      <c r="S369" s="231">
        <v>15.058823529411764</v>
      </c>
      <c r="T369" s="231">
        <v>292.70588235294116</v>
      </c>
      <c r="U369" s="231">
        <v>2192.9411764705883</v>
      </c>
      <c r="V369" s="231">
        <v>2485.6470588235293</v>
      </c>
      <c r="W369" s="231">
        <v>637.17647058823525</v>
      </c>
      <c r="X369" s="231">
        <v>2314.3529411764707</v>
      </c>
      <c r="Y369" s="231">
        <v>2951.5294117647059</v>
      </c>
      <c r="Z369" s="231">
        <v>4593.8823529411766</v>
      </c>
      <c r="AA369" s="231">
        <v>2.2588235294117647</v>
      </c>
      <c r="AB369" s="231">
        <v>8.2823529411764714</v>
      </c>
      <c r="AC369" s="231">
        <v>10.541176470588237</v>
      </c>
      <c r="AD369" s="231">
        <v>0</v>
      </c>
      <c r="AE369" s="231">
        <v>0</v>
      </c>
      <c r="AF369" s="231">
        <v>0</v>
      </c>
      <c r="AG369" s="231">
        <v>5.2705882352941176</v>
      </c>
      <c r="AH369" s="231">
        <v>6.776470588235294</v>
      </c>
      <c r="AI369" s="231">
        <v>12.047058823529412</v>
      </c>
      <c r="AJ369" s="231">
        <v>28.235294117647058</v>
      </c>
      <c r="AK369" s="231">
        <v>48.941176470588232</v>
      </c>
      <c r="AL369" s="231">
        <v>77.17647058823529</v>
      </c>
      <c r="AM369" s="231">
        <v>33.505882352941178</v>
      </c>
      <c r="AN369" s="231">
        <v>55.71764705882353</v>
      </c>
      <c r="AO369" s="231">
        <v>89.223529411764716</v>
      </c>
      <c r="AP369" s="231">
        <v>99.764705882352956</v>
      </c>
      <c r="AQ369" s="231">
        <v>0</v>
      </c>
      <c r="AR369" s="200">
        <v>1652.8941176470589</v>
      </c>
      <c r="AS369" s="200">
        <v>3040.7529411764704</v>
      </c>
      <c r="AT369" s="66">
        <v>4693.6470588235297</v>
      </c>
      <c r="AU369" s="231">
        <v>14.117647058823529</v>
      </c>
      <c r="AV369" s="231">
        <v>42.352941176470587</v>
      </c>
      <c r="AW369" s="75">
        <v>57.411764705882355</v>
      </c>
      <c r="AX369" s="231">
        <v>329.41176470588238</v>
      </c>
      <c r="AY369" s="66">
        <v>443.29411764705884</v>
      </c>
      <c r="AZ369" s="208">
        <v>0</v>
      </c>
      <c r="BA369" s="231">
        <v>188.23529411764707</v>
      </c>
      <c r="BB369" s="231">
        <v>235.29411764705881</v>
      </c>
      <c r="BC369" s="231">
        <v>188.23529411764707</v>
      </c>
      <c r="BD369" s="231">
        <v>235.29411764705881</v>
      </c>
      <c r="BE369" s="231">
        <v>423.52941176470586</v>
      </c>
      <c r="BF369" s="231">
        <v>0</v>
      </c>
      <c r="BG369" s="66">
        <v>423.52941176470586</v>
      </c>
      <c r="BH369" s="67">
        <v>5560.4705882352946</v>
      </c>
      <c r="BI369" s="67">
        <v>1527149.4605815976</v>
      </c>
    </row>
    <row r="370" spans="1:61" x14ac:dyDescent="0.25">
      <c r="A370" s="142">
        <v>0</v>
      </c>
      <c r="B370" s="68">
        <v>40532</v>
      </c>
      <c r="C370" s="198">
        <v>40532</v>
      </c>
      <c r="D370" s="69">
        <v>39804</v>
      </c>
      <c r="E370" s="70">
        <v>20</v>
      </c>
      <c r="F370" s="71">
        <v>51</v>
      </c>
      <c r="G370" s="72"/>
      <c r="H370" s="82" t="s">
        <v>4</v>
      </c>
      <c r="I370" s="210"/>
      <c r="J370" s="210"/>
      <c r="K370" s="235">
        <v>1468.2352941176471</v>
      </c>
      <c r="L370" s="235">
        <v>263.52941176470586</v>
      </c>
      <c r="M370" s="235">
        <v>1731.7647058823529</v>
      </c>
      <c r="N370" s="235">
        <v>291.76470588235293</v>
      </c>
      <c r="O370" s="235">
        <v>81.882352941176464</v>
      </c>
      <c r="P370" s="235">
        <v>373.64705882352939</v>
      </c>
      <c r="Q370" s="235">
        <v>23.529411764705884</v>
      </c>
      <c r="R370" s="235">
        <v>0</v>
      </c>
      <c r="S370" s="235">
        <v>23.529411764705884</v>
      </c>
      <c r="T370" s="235">
        <v>305.88235294117646</v>
      </c>
      <c r="U370" s="235">
        <v>2164.705882352941</v>
      </c>
      <c r="V370" s="235">
        <v>2470.5882352941176</v>
      </c>
      <c r="W370" s="235">
        <v>621.17647058823525</v>
      </c>
      <c r="X370" s="235">
        <v>2246.5882352941176</v>
      </c>
      <c r="Y370" s="235">
        <v>2867.7647058823532</v>
      </c>
      <c r="Z370" s="235">
        <v>4599.5294117647063</v>
      </c>
      <c r="AA370" s="235">
        <v>8.7529411764705891</v>
      </c>
      <c r="AB370" s="235">
        <v>1.552941176470588</v>
      </c>
      <c r="AC370" s="235">
        <v>10.305882352941177</v>
      </c>
      <c r="AD370" s="235">
        <v>0.94117647058823528</v>
      </c>
      <c r="AE370" s="235">
        <v>0</v>
      </c>
      <c r="AF370" s="235">
        <v>0.94117647058823528</v>
      </c>
      <c r="AG370" s="235">
        <v>20.423529411764704</v>
      </c>
      <c r="AH370" s="235">
        <v>1.2705882352941178</v>
      </c>
      <c r="AI370" s="235">
        <v>21.694117647058825</v>
      </c>
      <c r="AJ370" s="235">
        <v>18.823529411764707</v>
      </c>
      <c r="AK370" s="235">
        <v>61.176470588235297</v>
      </c>
      <c r="AL370" s="235">
        <v>80</v>
      </c>
      <c r="AM370" s="235">
        <v>40.188235294117646</v>
      </c>
      <c r="AN370" s="235">
        <v>62.447058823529403</v>
      </c>
      <c r="AO370" s="235">
        <v>102.63529411764705</v>
      </c>
      <c r="AP370" s="235">
        <v>112.94117647058823</v>
      </c>
      <c r="AQ370" s="235">
        <v>0</v>
      </c>
      <c r="AR370" s="200">
        <v>1742.0705882352941</v>
      </c>
      <c r="AS370" s="200">
        <v>2970.4</v>
      </c>
      <c r="AT370" s="66">
        <v>4712.4705882352937</v>
      </c>
      <c r="AU370" s="235">
        <v>14.117647058823529</v>
      </c>
      <c r="AV370" s="235">
        <v>37.647058823529413</v>
      </c>
      <c r="AW370" s="75">
        <v>0</v>
      </c>
      <c r="AX370" s="235">
        <v>329.41176470588238</v>
      </c>
      <c r="AY370" s="66">
        <v>381.1764705882353</v>
      </c>
      <c r="AZ370" s="202">
        <v>0</v>
      </c>
      <c r="BA370" s="235">
        <v>18.823529411764707</v>
      </c>
      <c r="BB370" s="235">
        <v>28.235294117647058</v>
      </c>
      <c r="BC370" s="235">
        <v>18.823529411764707</v>
      </c>
      <c r="BD370" s="235">
        <v>28.235294117647058</v>
      </c>
      <c r="BE370" s="235">
        <v>47.058823529411768</v>
      </c>
      <c r="BF370" s="235">
        <v>0</v>
      </c>
      <c r="BG370" s="66">
        <v>47.058823529411768</v>
      </c>
      <c r="BH370" s="67">
        <v>5140.7058823529405</v>
      </c>
      <c r="BI370" s="67">
        <v>1532290.1664639506</v>
      </c>
    </row>
    <row r="371" spans="1:61" x14ac:dyDescent="0.25">
      <c r="A371" s="142">
        <v>0</v>
      </c>
      <c r="B371" s="68">
        <v>40533</v>
      </c>
      <c r="C371" s="198">
        <v>40533</v>
      </c>
      <c r="D371" s="69">
        <v>39805</v>
      </c>
      <c r="E371" s="70">
        <v>21</v>
      </c>
      <c r="F371" s="71">
        <v>51</v>
      </c>
      <c r="G371" s="72"/>
      <c r="H371" s="82" t="s">
        <v>4</v>
      </c>
      <c r="I371" s="210"/>
      <c r="J371" s="210"/>
      <c r="K371" s="235">
        <v>1458.8235294117646</v>
      </c>
      <c r="L371" s="235">
        <v>244.70588235294119</v>
      </c>
      <c r="M371" s="235">
        <v>1703.5294117647059</v>
      </c>
      <c r="N371" s="235">
        <v>305.88235294117646</v>
      </c>
      <c r="O371" s="235">
        <v>47.058823529411768</v>
      </c>
      <c r="P371" s="235">
        <v>352.94117647058823</v>
      </c>
      <c r="Q371" s="235">
        <v>14.117647058823529</v>
      </c>
      <c r="R371" s="235">
        <v>0</v>
      </c>
      <c r="S371" s="235">
        <v>14.117647058823529</v>
      </c>
      <c r="T371" s="235">
        <v>475.29411764705884</v>
      </c>
      <c r="U371" s="235">
        <v>2164.705882352941</v>
      </c>
      <c r="V371" s="235">
        <v>2640</v>
      </c>
      <c r="W371" s="235">
        <v>795.29411764705878</v>
      </c>
      <c r="X371" s="235">
        <v>2211.7647058823532</v>
      </c>
      <c r="Y371" s="235">
        <v>3007.0588235294117</v>
      </c>
      <c r="Z371" s="235">
        <v>4710.588235294118</v>
      </c>
      <c r="AA371" s="235">
        <v>6.2117647058823522</v>
      </c>
      <c r="AB371" s="235">
        <v>0</v>
      </c>
      <c r="AC371" s="235">
        <v>6.2117647058823522</v>
      </c>
      <c r="AD371" s="235">
        <v>1.8823529411764706</v>
      </c>
      <c r="AE371" s="235">
        <v>0</v>
      </c>
      <c r="AF371" s="235">
        <v>1.8823529411764706</v>
      </c>
      <c r="AG371" s="235">
        <v>14.494117647058824</v>
      </c>
      <c r="AH371" s="235">
        <v>0</v>
      </c>
      <c r="AI371" s="235">
        <v>14.494117647058824</v>
      </c>
      <c r="AJ371" s="235">
        <v>4.7058823529411766</v>
      </c>
      <c r="AK371" s="235">
        <v>36.705882352941174</v>
      </c>
      <c r="AL371" s="235">
        <v>41.411764705882355</v>
      </c>
      <c r="AM371" s="235">
        <v>21.08235294117647</v>
      </c>
      <c r="AN371" s="235">
        <v>36.705882352941174</v>
      </c>
      <c r="AO371" s="235">
        <v>57.788235294117648</v>
      </c>
      <c r="AP371" s="235">
        <v>64</v>
      </c>
      <c r="AQ371" s="235">
        <v>0</v>
      </c>
      <c r="AR371" s="200">
        <v>1709.7411764705882</v>
      </c>
      <c r="AS371" s="200">
        <v>3064.8470588235296</v>
      </c>
      <c r="AT371" s="66">
        <v>4774.588235294118</v>
      </c>
      <c r="AU371" s="235">
        <v>14.117647058823529</v>
      </c>
      <c r="AV371" s="235">
        <v>37.647058823529413</v>
      </c>
      <c r="AW371" s="75">
        <v>0</v>
      </c>
      <c r="AX371" s="235">
        <v>282.35294117647061</v>
      </c>
      <c r="AY371" s="66">
        <v>334.11764705882354</v>
      </c>
      <c r="AZ371" s="202">
        <v>0</v>
      </c>
      <c r="BA371" s="235">
        <v>47.058823529411768</v>
      </c>
      <c r="BB371" s="235">
        <v>47.058823529411768</v>
      </c>
      <c r="BC371" s="235">
        <v>47.058823529411768</v>
      </c>
      <c r="BD371" s="235">
        <v>47.058823529411768</v>
      </c>
      <c r="BE371" s="235">
        <v>94.117647058823536</v>
      </c>
      <c r="BF371" s="235">
        <v>0</v>
      </c>
      <c r="BG371" s="66">
        <v>94.117647058823536</v>
      </c>
      <c r="BH371" s="67">
        <v>5202.8235294117649</v>
      </c>
      <c r="BI371" s="67">
        <v>1537492.9899933625</v>
      </c>
    </row>
    <row r="372" spans="1:61" x14ac:dyDescent="0.25">
      <c r="A372" s="142">
        <v>0</v>
      </c>
      <c r="B372" s="68">
        <v>40534</v>
      </c>
      <c r="C372" s="198">
        <v>40534</v>
      </c>
      <c r="D372" s="69">
        <v>39806</v>
      </c>
      <c r="E372" s="70">
        <v>22</v>
      </c>
      <c r="F372" s="71">
        <v>51</v>
      </c>
      <c r="G372" s="72"/>
      <c r="H372" s="82" t="s">
        <v>4</v>
      </c>
      <c r="I372" s="210"/>
      <c r="J372" s="210"/>
      <c r="K372" s="235">
        <v>1425.8823529411766</v>
      </c>
      <c r="L372" s="235">
        <v>263.52941176470586</v>
      </c>
      <c r="M372" s="235">
        <v>1689.4117647058824</v>
      </c>
      <c r="N372" s="235">
        <v>282.35294117647061</v>
      </c>
      <c r="O372" s="235">
        <v>47.058823529411768</v>
      </c>
      <c r="P372" s="235">
        <v>329.41176470588238</v>
      </c>
      <c r="Q372" s="235">
        <v>7.5294117647058822</v>
      </c>
      <c r="R372" s="235">
        <v>0</v>
      </c>
      <c r="S372" s="235">
        <v>7.5294117647058822</v>
      </c>
      <c r="T372" s="235">
        <v>375.52941176470586</v>
      </c>
      <c r="U372" s="235">
        <v>2164.705882352941</v>
      </c>
      <c r="V372" s="235">
        <v>2540.2352941176468</v>
      </c>
      <c r="W372" s="235">
        <v>665.41176470588232</v>
      </c>
      <c r="X372" s="235">
        <v>2211.7647058823532</v>
      </c>
      <c r="Y372" s="235">
        <v>2877.1764705882351</v>
      </c>
      <c r="Z372" s="235">
        <v>4566.588235294118</v>
      </c>
      <c r="AA372" s="235">
        <v>0.84705882352941175</v>
      </c>
      <c r="AB372" s="235">
        <v>1.552941176470588</v>
      </c>
      <c r="AC372" s="235">
        <v>2.4</v>
      </c>
      <c r="AD372" s="235">
        <v>0</v>
      </c>
      <c r="AE372" s="235">
        <v>0</v>
      </c>
      <c r="AF372" s="235">
        <v>0</v>
      </c>
      <c r="AG372" s="235">
        <v>1.9764705882352942</v>
      </c>
      <c r="AH372" s="235">
        <v>1.2705882352941178</v>
      </c>
      <c r="AI372" s="235">
        <v>3.2470588235294118</v>
      </c>
      <c r="AJ372" s="235">
        <v>8.4705882352941178</v>
      </c>
      <c r="AK372" s="235">
        <v>16.941176470588236</v>
      </c>
      <c r="AL372" s="235">
        <v>25.411764705882351</v>
      </c>
      <c r="AM372" s="235">
        <v>10.447058823529412</v>
      </c>
      <c r="AN372" s="235">
        <v>18.211764705882356</v>
      </c>
      <c r="AO372" s="235">
        <v>28.658823529411766</v>
      </c>
      <c r="AP372" s="235">
        <v>31.058823529411764</v>
      </c>
      <c r="AQ372" s="235">
        <v>0</v>
      </c>
      <c r="AR372" s="200">
        <v>1691.8117647058825</v>
      </c>
      <c r="AS372" s="200">
        <v>2905.8352941176468</v>
      </c>
      <c r="AT372" s="66">
        <v>4597.6470588235297</v>
      </c>
      <c r="AU372" s="235">
        <v>14.117647058823529</v>
      </c>
      <c r="AV372" s="235">
        <v>37.647058823529413</v>
      </c>
      <c r="AW372" s="75">
        <v>0</v>
      </c>
      <c r="AX372" s="235">
        <v>329.41176470588238</v>
      </c>
      <c r="AY372" s="66">
        <v>381.1764705882353</v>
      </c>
      <c r="AZ372" s="202">
        <v>0</v>
      </c>
      <c r="BA372" s="235">
        <v>28.235294117647058</v>
      </c>
      <c r="BB372" s="235">
        <v>28.235294117647058</v>
      </c>
      <c r="BC372" s="235">
        <v>28.235294117647058</v>
      </c>
      <c r="BD372" s="235">
        <v>28.235294117647058</v>
      </c>
      <c r="BE372" s="235">
        <v>56.470588235294116</v>
      </c>
      <c r="BF372" s="235">
        <v>183.52941176470588</v>
      </c>
      <c r="BG372" s="66">
        <v>240</v>
      </c>
      <c r="BH372" s="67">
        <v>5218.8235294117649</v>
      </c>
      <c r="BI372" s="67">
        <v>1542711.8135227743</v>
      </c>
    </row>
    <row r="373" spans="1:61" x14ac:dyDescent="0.25">
      <c r="A373" s="142">
        <v>0</v>
      </c>
      <c r="B373" s="68">
        <v>40535</v>
      </c>
      <c r="C373" s="198">
        <v>40535</v>
      </c>
      <c r="D373" s="69">
        <v>39807</v>
      </c>
      <c r="E373" s="70">
        <v>23</v>
      </c>
      <c r="F373" s="71">
        <v>51</v>
      </c>
      <c r="G373" s="72"/>
      <c r="H373" s="82" t="s">
        <v>4</v>
      </c>
      <c r="I373" s="210"/>
      <c r="J373" s="210"/>
      <c r="K373" s="235">
        <v>1411.7647058823529</v>
      </c>
      <c r="L373" s="235">
        <v>329.41176470588238</v>
      </c>
      <c r="M373" s="235">
        <v>1741.1764705882354</v>
      </c>
      <c r="N373" s="235">
        <v>301.1764705882353</v>
      </c>
      <c r="O373" s="235">
        <v>50.823529411764703</v>
      </c>
      <c r="P373" s="235">
        <v>352</v>
      </c>
      <c r="Q373" s="235">
        <v>31.058823529411764</v>
      </c>
      <c r="R373" s="235">
        <v>0</v>
      </c>
      <c r="S373" s="235">
        <v>31.058823529411764</v>
      </c>
      <c r="T373" s="235">
        <v>379.29411764705884</v>
      </c>
      <c r="U373" s="235">
        <v>2164.705882352941</v>
      </c>
      <c r="V373" s="235">
        <v>2544</v>
      </c>
      <c r="W373" s="235">
        <v>711.52941176470586</v>
      </c>
      <c r="X373" s="235">
        <v>2215.5294117647059</v>
      </c>
      <c r="Y373" s="235">
        <v>2927.0588235294117</v>
      </c>
      <c r="Z373" s="235">
        <v>4668.2352941176468</v>
      </c>
      <c r="AA373" s="235">
        <v>5.6470588235294121</v>
      </c>
      <c r="AB373" s="235">
        <v>1.552941176470588</v>
      </c>
      <c r="AC373" s="235">
        <v>7.2</v>
      </c>
      <c r="AD373" s="235">
        <v>2.8235294117647061</v>
      </c>
      <c r="AE373" s="235">
        <v>0</v>
      </c>
      <c r="AF373" s="235">
        <v>2.8235294117647061</v>
      </c>
      <c r="AG373" s="235">
        <v>13.176470588235293</v>
      </c>
      <c r="AH373" s="235">
        <v>1.2705882352941178</v>
      </c>
      <c r="AI373" s="235">
        <v>14.447058823529412</v>
      </c>
      <c r="AJ373" s="235">
        <v>5.6470588235294121</v>
      </c>
      <c r="AK373" s="235">
        <v>48</v>
      </c>
      <c r="AL373" s="235">
        <v>53.647058823529413</v>
      </c>
      <c r="AM373" s="235">
        <v>21.647058823529413</v>
      </c>
      <c r="AN373" s="235">
        <v>49.27058823529412</v>
      </c>
      <c r="AO373" s="235">
        <v>70.917647058823519</v>
      </c>
      <c r="AP373" s="235">
        <v>78.117647058823536</v>
      </c>
      <c r="AQ373" s="235">
        <v>0</v>
      </c>
      <c r="AR373" s="200">
        <v>1748.3764705882354</v>
      </c>
      <c r="AS373" s="200">
        <v>2997.9764705882353</v>
      </c>
      <c r="AT373" s="66">
        <v>4746.3529411764703</v>
      </c>
      <c r="AU373" s="235">
        <v>14.117647058823529</v>
      </c>
      <c r="AV373" s="235">
        <v>37.647058823529413</v>
      </c>
      <c r="AW373" s="75">
        <v>0</v>
      </c>
      <c r="AX373" s="235">
        <v>329.41176470588238</v>
      </c>
      <c r="AY373" s="66">
        <v>381.1764705882353</v>
      </c>
      <c r="AZ373" s="202">
        <v>0</v>
      </c>
      <c r="BA373" s="235">
        <v>18.823529411764707</v>
      </c>
      <c r="BB373" s="235">
        <v>18.823529411764707</v>
      </c>
      <c r="BC373" s="235">
        <v>18.823529411764707</v>
      </c>
      <c r="BD373" s="235">
        <v>18.823529411764707</v>
      </c>
      <c r="BE373" s="235">
        <v>37.647058823529413</v>
      </c>
      <c r="BF373" s="235">
        <v>268.23529411764707</v>
      </c>
      <c r="BG373" s="66">
        <v>305.88235294117646</v>
      </c>
      <c r="BH373" s="67">
        <v>5433.411764705882</v>
      </c>
      <c r="BI373" s="67">
        <v>1548145.22528748</v>
      </c>
    </row>
    <row r="374" spans="1:61" ht="12.75" customHeight="1" x14ac:dyDescent="0.25">
      <c r="A374" s="142">
        <v>0</v>
      </c>
      <c r="B374" s="68">
        <v>40536</v>
      </c>
      <c r="C374" s="198">
        <v>40536</v>
      </c>
      <c r="D374" s="69">
        <v>39808</v>
      </c>
      <c r="E374" s="70">
        <v>24</v>
      </c>
      <c r="F374" s="71">
        <v>51</v>
      </c>
      <c r="G374" s="72"/>
      <c r="H374" s="82" t="s">
        <v>4</v>
      </c>
      <c r="I374" s="210"/>
      <c r="J374" s="210"/>
      <c r="K374" s="235">
        <v>578.82352941176475</v>
      </c>
      <c r="L374" s="235">
        <v>49.882352941176471</v>
      </c>
      <c r="M374" s="235">
        <v>628.70588235294122</v>
      </c>
      <c r="N374" s="235">
        <v>263.52941176470586</v>
      </c>
      <c r="O374" s="235">
        <v>94.117647058823536</v>
      </c>
      <c r="P374" s="235">
        <v>357.64705882352939</v>
      </c>
      <c r="Q374" s="235">
        <v>43.294117647058826</v>
      </c>
      <c r="R374" s="235">
        <v>0</v>
      </c>
      <c r="S374" s="235">
        <v>43.294117647058826</v>
      </c>
      <c r="T374" s="235">
        <v>282.35294117647061</v>
      </c>
      <c r="U374" s="235">
        <v>1317.6470588235295</v>
      </c>
      <c r="V374" s="235">
        <v>1600</v>
      </c>
      <c r="W374" s="235">
        <v>589.17647058823525</v>
      </c>
      <c r="X374" s="235">
        <v>1411.7647058823529</v>
      </c>
      <c r="Y374" s="235">
        <v>2000.9411764705883</v>
      </c>
      <c r="Z374" s="235">
        <v>2629.6470588235293</v>
      </c>
      <c r="AA374" s="235">
        <v>15.529411764705882</v>
      </c>
      <c r="AB374" s="235">
        <v>8.2823529411764714</v>
      </c>
      <c r="AC374" s="235">
        <v>23.811764705882354</v>
      </c>
      <c r="AD374" s="235">
        <v>0</v>
      </c>
      <c r="AE374" s="235">
        <v>0</v>
      </c>
      <c r="AF374" s="235">
        <v>0</v>
      </c>
      <c r="AG374" s="235">
        <v>36.235294117647058</v>
      </c>
      <c r="AH374" s="235">
        <v>6.776470588235294</v>
      </c>
      <c r="AI374" s="235">
        <v>43.011764705882356</v>
      </c>
      <c r="AJ374" s="235">
        <v>11.294117647058824</v>
      </c>
      <c r="AK374" s="235">
        <v>95.058823529411768</v>
      </c>
      <c r="AL374" s="235">
        <v>106.35294117647059</v>
      </c>
      <c r="AM374" s="235">
        <v>47.529411764705884</v>
      </c>
      <c r="AN374" s="235">
        <v>101.83529411764707</v>
      </c>
      <c r="AO374" s="235">
        <v>149.36470588235292</v>
      </c>
      <c r="AP374" s="235">
        <v>173.1764705882353</v>
      </c>
      <c r="AQ374" s="235">
        <v>0</v>
      </c>
      <c r="AR374" s="200">
        <v>652.51764705882351</v>
      </c>
      <c r="AS374" s="200">
        <v>2150.3058823529414</v>
      </c>
      <c r="AT374" s="66">
        <v>2802.8235294117649</v>
      </c>
      <c r="AU374" s="235">
        <v>14.117647058823529</v>
      </c>
      <c r="AV374" s="235">
        <v>37.647058823529413</v>
      </c>
      <c r="AW374" s="75">
        <v>0</v>
      </c>
      <c r="AX374" s="235">
        <v>329.41176470588238</v>
      </c>
      <c r="AY374" s="66">
        <v>381.1764705882353</v>
      </c>
      <c r="AZ374" s="202">
        <v>0</v>
      </c>
      <c r="BA374" s="235">
        <v>0</v>
      </c>
      <c r="BB374" s="235">
        <v>0</v>
      </c>
      <c r="BC374" s="235">
        <v>0</v>
      </c>
      <c r="BD374" s="235">
        <v>0</v>
      </c>
      <c r="BE374" s="235">
        <v>0</v>
      </c>
      <c r="BF374" s="235">
        <v>72.470588235294116</v>
      </c>
      <c r="BG374" s="66">
        <v>72.470588235294116</v>
      </c>
      <c r="BH374" s="67">
        <v>3256.4705882352941</v>
      </c>
      <c r="BI374" s="67">
        <v>1551401.6958757152</v>
      </c>
    </row>
    <row r="375" spans="1:61" ht="12" customHeight="1" x14ac:dyDescent="0.25">
      <c r="A375" s="142">
        <v>0</v>
      </c>
      <c r="B375" s="68">
        <v>40537</v>
      </c>
      <c r="C375" s="203">
        <v>40537</v>
      </c>
      <c r="D375" s="76">
        <v>39809</v>
      </c>
      <c r="E375" s="77">
        <v>25</v>
      </c>
      <c r="F375" s="78">
        <v>51</v>
      </c>
      <c r="G375" s="449" t="s">
        <v>55</v>
      </c>
      <c r="H375" s="450" t="s">
        <v>4</v>
      </c>
      <c r="I375" s="212"/>
      <c r="J375" s="212"/>
      <c r="K375" s="231">
        <v>368</v>
      </c>
      <c r="L375" s="231">
        <v>56.470588235294116</v>
      </c>
      <c r="M375" s="231">
        <v>424.47058823529414</v>
      </c>
      <c r="N375" s="231">
        <v>235.29411764705881</v>
      </c>
      <c r="O375" s="231">
        <v>94.117647058823536</v>
      </c>
      <c r="P375" s="231">
        <v>329.41176470588238</v>
      </c>
      <c r="Q375" s="231">
        <v>81.882352941176464</v>
      </c>
      <c r="R375" s="231">
        <v>0</v>
      </c>
      <c r="S375" s="231">
        <v>81.882352941176464</v>
      </c>
      <c r="T375" s="231">
        <v>472.47058823529414</v>
      </c>
      <c r="U375" s="231">
        <v>1223.5294117647059</v>
      </c>
      <c r="V375" s="231">
        <v>1696</v>
      </c>
      <c r="W375" s="231">
        <v>789.64705882352939</v>
      </c>
      <c r="X375" s="231">
        <v>1317.6470588235295</v>
      </c>
      <c r="Y375" s="231">
        <v>2107.294117647059</v>
      </c>
      <c r="Z375" s="231">
        <v>2531.7647058823532</v>
      </c>
      <c r="AA375" s="231">
        <v>17.788235294117644</v>
      </c>
      <c r="AB375" s="231">
        <v>20.188235294117646</v>
      </c>
      <c r="AC375" s="231">
        <v>37.976470588235287</v>
      </c>
      <c r="AD375" s="231">
        <v>7.5294117647058822</v>
      </c>
      <c r="AE375" s="231">
        <v>0</v>
      </c>
      <c r="AF375" s="231">
        <v>7.5294117647058822</v>
      </c>
      <c r="AG375" s="231">
        <v>41.505882352941178</v>
      </c>
      <c r="AH375" s="231">
        <v>16.517647058823531</v>
      </c>
      <c r="AI375" s="231">
        <v>58.023529411764713</v>
      </c>
      <c r="AJ375" s="231">
        <v>16</v>
      </c>
      <c r="AK375" s="231">
        <v>112.94117647058823</v>
      </c>
      <c r="AL375" s="231">
        <v>128.94117647058823</v>
      </c>
      <c r="AM375" s="231">
        <v>65.035294117647055</v>
      </c>
      <c r="AN375" s="231">
        <v>129.45882352941177</v>
      </c>
      <c r="AO375" s="231">
        <v>194.49411764705883</v>
      </c>
      <c r="AP375" s="231">
        <v>232.47058823529412</v>
      </c>
      <c r="AQ375" s="231">
        <v>0</v>
      </c>
      <c r="AR375" s="200">
        <v>462.44705882352946</v>
      </c>
      <c r="AS375" s="200">
        <v>2301.7882352941178</v>
      </c>
      <c r="AT375" s="66">
        <v>2764.2352941176473</v>
      </c>
      <c r="AU375" s="231">
        <v>14.117647058823529</v>
      </c>
      <c r="AV375" s="231">
        <v>37.647058823529413</v>
      </c>
      <c r="AW375" s="75">
        <v>0</v>
      </c>
      <c r="AX375" s="235">
        <v>329.41176470588238</v>
      </c>
      <c r="AY375" s="66">
        <v>381.1764705882353</v>
      </c>
      <c r="AZ375" s="202">
        <v>0</v>
      </c>
      <c r="BA375" s="235">
        <v>0</v>
      </c>
      <c r="BB375" s="235">
        <v>0</v>
      </c>
      <c r="BC375" s="235">
        <v>0</v>
      </c>
      <c r="BD375" s="235">
        <v>0</v>
      </c>
      <c r="BE375" s="235">
        <v>0</v>
      </c>
      <c r="BF375" s="235">
        <v>75.294117647058826</v>
      </c>
      <c r="BG375" s="66">
        <v>75.294117647058826</v>
      </c>
      <c r="BH375" s="67">
        <v>3220.7058823529414</v>
      </c>
      <c r="BI375" s="67">
        <v>1554622.4017580682</v>
      </c>
    </row>
    <row r="376" spans="1:61" ht="15" customHeight="1" x14ac:dyDescent="0.25">
      <c r="A376" s="142">
        <v>0</v>
      </c>
      <c r="B376" s="68">
        <v>40538</v>
      </c>
      <c r="C376" s="203">
        <v>40538</v>
      </c>
      <c r="D376" s="76">
        <v>39810</v>
      </c>
      <c r="E376" s="77">
        <v>26</v>
      </c>
      <c r="F376" s="78">
        <v>51</v>
      </c>
      <c r="G376" s="79"/>
      <c r="H376" s="80" t="s">
        <v>4</v>
      </c>
      <c r="I376" s="212"/>
      <c r="J376" s="212"/>
      <c r="K376" s="231">
        <v>1788.2352941176471</v>
      </c>
      <c r="L376" s="231">
        <v>423.52941176470586</v>
      </c>
      <c r="M376" s="231">
        <v>2211.7647058823532</v>
      </c>
      <c r="N376" s="231">
        <v>505.41176470588238</v>
      </c>
      <c r="O376" s="231">
        <v>258.8235294117647</v>
      </c>
      <c r="P376" s="231">
        <v>764.23529411764707</v>
      </c>
      <c r="Q376" s="231">
        <v>60.235294117647058</v>
      </c>
      <c r="R376" s="231">
        <v>0</v>
      </c>
      <c r="S376" s="231">
        <v>60.235294117647058</v>
      </c>
      <c r="T376" s="231">
        <v>458.35294117647061</v>
      </c>
      <c r="U376" s="231">
        <v>3200</v>
      </c>
      <c r="V376" s="231">
        <v>3658.3529411764707</v>
      </c>
      <c r="W376" s="231">
        <v>1024</v>
      </c>
      <c r="X376" s="231">
        <v>3458.8235294117649</v>
      </c>
      <c r="Y376" s="231">
        <v>4482.8235294117649</v>
      </c>
      <c r="Z376" s="231">
        <v>6694.588235294118</v>
      </c>
      <c r="AA376" s="231">
        <v>14.4</v>
      </c>
      <c r="AB376" s="231">
        <v>24.329411764705885</v>
      </c>
      <c r="AC376" s="231">
        <v>38.729411764705887</v>
      </c>
      <c r="AD376" s="231">
        <v>3.7647058823529411</v>
      </c>
      <c r="AE376" s="231">
        <v>0</v>
      </c>
      <c r="AF376" s="231">
        <v>3.7647058823529411</v>
      </c>
      <c r="AG376" s="231">
        <v>33.6</v>
      </c>
      <c r="AH376" s="231">
        <v>19.905882352941177</v>
      </c>
      <c r="AI376" s="231">
        <v>53.505882352941178</v>
      </c>
      <c r="AJ376" s="231">
        <v>15.058823529411764</v>
      </c>
      <c r="AK376" s="231">
        <v>96</v>
      </c>
      <c r="AL376" s="231">
        <v>111.05882352941177</v>
      </c>
      <c r="AM376" s="231">
        <v>52.423529411764711</v>
      </c>
      <c r="AN376" s="231">
        <v>115.90588235294118</v>
      </c>
      <c r="AO376" s="231">
        <v>168.3294117647059</v>
      </c>
      <c r="AP376" s="231">
        <v>207.0588235294118</v>
      </c>
      <c r="AQ376" s="231">
        <v>0</v>
      </c>
      <c r="AR376" s="200">
        <v>2250.4941176470588</v>
      </c>
      <c r="AS376" s="200">
        <v>4651.1529411764704</v>
      </c>
      <c r="AT376" s="66">
        <v>6901.6470588235297</v>
      </c>
      <c r="AU376" s="231">
        <v>14.117647058823529</v>
      </c>
      <c r="AV376" s="231">
        <v>37.647058823529413</v>
      </c>
      <c r="AW376" s="75">
        <v>0</v>
      </c>
      <c r="AX376" s="235">
        <v>329.41176470588238</v>
      </c>
      <c r="AY376" s="66">
        <v>381.1764705882353</v>
      </c>
      <c r="AZ376" s="202">
        <v>0</v>
      </c>
      <c r="BA376" s="235">
        <v>18.823529411764707</v>
      </c>
      <c r="BB376" s="235">
        <v>18.823529411764707</v>
      </c>
      <c r="BC376" s="235">
        <v>18.823529411764707</v>
      </c>
      <c r="BD376" s="235">
        <v>18.823529411764707</v>
      </c>
      <c r="BE376" s="235">
        <v>37.647058823529413</v>
      </c>
      <c r="BF376" s="235">
        <v>21.647058823529413</v>
      </c>
      <c r="BG376" s="66">
        <v>59.294117647058826</v>
      </c>
      <c r="BH376" s="67">
        <v>7342.1176470588234</v>
      </c>
      <c r="BI376" s="67">
        <v>1561964.519405127</v>
      </c>
    </row>
    <row r="377" spans="1:61" ht="15.75" customHeight="1" x14ac:dyDescent="0.25">
      <c r="A377" s="142">
        <v>0</v>
      </c>
      <c r="B377" s="68">
        <v>40539</v>
      </c>
      <c r="C377" s="198">
        <v>40539</v>
      </c>
      <c r="D377" s="69">
        <v>39811</v>
      </c>
      <c r="E377" s="70">
        <v>27</v>
      </c>
      <c r="F377" s="71">
        <v>52</v>
      </c>
      <c r="G377" s="72"/>
      <c r="H377" s="82" t="s">
        <v>4</v>
      </c>
      <c r="I377" s="210"/>
      <c r="J377" s="210"/>
      <c r="K377" s="235">
        <v>2026.3529411764705</v>
      </c>
      <c r="L377" s="235">
        <v>329.41176470588238</v>
      </c>
      <c r="M377" s="235">
        <v>2355.7647058823527</v>
      </c>
      <c r="N377" s="235">
        <v>611.76470588235293</v>
      </c>
      <c r="O377" s="235">
        <v>282.35294117647061</v>
      </c>
      <c r="P377" s="235">
        <v>894.11764705882354</v>
      </c>
      <c r="Q377" s="235">
        <v>64</v>
      </c>
      <c r="R377" s="235">
        <v>0</v>
      </c>
      <c r="S377" s="235">
        <v>64</v>
      </c>
      <c r="T377" s="235">
        <v>440.47058823529414</v>
      </c>
      <c r="U377" s="235">
        <v>3764.705882352941</v>
      </c>
      <c r="V377" s="235">
        <v>4205.1764705882351</v>
      </c>
      <c r="W377" s="235">
        <v>1116.2352941176471</v>
      </c>
      <c r="X377" s="235">
        <v>4047.0588235294117</v>
      </c>
      <c r="Y377" s="235">
        <v>5163.2941176470586</v>
      </c>
      <c r="Z377" s="235">
        <v>7519.0588235294117</v>
      </c>
      <c r="AA377" s="235">
        <v>87.811764705882354</v>
      </c>
      <c r="AB377" s="235">
        <v>11.388235294117647</v>
      </c>
      <c r="AC377" s="235">
        <v>99.2</v>
      </c>
      <c r="AD377" s="235">
        <v>1.8823529411764706</v>
      </c>
      <c r="AE377" s="235">
        <v>0</v>
      </c>
      <c r="AF377" s="235">
        <v>1.8823529411764706</v>
      </c>
      <c r="AG377" s="235">
        <v>79.71764705882353</v>
      </c>
      <c r="AH377" s="235">
        <v>9.3176470588235301</v>
      </c>
      <c r="AI377" s="235">
        <v>89.035294117647069</v>
      </c>
      <c r="AJ377" s="235">
        <v>3.7647058823529411</v>
      </c>
      <c r="AK377" s="235">
        <v>61.176470588235297</v>
      </c>
      <c r="AL377" s="235">
        <v>64.941176470588232</v>
      </c>
      <c r="AM377" s="235">
        <v>85.364705882352951</v>
      </c>
      <c r="AN377" s="235">
        <v>70.494117647058829</v>
      </c>
      <c r="AO377" s="235">
        <v>155.85882352941178</v>
      </c>
      <c r="AP377" s="235">
        <v>255.05882352941177</v>
      </c>
      <c r="AQ377" s="235">
        <v>0</v>
      </c>
      <c r="AR377" s="200">
        <v>2454.9647058823525</v>
      </c>
      <c r="AS377" s="200">
        <v>5319.1529411764704</v>
      </c>
      <c r="AT377" s="66">
        <v>7774.1176470588234</v>
      </c>
      <c r="AU377" s="235">
        <v>14.117647058823529</v>
      </c>
      <c r="AV377" s="235">
        <v>37.647058823529413</v>
      </c>
      <c r="AW377" s="75">
        <v>0</v>
      </c>
      <c r="AX377" s="235">
        <v>329.41176470588238</v>
      </c>
      <c r="AY377" s="66">
        <v>381.1764705882353</v>
      </c>
      <c r="AZ377" s="202">
        <v>0</v>
      </c>
      <c r="BA377" s="235">
        <v>75.294117647058826</v>
      </c>
      <c r="BB377" s="235">
        <v>103.52941176470588</v>
      </c>
      <c r="BC377" s="235">
        <v>75.294117647058826</v>
      </c>
      <c r="BD377" s="235">
        <v>103.52941176470588</v>
      </c>
      <c r="BE377" s="235">
        <v>178.8235294117647</v>
      </c>
      <c r="BF377" s="235">
        <v>17.882352941176471</v>
      </c>
      <c r="BG377" s="66">
        <v>196.70588235294116</v>
      </c>
      <c r="BH377" s="67">
        <v>8352</v>
      </c>
      <c r="BI377" s="67">
        <v>1570316.519405127</v>
      </c>
    </row>
    <row r="378" spans="1:61" x14ac:dyDescent="0.25">
      <c r="A378" s="142">
        <v>0</v>
      </c>
      <c r="B378" s="68">
        <v>40540</v>
      </c>
      <c r="C378" s="198">
        <v>40540</v>
      </c>
      <c r="D378" s="69">
        <v>39812</v>
      </c>
      <c r="E378" s="70">
        <v>28</v>
      </c>
      <c r="F378" s="71">
        <v>52</v>
      </c>
      <c r="G378" s="72"/>
      <c r="H378" s="82" t="s">
        <v>4</v>
      </c>
      <c r="I378" s="210"/>
      <c r="J378" s="210"/>
      <c r="K378" s="235">
        <v>2018.8235294117646</v>
      </c>
      <c r="L378" s="235">
        <v>371.76470588235293</v>
      </c>
      <c r="M378" s="235">
        <v>2390.5882352941176</v>
      </c>
      <c r="N378" s="235">
        <v>517.64705882352939</v>
      </c>
      <c r="O378" s="235">
        <v>282.35294117647061</v>
      </c>
      <c r="P378" s="235">
        <v>800</v>
      </c>
      <c r="Q378" s="235">
        <v>91.294117647058826</v>
      </c>
      <c r="R378" s="235">
        <v>0</v>
      </c>
      <c r="S378" s="235">
        <v>91.294117647058826</v>
      </c>
      <c r="T378" s="235">
        <v>428.23529411764707</v>
      </c>
      <c r="U378" s="235">
        <v>3764.705882352941</v>
      </c>
      <c r="V378" s="235">
        <v>4192.9411764705883</v>
      </c>
      <c r="W378" s="235">
        <v>1037.1764705882354</v>
      </c>
      <c r="X378" s="235">
        <v>4047.0588235294117</v>
      </c>
      <c r="Y378" s="235">
        <v>5084.2352941176468</v>
      </c>
      <c r="Z378" s="235">
        <v>7474.8235294117649</v>
      </c>
      <c r="AA378" s="235">
        <v>17.505882352941178</v>
      </c>
      <c r="AB378" s="235">
        <v>2.0705882352941178</v>
      </c>
      <c r="AC378" s="235">
        <v>19.576470588235296</v>
      </c>
      <c r="AD378" s="235">
        <v>3.7647058823529411</v>
      </c>
      <c r="AE378" s="235">
        <v>0</v>
      </c>
      <c r="AF378" s="235">
        <v>3.7647058823529411</v>
      </c>
      <c r="AG378" s="235">
        <v>40.847058823529409</v>
      </c>
      <c r="AH378" s="235">
        <v>1.6941176470588235</v>
      </c>
      <c r="AI378" s="235">
        <v>42.541176470588233</v>
      </c>
      <c r="AJ378" s="235">
        <v>9.4117647058823533</v>
      </c>
      <c r="AK378" s="235">
        <v>58.352941176470587</v>
      </c>
      <c r="AL378" s="235">
        <v>67.764705882352942</v>
      </c>
      <c r="AM378" s="235">
        <v>54.023529411764706</v>
      </c>
      <c r="AN378" s="235">
        <v>60.047058823529412</v>
      </c>
      <c r="AO378" s="235">
        <v>114.07058823529411</v>
      </c>
      <c r="AP378" s="235">
        <v>133.64705882352942</v>
      </c>
      <c r="AQ378" s="235">
        <v>0</v>
      </c>
      <c r="AR378" s="200">
        <v>2410.1647058823528</v>
      </c>
      <c r="AS378" s="200">
        <v>5198.3058823529409</v>
      </c>
      <c r="AT378" s="66">
        <v>7608.4705882352937</v>
      </c>
      <c r="AU378" s="235">
        <v>14.117647058823529</v>
      </c>
      <c r="AV378" s="235">
        <v>37.647058823529413</v>
      </c>
      <c r="AW378" s="75">
        <v>0</v>
      </c>
      <c r="AX378" s="235">
        <v>329.41176470588238</v>
      </c>
      <c r="AY378" s="66">
        <v>381.1764705882353</v>
      </c>
      <c r="AZ378" s="202">
        <v>0</v>
      </c>
      <c r="BA378" s="235">
        <v>89.411764705882348</v>
      </c>
      <c r="BB378" s="235">
        <v>178.8235294117647</v>
      </c>
      <c r="BC378" s="235">
        <v>89.411764705882348</v>
      </c>
      <c r="BD378" s="235">
        <v>178.8235294117647</v>
      </c>
      <c r="BE378" s="235">
        <v>268.23529411764707</v>
      </c>
      <c r="BF378" s="235">
        <v>14.117647058823529</v>
      </c>
      <c r="BG378" s="66">
        <v>282.35294117647061</v>
      </c>
      <c r="BH378" s="67">
        <v>8272</v>
      </c>
      <c r="BI378" s="67">
        <v>1578588.519405127</v>
      </c>
    </row>
    <row r="379" spans="1:61" ht="13.8" thickBot="1" x14ac:dyDescent="0.3">
      <c r="A379" s="142">
        <v>0</v>
      </c>
      <c r="B379" s="68">
        <v>40541</v>
      </c>
      <c r="C379" s="198">
        <v>40541</v>
      </c>
      <c r="D379" s="69">
        <v>39813</v>
      </c>
      <c r="E379" s="70">
        <v>29</v>
      </c>
      <c r="F379" s="71">
        <v>52</v>
      </c>
      <c r="G379" s="72"/>
      <c r="H379" s="82" t="s">
        <v>4</v>
      </c>
      <c r="I379" s="210"/>
      <c r="J379" s="210"/>
      <c r="K379" s="235">
        <v>2014.1176470588234</v>
      </c>
      <c r="L379" s="235">
        <v>305.88235294117646</v>
      </c>
      <c r="M379" s="235">
        <v>2320</v>
      </c>
      <c r="N379" s="235">
        <v>517.64705882352939</v>
      </c>
      <c r="O379" s="235">
        <v>282.35294117647061</v>
      </c>
      <c r="P379" s="235">
        <v>800</v>
      </c>
      <c r="Q379" s="235">
        <v>50.823529411764703</v>
      </c>
      <c r="R379" s="235">
        <v>0</v>
      </c>
      <c r="S379" s="235">
        <v>50.823529411764703</v>
      </c>
      <c r="T379" s="235">
        <v>386.8235294117647</v>
      </c>
      <c r="U379" s="235">
        <v>3764.705882352941</v>
      </c>
      <c r="V379" s="235">
        <v>4151.5294117647063</v>
      </c>
      <c r="W379" s="235">
        <v>955.29411764705878</v>
      </c>
      <c r="X379" s="235">
        <v>4047.0588235294117</v>
      </c>
      <c r="Y379" s="235">
        <v>5002.3529411764703</v>
      </c>
      <c r="Z379" s="235">
        <v>7322.3529411764703</v>
      </c>
      <c r="AA379" s="235">
        <v>17.223529411764705</v>
      </c>
      <c r="AB379" s="235">
        <v>3.6235294117647059</v>
      </c>
      <c r="AC379" s="235">
        <v>20.847058823529412</v>
      </c>
      <c r="AD379" s="235">
        <v>0</v>
      </c>
      <c r="AE379" s="235">
        <v>0</v>
      </c>
      <c r="AF379" s="235">
        <v>0</v>
      </c>
      <c r="AG379" s="235">
        <v>40.188235294117646</v>
      </c>
      <c r="AH379" s="235">
        <v>2.9647058823529413</v>
      </c>
      <c r="AI379" s="235">
        <v>43.152941176470591</v>
      </c>
      <c r="AJ379" s="235">
        <v>2.8235294117647061</v>
      </c>
      <c r="AK379" s="235">
        <v>73.411764705882348</v>
      </c>
      <c r="AL379" s="235">
        <v>76.235294117647058</v>
      </c>
      <c r="AM379" s="235">
        <v>43.011764705882356</v>
      </c>
      <c r="AN379" s="235">
        <v>76.376470588235293</v>
      </c>
      <c r="AO379" s="235">
        <v>119.38823529411765</v>
      </c>
      <c r="AP379" s="235">
        <v>140.23529411764707</v>
      </c>
      <c r="AQ379" s="235">
        <v>0</v>
      </c>
      <c r="AR379" s="200">
        <v>2340.8470588235296</v>
      </c>
      <c r="AS379" s="200">
        <v>5121.7411764705876</v>
      </c>
      <c r="AT379" s="66">
        <v>7462.5882352941171</v>
      </c>
      <c r="AU379" s="235">
        <v>14.117647058823529</v>
      </c>
      <c r="AV379" s="235">
        <v>37.647058823529413</v>
      </c>
      <c r="AW379" s="75">
        <v>0</v>
      </c>
      <c r="AX379" s="235">
        <v>329.41176470588238</v>
      </c>
      <c r="AY379" s="66">
        <v>381.1764705882353</v>
      </c>
      <c r="AZ379" s="268">
        <v>0</v>
      </c>
      <c r="BA379" s="235">
        <v>89.411764705882348</v>
      </c>
      <c r="BB379" s="235">
        <v>175.05882352941177</v>
      </c>
      <c r="BC379" s="235">
        <v>89.411764705882348</v>
      </c>
      <c r="BD379" s="235">
        <v>175.05882352941177</v>
      </c>
      <c r="BE379" s="235">
        <v>264.47058823529414</v>
      </c>
      <c r="BF379" s="235">
        <v>74.352941176470594</v>
      </c>
      <c r="BG379" s="66">
        <v>338.82352941176475</v>
      </c>
      <c r="BH379" s="67">
        <v>8182.5882352941171</v>
      </c>
      <c r="BI379" s="67">
        <v>1586771.1076404213</v>
      </c>
    </row>
    <row r="380" spans="1:61" ht="13.8" thickBot="1" x14ac:dyDescent="0.3">
      <c r="A380" s="142">
        <v>0</v>
      </c>
      <c r="B380" s="68">
        <v>40542</v>
      </c>
      <c r="C380" s="198">
        <v>40542</v>
      </c>
      <c r="D380" s="69">
        <v>39814</v>
      </c>
      <c r="E380" s="70">
        <v>30</v>
      </c>
      <c r="F380" s="71">
        <v>52</v>
      </c>
      <c r="G380" s="72"/>
      <c r="H380" s="82" t="s">
        <v>4</v>
      </c>
      <c r="I380" s="210"/>
      <c r="J380" s="210"/>
      <c r="K380" s="235">
        <v>1825.8823529411766</v>
      </c>
      <c r="L380" s="235">
        <v>291.76470588235293</v>
      </c>
      <c r="M380" s="235">
        <v>2117.6470588235297</v>
      </c>
      <c r="N380" s="235">
        <v>517.64705882352939</v>
      </c>
      <c r="O380" s="235">
        <v>282.35294117647061</v>
      </c>
      <c r="P380" s="235">
        <v>800</v>
      </c>
      <c r="Q380" s="235">
        <v>89.411764705882348</v>
      </c>
      <c r="R380" s="235">
        <v>0</v>
      </c>
      <c r="S380" s="235">
        <v>89.411764705882348</v>
      </c>
      <c r="T380" s="235">
        <v>393.41176470588238</v>
      </c>
      <c r="U380" s="235">
        <v>3764.705882352941</v>
      </c>
      <c r="V380" s="235">
        <v>4158.1176470588234</v>
      </c>
      <c r="W380" s="235">
        <v>1000.4705882352941</v>
      </c>
      <c r="X380" s="235">
        <v>4047.0588235294117</v>
      </c>
      <c r="Y380" s="235">
        <v>5047.5294117647063</v>
      </c>
      <c r="Z380" s="235">
        <v>7165.1764705882351</v>
      </c>
      <c r="AA380" s="235">
        <v>5.6470588235294121</v>
      </c>
      <c r="AB380" s="235">
        <v>1.552941176470588</v>
      </c>
      <c r="AC380" s="235">
        <v>7.2</v>
      </c>
      <c r="AD380" s="235">
        <v>2.8235294117647061</v>
      </c>
      <c r="AE380" s="235">
        <v>0</v>
      </c>
      <c r="AF380" s="235">
        <v>2.8235294117647061</v>
      </c>
      <c r="AG380" s="235">
        <v>13.176470588235293</v>
      </c>
      <c r="AH380" s="235">
        <v>1.2705882352941178</v>
      </c>
      <c r="AI380" s="235">
        <v>14.447058823529412</v>
      </c>
      <c r="AJ380" s="235">
        <v>5.6470588235294121</v>
      </c>
      <c r="AK380" s="235">
        <v>50.823529411764703</v>
      </c>
      <c r="AL380" s="235">
        <v>56.470588235294116</v>
      </c>
      <c r="AM380" s="235">
        <v>21.647058823529413</v>
      </c>
      <c r="AN380" s="235">
        <v>52.094117647058823</v>
      </c>
      <c r="AO380" s="235">
        <v>73.741176470588229</v>
      </c>
      <c r="AP380" s="235">
        <v>80.941176470588232</v>
      </c>
      <c r="AQ380" s="235">
        <v>0</v>
      </c>
      <c r="AR380" s="200">
        <v>2124.8470588235296</v>
      </c>
      <c r="AS380" s="200">
        <v>5121.2705882352948</v>
      </c>
      <c r="AT380" s="66">
        <v>7246.1176470588243</v>
      </c>
      <c r="AU380" s="235">
        <v>13.176470588235293</v>
      </c>
      <c r="AV380" s="235">
        <v>37.647058823529413</v>
      </c>
      <c r="AW380" s="75">
        <v>0</v>
      </c>
      <c r="AX380" s="235">
        <v>0</v>
      </c>
      <c r="AY380" s="66">
        <v>50.82352941176471</v>
      </c>
      <c r="AZ380" s="268">
        <v>0</v>
      </c>
      <c r="BA380" s="235">
        <v>89.411764705882348</v>
      </c>
      <c r="BB380" s="235">
        <v>169.41176470588235</v>
      </c>
      <c r="BC380" s="235">
        <v>89.411764705882348</v>
      </c>
      <c r="BD380" s="235">
        <v>169.41176470588235</v>
      </c>
      <c r="BE380" s="235">
        <v>258.8235294117647</v>
      </c>
      <c r="BF380" s="235">
        <v>208</v>
      </c>
      <c r="BG380" s="66">
        <v>466.8235294117647</v>
      </c>
      <c r="BH380" s="67">
        <v>7763.7647058823541</v>
      </c>
      <c r="BI380" s="67">
        <v>1594534.8723463037</v>
      </c>
    </row>
    <row r="381" spans="1:61" ht="13.8" thickBot="1" x14ac:dyDescent="0.3">
      <c r="A381" s="142">
        <v>0</v>
      </c>
      <c r="B381" s="123">
        <v>40543</v>
      </c>
      <c r="C381" s="260">
        <v>40543</v>
      </c>
      <c r="D381" s="138" t="s">
        <v>64</v>
      </c>
      <c r="E381" s="261">
        <v>31</v>
      </c>
      <c r="F381" s="139">
        <v>52</v>
      </c>
      <c r="G381" s="262"/>
      <c r="H381" s="140" t="s">
        <v>4</v>
      </c>
      <c r="I381" s="263"/>
      <c r="J381" s="263"/>
      <c r="K381" s="264">
        <v>1214.1176470588234</v>
      </c>
      <c r="L381" s="264">
        <v>217.41176470588235</v>
      </c>
      <c r="M381" s="264">
        <v>1431.5294117647059</v>
      </c>
      <c r="N381" s="264">
        <v>329.41176470588238</v>
      </c>
      <c r="O381" s="264">
        <v>235.29411764705881</v>
      </c>
      <c r="P381" s="264">
        <v>564.70588235294122</v>
      </c>
      <c r="Q381" s="264">
        <v>51.764705882352942</v>
      </c>
      <c r="R381" s="264">
        <v>0</v>
      </c>
      <c r="S381" s="264">
        <v>51.764705882352942</v>
      </c>
      <c r="T381" s="264">
        <v>378.35294117647061</v>
      </c>
      <c r="U381" s="264">
        <v>2823.5294117647059</v>
      </c>
      <c r="V381" s="264">
        <v>3201.8823529411766</v>
      </c>
      <c r="W381" s="264">
        <v>759.52941176470586</v>
      </c>
      <c r="X381" s="264">
        <v>3058.8235294117649</v>
      </c>
      <c r="Y381" s="264">
        <v>3818.3529411764707</v>
      </c>
      <c r="Z381" s="264">
        <v>5249.8823529411766</v>
      </c>
      <c r="AA381" s="264">
        <v>13.552941176470588</v>
      </c>
      <c r="AB381" s="264">
        <v>7.7647058823529411</v>
      </c>
      <c r="AC381" s="264">
        <v>21.317647058823528</v>
      </c>
      <c r="AD381" s="264">
        <v>0</v>
      </c>
      <c r="AE381" s="264">
        <v>0</v>
      </c>
      <c r="AF381" s="264">
        <v>0</v>
      </c>
      <c r="AG381" s="264">
        <v>31.623529411764707</v>
      </c>
      <c r="AH381" s="264">
        <v>6.3529411764705879</v>
      </c>
      <c r="AI381" s="264">
        <v>37.976470588235294</v>
      </c>
      <c r="AJ381" s="264">
        <v>9.4117647058823533</v>
      </c>
      <c r="AK381" s="264">
        <v>91.294117647058826</v>
      </c>
      <c r="AL381" s="264">
        <v>100.70588235294117</v>
      </c>
      <c r="AM381" s="264">
        <v>41.035294117647062</v>
      </c>
      <c r="AN381" s="264">
        <v>97.647058823529406</v>
      </c>
      <c r="AO381" s="264">
        <v>138.68235294117648</v>
      </c>
      <c r="AP381" s="264">
        <v>160</v>
      </c>
      <c r="AQ381" s="264">
        <v>0</v>
      </c>
      <c r="AR381" s="200">
        <v>1452.8470588235293</v>
      </c>
      <c r="AS381" s="200">
        <v>3957.035294117647</v>
      </c>
      <c r="AT381" s="66">
        <v>5409.8823529411766</v>
      </c>
      <c r="AU381" s="264">
        <v>0</v>
      </c>
      <c r="AV381" s="264">
        <v>37.647058823529413</v>
      </c>
      <c r="AW381" s="75">
        <v>0</v>
      </c>
      <c r="AX381" s="264">
        <v>0</v>
      </c>
      <c r="AY381" s="66">
        <v>37.647058823529413</v>
      </c>
      <c r="AZ381" s="268">
        <v>0</v>
      </c>
      <c r="BA381" s="264">
        <v>0</v>
      </c>
      <c r="BB381" s="264">
        <v>0</v>
      </c>
      <c r="BC381" s="264">
        <v>0</v>
      </c>
      <c r="BD381" s="264">
        <v>0</v>
      </c>
      <c r="BE381" s="264">
        <v>0</v>
      </c>
      <c r="BF381" s="264">
        <v>17.882352941176471</v>
      </c>
      <c r="BG381" s="269">
        <v>17.882352941176471</v>
      </c>
      <c r="BH381" s="270">
        <v>5465.4117647058829</v>
      </c>
      <c r="BI381" s="270">
        <v>1600000.2841110094</v>
      </c>
    </row>
    <row r="382" spans="1:61" x14ac:dyDescent="0.25">
      <c r="K382" s="142"/>
      <c r="L382" s="142"/>
      <c r="M382" s="142"/>
      <c r="N382" s="142"/>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row>
    <row r="383" spans="1:61" x14ac:dyDescent="0.25">
      <c r="K383" s="142"/>
      <c r="AW383" s="451"/>
    </row>
    <row r="384" spans="1:61" x14ac:dyDescent="0.25">
      <c r="M384" s="142"/>
      <c r="Y384" s="142"/>
      <c r="Z384" s="142"/>
      <c r="AA384" s="142"/>
      <c r="AB384" s="142"/>
      <c r="AC384" s="142"/>
      <c r="AD384" s="142"/>
      <c r="AE384" s="142"/>
      <c r="AF384" s="142"/>
      <c r="AG384" s="142"/>
      <c r="AH384" s="142"/>
      <c r="AI384" s="142"/>
      <c r="AJ384" s="142"/>
      <c r="AK384" s="142"/>
      <c r="AL384" s="142"/>
      <c r="AM384" s="142"/>
      <c r="AN384" s="142"/>
      <c r="AO384" s="142"/>
      <c r="AP384" s="142"/>
      <c r="AT384" s="142"/>
      <c r="AU384" s="142"/>
      <c r="AV384" s="142"/>
      <c r="AW384" s="451"/>
      <c r="AY384" s="142"/>
      <c r="BE384" s="142"/>
    </row>
    <row r="385" spans="49:49" x14ac:dyDescent="0.25">
      <c r="AW385" s="451"/>
    </row>
    <row r="386" spans="49:49" x14ac:dyDescent="0.25">
      <c r="AW386" s="451"/>
    </row>
    <row r="387" spans="49:49" x14ac:dyDescent="0.25">
      <c r="AW387" s="451"/>
    </row>
  </sheetData>
  <customSheetViews>
    <customSheetView guid="{0CC54A28-7FC1-4543-ABB1-95D1AD8E8D9F}" scale="75" colorId="24"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1"/>
      <headerFooter alignWithMargins="0">
        <oddFooter>&amp;R&amp;8Intranet, C2G, &amp;F, &amp;A, &amp;D, &amp;T</oddFooter>
      </headerFooter>
    </customSheetView>
    <customSheetView guid="{D8F48EB3-00E5-442F-8070-706BAA7F0CFD}"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2"/>
      <headerFooter alignWithMargins="0">
        <oddFooter>&amp;R&amp;8Intranet, C2G, &amp;F, &amp;A, &amp;D, &amp;T</oddFooter>
      </headerFooter>
    </customSheetView>
    <customSheetView guid="{B01F54CA-E090-4080-803C-0DB26461E19A}" scale="75" colorId="24" showGridLines="0" zeroValues="0" fitToPage="1" hiddenRows="1" hiddenColumns="1" state="hidden" showRuler="0" topLeftCell="A3">
      <pane xSplit="9"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3"/>
      <headerFooter alignWithMargins="0">
        <oddFooter>&amp;R&amp;8Intranet, C2G, &amp;F, &amp;A, &amp;D, &amp;T</oddFooter>
      </headerFooter>
    </customSheetView>
    <customSheetView guid="{265D6D4F-CC86-4F32-A61E-82B4DF4FE015}"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4"/>
      <headerFooter alignWithMargins="0">
        <oddFooter>&amp;R&amp;8Intranet, C2G, &amp;F, &amp;A, &amp;D, &amp;T</oddFooter>
      </headerFooter>
    </customSheetView>
    <customSheetView guid="{8289FB4F-06F1-4AB6-859E-CE679DDE8633}"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5"/>
      <headerFooter alignWithMargins="0">
        <oddFooter>&amp;R&amp;8Intranet, C2G, &amp;F, &amp;A, &amp;D, &amp;T</oddFooter>
      </headerFooter>
    </customSheetView>
    <customSheetView guid="{45244E67-D811-4150-BEA1-A7A1C54045A9}" scale="75" colorId="24" showPageBreaks="1" showGridLines="0" zeroValues="0" fitToPage="1" hiddenRows="1" hiddenColumns="1" state="hidden" showRuler="0" topLeftCell="A3">
      <pane xSplit="42" ySplit="2" topLeftCell="AV332" activePane="bottomRight" state="frozen"/>
      <selection pane="bottomRight" activeCell="C20" sqref="C20"/>
      <pageMargins left="0" right="0" top="0" bottom="0.39370078740157483" header="0" footer="0"/>
      <printOptions horizontalCentered="1"/>
      <pageSetup paperSize="9" scale="10" fitToHeight="4" orientation="landscape" r:id="rId6"/>
      <headerFooter alignWithMargins="0">
        <oddFooter>&amp;R&amp;8Intranet, C2G, &amp;F, &amp;A, &amp;D, &amp;T</oddFooter>
      </headerFooter>
    </customSheetView>
  </customSheetViews>
  <mergeCells count="11">
    <mergeCell ref="BA3:BE3"/>
    <mergeCell ref="BA4:BB4"/>
    <mergeCell ref="M4:Z4"/>
    <mergeCell ref="AC4:AP4"/>
    <mergeCell ref="BC4:BE4"/>
    <mergeCell ref="K2:Z2"/>
    <mergeCell ref="AA2:AP2"/>
    <mergeCell ref="AA3:AC3"/>
    <mergeCell ref="AD3:AO3"/>
    <mergeCell ref="K3:M3"/>
    <mergeCell ref="N3:Y3"/>
  </mergeCells>
  <phoneticPr fontId="0" type="noConversion"/>
  <conditionalFormatting sqref="C6 D6:J381">
    <cfRule type="expression" dxfId="422" priority="3" stopIfTrue="1">
      <formula>#REF!="ALERTE"</formula>
    </cfRule>
  </conditionalFormatting>
  <conditionalFormatting sqref="C3:J5">
    <cfRule type="expression" dxfId="421" priority="4" stopIfTrue="1">
      <formula>#REF!="ALERTE"</formula>
    </cfRule>
  </conditionalFormatting>
  <conditionalFormatting sqref="AU1:AU2 AU382:AU65536 AV384">
    <cfRule type="cellIs" dxfId="420" priority="2" stopIfTrue="1" operator="greaterThan">
      <formula>100</formula>
    </cfRule>
  </conditionalFormatting>
  <conditionalFormatting sqref="BH1:BH2 BH6:BH65536">
    <cfRule type="cellIs" dxfId="419" priority="1" stopIfTrue="1" operator="greaterThan">
      <formula>12000</formula>
    </cfRule>
  </conditionalFormatting>
  <printOptions horizontalCentered="1"/>
  <pageMargins left="0" right="0" top="0" bottom="0.39370078740157483" header="0" footer="0"/>
  <pageSetup paperSize="9" scale="10" fitToHeight="4" orientation="landscape" r:id="rId7"/>
  <headerFooter alignWithMargins="0">
    <oddFooter>&amp;R&amp;8Intranet, C2G, &amp;F, &amp;A,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7"/>
  <dimension ref="A1"/>
  <sheetViews>
    <sheetView workbookViewId="0"/>
  </sheetViews>
  <sheetFormatPr baseColWidth="10" defaultRowHeight="13.2" x14ac:dyDescent="0.25"/>
  <sheetData/>
  <customSheetViews>
    <customSheetView guid="{0CC54A28-7FC1-4543-ABB1-95D1AD8E8D9F}" state="veryHidden" showRuler="0">
      <pageMargins left="0.78740157499999996" right="0.78740157499999996" top="0.984251969" bottom="0.984251969" header="0.4921259845" footer="0.4921259845"/>
      <headerFooter alignWithMargins="0"/>
    </customSheetView>
    <customSheetView guid="{D8F48EB3-00E5-442F-8070-706BAA7F0CFD}" state="veryHidden" showRuler="0">
      <pageMargins left="0.78740157499999996" right="0.78740157499999996" top="0.984251969" bottom="0.984251969" header="0.4921259845" footer="0.4921259845"/>
      <headerFooter alignWithMargins="0"/>
    </customSheetView>
    <customSheetView guid="{B01F54CA-E090-4080-803C-0DB26461E19A}" state="veryHidden" showRuler="0">
      <pageMargins left="0.78740157499999996" right="0.78740157499999996" top="0.984251969" bottom="0.984251969" header="0.4921259845" footer="0.4921259845"/>
      <headerFooter alignWithMargins="0"/>
    </customSheetView>
    <customSheetView guid="{265D6D4F-CC86-4F32-A61E-82B4DF4FE015}" state="veryHidden" showRuler="0">
      <pageMargins left="0.78740157499999996" right="0.78740157499999996" top="0.984251969" bottom="0.984251969" header="0.4921259845" footer="0.4921259845"/>
      <headerFooter alignWithMargins="0"/>
    </customSheetView>
    <customSheetView guid="{8289FB4F-06F1-4AB6-859E-CE679DDE8633}" state="veryHidden" showRuler="0">
      <pageMargins left="0.78740157499999996" right="0.78740157499999996" top="0.984251969" bottom="0.984251969" header="0.4921259845" footer="0.4921259845"/>
      <headerFooter alignWithMargins="0"/>
    </customSheetView>
    <customSheetView guid="{45244E67-D811-4150-BEA1-A7A1C54045A9}" state="veryHidden" showRuler="0">
      <pageMargins left="0.78740157499999996" right="0.78740157499999996" top="0.984251969" bottom="0.984251969" header="0.4921259845" footer="0.4921259845"/>
      <headerFooter alignWithMargins="0"/>
    </customSheetView>
  </customSheetViews>
  <phoneticPr fontId="8" type="noConversion"/>
  <pageMargins left="0.78740157499999996" right="0.78740157499999996" top="0.984251969" bottom="0.984251969" header="0.4921259845" footer="0.4921259845"/>
  <headerFooter alignWithMargins="0"/>
  <customProperties>
    <customPr name="COR_DataCacheGzip" r:id="rId1"/>
    <customPr name="LastTupleSet_COR_Mappings"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41111111111111111112">
    <pageSetUpPr fitToPage="1"/>
  </sheetPr>
  <dimension ref="A1:EE71"/>
  <sheetViews>
    <sheetView showGridLines="0" showZeros="0" zoomScale="70" zoomScaleNormal="70" workbookViewId="0">
      <pane xSplit="1" ySplit="5" topLeftCell="B6"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x14ac:dyDescent="0.25"/>
  <cols>
    <col min="1" max="1" width="26.33203125" style="10" customWidth="1"/>
    <col min="2" max="2" width="8.5546875" style="1" bestFit="1" customWidth="1"/>
    <col min="3" max="26" width="8" style="1" customWidth="1"/>
    <col min="27" max="32" width="8.44140625"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499" customFormat="1" ht="42.75" customHeight="1" x14ac:dyDescent="0.25">
      <c r="A1" s="641">
        <v>45292</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33" t="s">
        <v>0</v>
      </c>
      <c r="B3" s="637">
        <f>+A1</f>
        <v>45292</v>
      </c>
      <c r="C3" s="636">
        <f t="shared" ref="C3:AF3" si="0">+B3+1</f>
        <v>45293</v>
      </c>
      <c r="D3" s="636">
        <f t="shared" si="0"/>
        <v>45294</v>
      </c>
      <c r="E3" s="636">
        <f t="shared" si="0"/>
        <v>45295</v>
      </c>
      <c r="F3" s="636">
        <f t="shared" si="0"/>
        <v>45296</v>
      </c>
      <c r="G3" s="636">
        <f t="shared" si="0"/>
        <v>45297</v>
      </c>
      <c r="H3" s="636">
        <f t="shared" si="0"/>
        <v>45298</v>
      </c>
      <c r="I3" s="636">
        <f t="shared" si="0"/>
        <v>45299</v>
      </c>
      <c r="J3" s="636">
        <f t="shared" si="0"/>
        <v>45300</v>
      </c>
      <c r="K3" s="636">
        <f t="shared" si="0"/>
        <v>45301</v>
      </c>
      <c r="L3" s="636">
        <f t="shared" si="0"/>
        <v>45302</v>
      </c>
      <c r="M3" s="636">
        <f t="shared" si="0"/>
        <v>45303</v>
      </c>
      <c r="N3" s="636">
        <f t="shared" si="0"/>
        <v>45304</v>
      </c>
      <c r="O3" s="636">
        <f t="shared" si="0"/>
        <v>45305</v>
      </c>
      <c r="P3" s="636">
        <f t="shared" si="0"/>
        <v>45306</v>
      </c>
      <c r="Q3" s="636">
        <f t="shared" si="0"/>
        <v>45307</v>
      </c>
      <c r="R3" s="636">
        <f t="shared" si="0"/>
        <v>45308</v>
      </c>
      <c r="S3" s="636">
        <f t="shared" si="0"/>
        <v>45309</v>
      </c>
      <c r="T3" s="636">
        <f t="shared" si="0"/>
        <v>45310</v>
      </c>
      <c r="U3" s="636">
        <f t="shared" si="0"/>
        <v>45311</v>
      </c>
      <c r="V3" s="636">
        <f t="shared" si="0"/>
        <v>45312</v>
      </c>
      <c r="W3" s="636">
        <f t="shared" si="0"/>
        <v>45313</v>
      </c>
      <c r="X3" s="636">
        <f t="shared" si="0"/>
        <v>45314</v>
      </c>
      <c r="Y3" s="636">
        <f t="shared" si="0"/>
        <v>45315</v>
      </c>
      <c r="Z3" s="636">
        <f t="shared" si="0"/>
        <v>45316</v>
      </c>
      <c r="AA3" s="636">
        <f t="shared" si="0"/>
        <v>45317</v>
      </c>
      <c r="AB3" s="636">
        <f t="shared" si="0"/>
        <v>45318</v>
      </c>
      <c r="AC3" s="636">
        <f t="shared" si="0"/>
        <v>45319</v>
      </c>
      <c r="AD3" s="636">
        <f t="shared" si="0"/>
        <v>45320</v>
      </c>
      <c r="AE3" s="636">
        <f t="shared" si="0"/>
        <v>45321</v>
      </c>
      <c r="AF3" s="636">
        <f t="shared" si="0"/>
        <v>45322</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19.5" customHeight="1" x14ac:dyDescent="0.25">
      <c r="A4" s="527" t="s">
        <v>1</v>
      </c>
      <c r="B4" s="578">
        <f>+A1</f>
        <v>45292</v>
      </c>
      <c r="C4" s="533">
        <f t="shared" ref="C4:AF4" si="1">+B4+1</f>
        <v>45293</v>
      </c>
      <c r="D4" s="533">
        <f t="shared" si="1"/>
        <v>45294</v>
      </c>
      <c r="E4" s="533">
        <f t="shared" si="1"/>
        <v>45295</v>
      </c>
      <c r="F4" s="533">
        <f t="shared" si="1"/>
        <v>45296</v>
      </c>
      <c r="G4" s="533">
        <f t="shared" si="1"/>
        <v>45297</v>
      </c>
      <c r="H4" s="533">
        <f t="shared" si="1"/>
        <v>45298</v>
      </c>
      <c r="I4" s="533">
        <f t="shared" si="1"/>
        <v>45299</v>
      </c>
      <c r="J4" s="533">
        <f t="shared" si="1"/>
        <v>45300</v>
      </c>
      <c r="K4" s="533">
        <f t="shared" si="1"/>
        <v>45301</v>
      </c>
      <c r="L4" s="533">
        <f t="shared" si="1"/>
        <v>45302</v>
      </c>
      <c r="M4" s="533">
        <f t="shared" si="1"/>
        <v>45303</v>
      </c>
      <c r="N4" s="533">
        <f t="shared" si="1"/>
        <v>45304</v>
      </c>
      <c r="O4" s="533">
        <f t="shared" si="1"/>
        <v>45305</v>
      </c>
      <c r="P4" s="533">
        <f t="shared" si="1"/>
        <v>45306</v>
      </c>
      <c r="Q4" s="533">
        <f t="shared" si="1"/>
        <v>45307</v>
      </c>
      <c r="R4" s="533">
        <f t="shared" si="1"/>
        <v>45308</v>
      </c>
      <c r="S4" s="533">
        <f t="shared" si="1"/>
        <v>45309</v>
      </c>
      <c r="T4" s="533">
        <f t="shared" si="1"/>
        <v>45310</v>
      </c>
      <c r="U4" s="533">
        <f t="shared" si="1"/>
        <v>45311</v>
      </c>
      <c r="V4" s="533">
        <f t="shared" si="1"/>
        <v>45312</v>
      </c>
      <c r="W4" s="533">
        <f t="shared" si="1"/>
        <v>45313</v>
      </c>
      <c r="X4" s="533">
        <f t="shared" si="1"/>
        <v>45314</v>
      </c>
      <c r="Y4" s="533">
        <f t="shared" si="1"/>
        <v>45315</v>
      </c>
      <c r="Z4" s="533">
        <f t="shared" si="1"/>
        <v>45316</v>
      </c>
      <c r="AA4" s="533">
        <f t="shared" si="1"/>
        <v>45317</v>
      </c>
      <c r="AB4" s="533">
        <f t="shared" si="1"/>
        <v>45318</v>
      </c>
      <c r="AC4" s="533">
        <f t="shared" si="1"/>
        <v>45319</v>
      </c>
      <c r="AD4" s="533">
        <f t="shared" si="1"/>
        <v>45320</v>
      </c>
      <c r="AE4" s="533">
        <f t="shared" si="1"/>
        <v>45321</v>
      </c>
      <c r="AF4" s="533">
        <f t="shared" si="1"/>
        <v>45322</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28"/>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9" t="s">
        <v>2</v>
      </c>
      <c r="B6" s="492" t="s">
        <v>135</v>
      </c>
      <c r="C6" s="492"/>
      <c r="D6" s="490"/>
      <c r="E6" s="490"/>
      <c r="F6" s="490"/>
      <c r="G6" s="491"/>
      <c r="H6" s="491"/>
      <c r="I6" s="490"/>
      <c r="J6" s="490"/>
      <c r="K6" s="490"/>
      <c r="L6" s="490"/>
      <c r="M6" s="491"/>
      <c r="N6" s="491"/>
      <c r="O6" s="491"/>
      <c r="P6" s="490"/>
      <c r="Q6" s="490"/>
      <c r="R6" s="490"/>
      <c r="S6" s="490"/>
      <c r="T6" s="491"/>
      <c r="U6" s="491"/>
      <c r="V6" s="491"/>
      <c r="W6" s="490"/>
      <c r="X6" s="490"/>
      <c r="Y6" s="490"/>
      <c r="Z6" s="490"/>
      <c r="AA6" s="491"/>
      <c r="AB6" s="491"/>
      <c r="AC6" s="491"/>
      <c r="AD6" s="491"/>
      <c r="AE6" s="490"/>
      <c r="AF6" s="490"/>
      <c r="AG6" s="157"/>
      <c r="AH6" s="470"/>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30" t="s">
        <v>3</v>
      </c>
      <c r="B7" s="472" t="s">
        <v>127</v>
      </c>
      <c r="C7" s="472" t="s">
        <v>127</v>
      </c>
      <c r="D7" s="472" t="s">
        <v>127</v>
      </c>
      <c r="E7" s="472" t="s">
        <v>127</v>
      </c>
      <c r="F7" s="472" t="s">
        <v>127</v>
      </c>
      <c r="G7" s="472" t="s">
        <v>127</v>
      </c>
      <c r="H7" s="472" t="s">
        <v>127</v>
      </c>
      <c r="I7" s="165"/>
      <c r="J7" s="165"/>
      <c r="K7" s="165"/>
      <c r="L7" s="165"/>
      <c r="M7" s="165"/>
      <c r="N7" s="165"/>
      <c r="O7" s="165"/>
      <c r="P7" s="165"/>
      <c r="Q7" s="165"/>
      <c r="R7" s="165"/>
      <c r="S7" s="165"/>
      <c r="T7" s="165"/>
      <c r="U7" s="165"/>
      <c r="V7" s="165"/>
      <c r="W7" s="165"/>
      <c r="X7" s="165"/>
      <c r="Y7" s="165"/>
      <c r="Z7" s="165"/>
      <c r="AA7" s="165"/>
      <c r="AB7" s="165"/>
      <c r="AC7" s="165"/>
      <c r="AD7" s="165"/>
      <c r="AE7" s="165"/>
      <c r="AF7" s="165"/>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60" customFormat="1" ht="25.5" customHeight="1" x14ac:dyDescent="0.3">
      <c r="A8" s="559" t="s">
        <v>132</v>
      </c>
      <c r="B8" s="562">
        <v>0.39583333333333331</v>
      </c>
      <c r="C8" s="562">
        <v>0.39583333333333331</v>
      </c>
      <c r="D8" s="562">
        <v>0.39583333333333331</v>
      </c>
      <c r="E8" s="562">
        <v>0.39583333333333331</v>
      </c>
      <c r="F8" s="562">
        <v>0.39583333333333331</v>
      </c>
      <c r="G8" s="562">
        <v>0.39583333333333331</v>
      </c>
      <c r="H8" s="562">
        <v>0.39583333333333331</v>
      </c>
      <c r="I8" s="656" t="str">
        <f t="shared" ref="I8:AF8" si="2">I9</f>
        <v/>
      </c>
      <c r="J8" s="656" t="str">
        <f t="shared" si="2"/>
        <v/>
      </c>
      <c r="K8" s="656" t="str">
        <f t="shared" si="2"/>
        <v/>
      </c>
      <c r="L8" s="656" t="str">
        <f t="shared" si="2"/>
        <v/>
      </c>
      <c r="M8" s="656" t="str">
        <f t="shared" si="2"/>
        <v/>
      </c>
      <c r="N8" s="656" t="str">
        <f t="shared" si="2"/>
        <v/>
      </c>
      <c r="O8" s="656" t="str">
        <f t="shared" si="2"/>
        <v/>
      </c>
      <c r="P8" s="656" t="str">
        <f t="shared" si="2"/>
        <v/>
      </c>
      <c r="Q8" s="656" t="str">
        <f t="shared" si="2"/>
        <v/>
      </c>
      <c r="R8" s="656" t="str">
        <f t="shared" si="2"/>
        <v/>
      </c>
      <c r="S8" s="656" t="str">
        <f t="shared" si="2"/>
        <v/>
      </c>
      <c r="T8" s="656" t="str">
        <f t="shared" si="2"/>
        <v/>
      </c>
      <c r="U8" s="656" t="str">
        <f t="shared" si="2"/>
        <v/>
      </c>
      <c r="V8" s="656" t="str">
        <f t="shared" si="2"/>
        <v/>
      </c>
      <c r="W8" s="656" t="str">
        <f t="shared" si="2"/>
        <v/>
      </c>
      <c r="X8" s="656" t="str">
        <f t="shared" si="2"/>
        <v/>
      </c>
      <c r="Y8" s="656" t="str">
        <f t="shared" si="2"/>
        <v/>
      </c>
      <c r="Z8" s="656" t="str">
        <f t="shared" si="2"/>
        <v/>
      </c>
      <c r="AA8" s="656" t="str">
        <f t="shared" si="2"/>
        <v/>
      </c>
      <c r="AB8" s="656" t="str">
        <f t="shared" si="2"/>
        <v/>
      </c>
      <c r="AC8" s="656" t="str">
        <f t="shared" si="2"/>
        <v/>
      </c>
      <c r="AD8" s="656" t="str">
        <f t="shared" si="2"/>
        <v/>
      </c>
      <c r="AE8" s="656" t="str">
        <f t="shared" si="2"/>
        <v/>
      </c>
      <c r="AF8" s="656" t="str">
        <f t="shared" si="2"/>
        <v/>
      </c>
      <c r="AG8" s="561"/>
      <c r="AH8" s="656"/>
    </row>
    <row r="9" spans="1:135" s="172" customFormat="1" ht="20.25" customHeight="1" x14ac:dyDescent="0.4">
      <c r="A9" s="519" t="s">
        <v>36</v>
      </c>
      <c r="B9" s="511">
        <v>0.38541666666666669</v>
      </c>
      <c r="C9" s="511">
        <v>0.38541666666666669</v>
      </c>
      <c r="D9" s="511">
        <v>0.38541666666666669</v>
      </c>
      <c r="E9" s="511">
        <v>0.38541666666666669</v>
      </c>
      <c r="F9" s="511">
        <v>0.38541666666666669</v>
      </c>
      <c r="G9" s="511">
        <v>0.38541666666666669</v>
      </c>
      <c r="H9" s="511">
        <v>0.38541666666666669</v>
      </c>
      <c r="I9" s="657" t="str">
        <f t="shared" ref="I9:AF9" si="3">IF(I10="","",I10-"0:15")</f>
        <v/>
      </c>
      <c r="J9" s="657" t="str">
        <f t="shared" si="3"/>
        <v/>
      </c>
      <c r="K9" s="657" t="str">
        <f t="shared" si="3"/>
        <v/>
      </c>
      <c r="L9" s="657" t="str">
        <f t="shared" si="3"/>
        <v/>
      </c>
      <c r="M9" s="657" t="str">
        <f t="shared" si="3"/>
        <v/>
      </c>
      <c r="N9" s="657" t="str">
        <f t="shared" si="3"/>
        <v/>
      </c>
      <c r="O9" s="657" t="str">
        <f t="shared" si="3"/>
        <v/>
      </c>
      <c r="P9" s="657" t="str">
        <f t="shared" si="3"/>
        <v/>
      </c>
      <c r="Q9" s="657" t="str">
        <f t="shared" si="3"/>
        <v/>
      </c>
      <c r="R9" s="657" t="str">
        <f t="shared" si="3"/>
        <v/>
      </c>
      <c r="S9" s="657" t="str">
        <f t="shared" si="3"/>
        <v/>
      </c>
      <c r="T9" s="657" t="str">
        <f t="shared" si="3"/>
        <v/>
      </c>
      <c r="U9" s="657" t="str">
        <f t="shared" si="3"/>
        <v/>
      </c>
      <c r="V9" s="657" t="str">
        <f t="shared" si="3"/>
        <v/>
      </c>
      <c r="W9" s="657" t="str">
        <f t="shared" si="3"/>
        <v/>
      </c>
      <c r="X9" s="657" t="str">
        <f t="shared" si="3"/>
        <v/>
      </c>
      <c r="Y9" s="657" t="str">
        <f t="shared" si="3"/>
        <v/>
      </c>
      <c r="Z9" s="657" t="str">
        <f t="shared" si="3"/>
        <v/>
      </c>
      <c r="AA9" s="657" t="str">
        <f t="shared" si="3"/>
        <v/>
      </c>
      <c r="AB9" s="657" t="str">
        <f t="shared" si="3"/>
        <v/>
      </c>
      <c r="AC9" s="657" t="str">
        <f t="shared" si="3"/>
        <v/>
      </c>
      <c r="AD9" s="657" t="str">
        <f t="shared" si="3"/>
        <v/>
      </c>
      <c r="AE9" s="657" t="str">
        <f t="shared" si="3"/>
        <v/>
      </c>
      <c r="AF9" s="657" t="str">
        <f t="shared" si="3"/>
        <v/>
      </c>
      <c r="AG9" s="180"/>
      <c r="AH9" s="554"/>
    </row>
    <row r="10" spans="1:135" s="171" customFormat="1" ht="20.100000000000001" customHeight="1" x14ac:dyDescent="0.4">
      <c r="A10" s="520" t="s">
        <v>5</v>
      </c>
      <c r="B10" s="626">
        <v>0.39583333333333331</v>
      </c>
      <c r="C10" s="626">
        <v>0.39583333333333331</v>
      </c>
      <c r="D10" s="626">
        <v>0.39583333333333331</v>
      </c>
      <c r="E10" s="626">
        <v>0.39583333333333331</v>
      </c>
      <c r="F10" s="626">
        <v>0.39583333333333331</v>
      </c>
      <c r="G10" s="626">
        <v>0.39583333333333331</v>
      </c>
      <c r="H10" s="626">
        <v>0.39583333333333331</v>
      </c>
      <c r="I10" s="626"/>
      <c r="J10" s="626"/>
      <c r="K10" s="626"/>
      <c r="L10" s="626"/>
      <c r="M10" s="626"/>
      <c r="N10" s="626"/>
      <c r="O10" s="626"/>
      <c r="P10" s="626"/>
      <c r="Q10" s="626"/>
      <c r="R10" s="626"/>
      <c r="S10" s="626"/>
      <c r="T10" s="626"/>
      <c r="U10" s="626"/>
      <c r="V10" s="626"/>
      <c r="W10" s="626"/>
      <c r="X10" s="626"/>
      <c r="Y10" s="626"/>
      <c r="Z10" s="626"/>
      <c r="AA10" s="626"/>
      <c r="AB10" s="626"/>
      <c r="AC10" s="626"/>
      <c r="AD10" s="626"/>
      <c r="AE10" s="626"/>
      <c r="AF10" s="626"/>
      <c r="AG10" s="180"/>
      <c r="AH10" s="62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4">
      <c r="A11" s="520" t="s">
        <v>6</v>
      </c>
      <c r="B11" s="627">
        <f>IF(B10="","",IF(B15=0,B14+"0:30",+B15+"0:30"))</f>
        <v>0.91666666666666674</v>
      </c>
      <c r="C11" s="627">
        <f t="shared" ref="C11:G11" si="4">IF(C10="","",IF(C15=0,C14+"0:30",+C15+"0:30"))</f>
        <v>0.91666666666666674</v>
      </c>
      <c r="D11" s="627">
        <f t="shared" si="4"/>
        <v>0.91666666666666674</v>
      </c>
      <c r="E11" s="627">
        <f t="shared" si="4"/>
        <v>0.91666666666666674</v>
      </c>
      <c r="F11" s="627">
        <f t="shared" si="4"/>
        <v>0.91666666666666674</v>
      </c>
      <c r="G11" s="627">
        <f t="shared" si="4"/>
        <v>0.91666666666666674</v>
      </c>
      <c r="H11" s="627">
        <f>IF(H10="","",IF(H15=0,H14+"0:30",+H15+"0:30"))</f>
        <v>0.77083333333333337</v>
      </c>
      <c r="I11" s="627" t="str">
        <f t="shared" ref="I11:AF11" si="5">IF(I10="","",IF(I15=0,I14+"0:30",+I15+"0:30"))</f>
        <v/>
      </c>
      <c r="J11" s="627" t="str">
        <f t="shared" si="5"/>
        <v/>
      </c>
      <c r="K11" s="627" t="str">
        <f t="shared" si="5"/>
        <v/>
      </c>
      <c r="L11" s="627" t="str">
        <f t="shared" si="5"/>
        <v/>
      </c>
      <c r="M11" s="627" t="str">
        <f t="shared" si="5"/>
        <v/>
      </c>
      <c r="N11" s="627" t="str">
        <f t="shared" si="5"/>
        <v/>
      </c>
      <c r="O11" s="627" t="str">
        <f t="shared" si="5"/>
        <v/>
      </c>
      <c r="P11" s="627" t="str">
        <f t="shared" si="5"/>
        <v/>
      </c>
      <c r="Q11" s="627" t="str">
        <f t="shared" si="5"/>
        <v/>
      </c>
      <c r="R11" s="627" t="str">
        <f t="shared" si="5"/>
        <v/>
      </c>
      <c r="S11" s="627" t="str">
        <f t="shared" si="5"/>
        <v/>
      </c>
      <c r="T11" s="627" t="str">
        <f t="shared" si="5"/>
        <v/>
      </c>
      <c r="U11" s="627" t="str">
        <f t="shared" si="5"/>
        <v/>
      </c>
      <c r="V11" s="627" t="str">
        <f t="shared" si="5"/>
        <v/>
      </c>
      <c r="W11" s="627" t="str">
        <f t="shared" si="5"/>
        <v/>
      </c>
      <c r="X11" s="627" t="str">
        <f t="shared" si="5"/>
        <v/>
      </c>
      <c r="Y11" s="627" t="str">
        <f t="shared" si="5"/>
        <v/>
      </c>
      <c r="Z11" s="627" t="str">
        <f t="shared" si="5"/>
        <v/>
      </c>
      <c r="AA11" s="627" t="str">
        <f t="shared" si="5"/>
        <v/>
      </c>
      <c r="AB11" s="627" t="str">
        <f t="shared" si="5"/>
        <v/>
      </c>
      <c r="AC11" s="627" t="str">
        <f t="shared" si="5"/>
        <v/>
      </c>
      <c r="AD11" s="627" t="str">
        <f t="shared" si="5"/>
        <v/>
      </c>
      <c r="AE11" s="627" t="str">
        <f t="shared" si="5"/>
        <v/>
      </c>
      <c r="AF11" s="627" t="str">
        <f t="shared" si="5"/>
        <v/>
      </c>
      <c r="AG11" s="180"/>
      <c r="AH11" s="62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506" customFormat="1" ht="20.100000000000001" customHeight="1" x14ac:dyDescent="0.4">
      <c r="A12" s="521" t="s">
        <v>7</v>
      </c>
      <c r="B12" s="623">
        <f>+IF(B10="","",(B11-B10))</f>
        <v>0.52083333333333348</v>
      </c>
      <c r="C12" s="623">
        <f t="shared" ref="C12:G12" si="6">+IF(C10="","",(C11-C10))</f>
        <v>0.52083333333333348</v>
      </c>
      <c r="D12" s="623">
        <f t="shared" si="6"/>
        <v>0.52083333333333348</v>
      </c>
      <c r="E12" s="623">
        <f t="shared" si="6"/>
        <v>0.52083333333333348</v>
      </c>
      <c r="F12" s="623">
        <f t="shared" si="6"/>
        <v>0.52083333333333348</v>
      </c>
      <c r="G12" s="623">
        <f t="shared" si="6"/>
        <v>0.52083333333333348</v>
      </c>
      <c r="H12" s="623">
        <f>+IF(H10="","",(H11-H10))</f>
        <v>0.37500000000000006</v>
      </c>
      <c r="I12" s="623" t="str">
        <f t="shared" ref="I12:AF12" si="7">+IF(I10="","",(I11-I10))</f>
        <v/>
      </c>
      <c r="J12" s="623" t="str">
        <f t="shared" si="7"/>
        <v/>
      </c>
      <c r="K12" s="623" t="str">
        <f t="shared" si="7"/>
        <v/>
      </c>
      <c r="L12" s="623" t="str">
        <f t="shared" si="7"/>
        <v/>
      </c>
      <c r="M12" s="623" t="str">
        <f t="shared" si="7"/>
        <v/>
      </c>
      <c r="N12" s="623" t="str">
        <f t="shared" si="7"/>
        <v/>
      </c>
      <c r="O12" s="623" t="str">
        <f t="shared" si="7"/>
        <v/>
      </c>
      <c r="P12" s="623" t="str">
        <f t="shared" si="7"/>
        <v/>
      </c>
      <c r="Q12" s="623" t="str">
        <f t="shared" si="7"/>
        <v/>
      </c>
      <c r="R12" s="623" t="str">
        <f t="shared" si="7"/>
        <v/>
      </c>
      <c r="S12" s="623" t="str">
        <f t="shared" si="7"/>
        <v/>
      </c>
      <c r="T12" s="623" t="str">
        <f t="shared" si="7"/>
        <v/>
      </c>
      <c r="U12" s="623" t="str">
        <f t="shared" si="7"/>
        <v/>
      </c>
      <c r="V12" s="623" t="str">
        <f t="shared" si="7"/>
        <v/>
      </c>
      <c r="W12" s="623" t="str">
        <f t="shared" si="7"/>
        <v/>
      </c>
      <c r="X12" s="623" t="str">
        <f t="shared" si="7"/>
        <v/>
      </c>
      <c r="Y12" s="623" t="str">
        <f t="shared" si="7"/>
        <v/>
      </c>
      <c r="Z12" s="623" t="str">
        <f t="shared" si="7"/>
        <v/>
      </c>
      <c r="AA12" s="623" t="str">
        <f t="shared" si="7"/>
        <v/>
      </c>
      <c r="AB12" s="623" t="str">
        <f t="shared" si="7"/>
        <v/>
      </c>
      <c r="AC12" s="623" t="str">
        <f t="shared" si="7"/>
        <v/>
      </c>
      <c r="AD12" s="623" t="str">
        <f t="shared" si="7"/>
        <v/>
      </c>
      <c r="AE12" s="623" t="str">
        <f t="shared" si="7"/>
        <v/>
      </c>
      <c r="AF12" s="623" t="str">
        <f t="shared" si="7"/>
        <v/>
      </c>
      <c r="AG12" s="558"/>
      <c r="AH12" s="624">
        <f>SUM(B12:AF12)</f>
        <v>3.5000000000000009</v>
      </c>
    </row>
    <row r="13" spans="1:135" s="172" customFormat="1" ht="9.9" customHeight="1" x14ac:dyDescent="0.4">
      <c r="A13" s="166"/>
      <c r="B13" s="175"/>
      <c r="C13" s="175"/>
      <c r="D13" s="175"/>
      <c r="E13" s="175"/>
      <c r="F13" s="175"/>
      <c r="G13" s="175"/>
      <c r="H13" s="175"/>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5"/>
      <c r="AF13" s="175"/>
      <c r="AG13" s="180"/>
      <c r="AH13" s="174"/>
    </row>
    <row r="14" spans="1:135" s="171" customFormat="1" ht="20.100000000000001" customHeight="1" x14ac:dyDescent="0.4">
      <c r="A14" s="616" t="s">
        <v>8</v>
      </c>
      <c r="B14" s="176">
        <v>0.86458333333333337</v>
      </c>
      <c r="C14" s="176">
        <v>0.86458333333333337</v>
      </c>
      <c r="D14" s="176">
        <v>0.86458333333333337</v>
      </c>
      <c r="E14" s="176">
        <v>0.86458333333333337</v>
      </c>
      <c r="F14" s="176">
        <v>0.89583333333333337</v>
      </c>
      <c r="G14" s="176">
        <v>0.89583333333333337</v>
      </c>
      <c r="H14" s="176">
        <v>0.75</v>
      </c>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80"/>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x14ac:dyDescent="0.4">
      <c r="A15" s="617" t="s">
        <v>9</v>
      </c>
      <c r="B15" s="575">
        <v>0.89583333333333337</v>
      </c>
      <c r="C15" s="575">
        <v>0.89583333333333337</v>
      </c>
      <c r="D15" s="575">
        <v>0.89583333333333337</v>
      </c>
      <c r="E15" s="575">
        <v>0.89583333333333337</v>
      </c>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575"/>
      <c r="AG15" s="180"/>
      <c r="AH15" s="555"/>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63" customFormat="1" ht="15" x14ac:dyDescent="0.25">
      <c r="A16" s="51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63" customFormat="1" ht="15" x14ac:dyDescent="0.25">
      <c r="A17" s="519" t="s">
        <v>10</v>
      </c>
      <c r="B17" s="168">
        <f t="shared" ref="B17:C19" si="8">+IF(B14&lt;&gt;"",1,0)</f>
        <v>1</v>
      </c>
      <c r="C17" s="168">
        <f t="shared" si="8"/>
        <v>1</v>
      </c>
      <c r="D17" s="168">
        <f t="shared" ref="D17:AF17" si="9">+IF(D14&lt;&gt;"",1,0)</f>
        <v>1</v>
      </c>
      <c r="E17" s="168">
        <f t="shared" ref="E17:H17" si="10">+IF(E14&lt;&gt;"",1,0)</f>
        <v>1</v>
      </c>
      <c r="F17" s="168">
        <f t="shared" si="10"/>
        <v>1</v>
      </c>
      <c r="G17" s="168">
        <f t="shared" si="10"/>
        <v>1</v>
      </c>
      <c r="H17" s="168">
        <f t="shared" si="10"/>
        <v>1</v>
      </c>
      <c r="I17" s="168">
        <f t="shared" si="9"/>
        <v>0</v>
      </c>
      <c r="J17" s="168">
        <f t="shared" si="9"/>
        <v>0</v>
      </c>
      <c r="K17" s="168">
        <f t="shared" si="9"/>
        <v>0</v>
      </c>
      <c r="L17" s="168">
        <f t="shared" si="9"/>
        <v>0</v>
      </c>
      <c r="M17" s="168">
        <f t="shared" si="9"/>
        <v>0</v>
      </c>
      <c r="N17" s="168">
        <f t="shared" si="9"/>
        <v>0</v>
      </c>
      <c r="O17" s="168">
        <f t="shared" si="9"/>
        <v>0</v>
      </c>
      <c r="P17" s="168">
        <f t="shared" si="9"/>
        <v>0</v>
      </c>
      <c r="Q17" s="168">
        <f t="shared" si="9"/>
        <v>0</v>
      </c>
      <c r="R17" s="168">
        <f t="shared" si="9"/>
        <v>0</v>
      </c>
      <c r="S17" s="168">
        <f t="shared" si="9"/>
        <v>0</v>
      </c>
      <c r="T17" s="168">
        <f t="shared" si="9"/>
        <v>0</v>
      </c>
      <c r="U17" s="168">
        <f t="shared" si="9"/>
        <v>0</v>
      </c>
      <c r="V17" s="168">
        <f t="shared" si="9"/>
        <v>0</v>
      </c>
      <c r="W17" s="168">
        <f t="shared" si="9"/>
        <v>0</v>
      </c>
      <c r="X17" s="168">
        <f t="shared" si="9"/>
        <v>0</v>
      </c>
      <c r="Y17" s="168">
        <f t="shared" si="9"/>
        <v>0</v>
      </c>
      <c r="Z17" s="168">
        <f t="shared" si="9"/>
        <v>0</v>
      </c>
      <c r="AA17" s="168">
        <f t="shared" si="9"/>
        <v>0</v>
      </c>
      <c r="AB17" s="168">
        <f>+IF(AB14&lt;&gt;"",1,0)</f>
        <v>0</v>
      </c>
      <c r="AC17" s="168">
        <f>+IF(AC14&lt;&gt;"",1,0)</f>
        <v>0</v>
      </c>
      <c r="AD17" s="168">
        <f t="shared" si="9"/>
        <v>0</v>
      </c>
      <c r="AE17" s="168">
        <f t="shared" si="9"/>
        <v>0</v>
      </c>
      <c r="AF17" s="168">
        <f t="shared" si="9"/>
        <v>0</v>
      </c>
      <c r="AG17" s="162"/>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c r="ED17" s="164"/>
      <c r="EE17" s="164"/>
    </row>
    <row r="18" spans="1:135" s="163" customFormat="1" ht="15" x14ac:dyDescent="0.25">
      <c r="A18" s="519" t="s">
        <v>11</v>
      </c>
      <c r="B18" s="168">
        <f t="shared" si="8"/>
        <v>1</v>
      </c>
      <c r="C18" s="168">
        <f t="shared" si="8"/>
        <v>1</v>
      </c>
      <c r="D18" s="168">
        <f t="shared" ref="D18:AF18" si="11">+IF(D15&lt;&gt;"",1,0)</f>
        <v>1</v>
      </c>
      <c r="E18" s="168">
        <f t="shared" ref="E18:H18" si="12">+IF(E15&lt;&gt;"",1,0)</f>
        <v>1</v>
      </c>
      <c r="F18" s="168">
        <f t="shared" si="12"/>
        <v>0</v>
      </c>
      <c r="G18" s="168">
        <f t="shared" si="12"/>
        <v>0</v>
      </c>
      <c r="H18" s="168">
        <f t="shared" si="12"/>
        <v>0</v>
      </c>
      <c r="I18" s="168">
        <f t="shared" si="11"/>
        <v>0</v>
      </c>
      <c r="J18" s="168">
        <f t="shared" si="11"/>
        <v>0</v>
      </c>
      <c r="K18" s="168">
        <f t="shared" si="11"/>
        <v>0</v>
      </c>
      <c r="L18" s="168">
        <f t="shared" si="11"/>
        <v>0</v>
      </c>
      <c r="M18" s="168">
        <f t="shared" si="11"/>
        <v>0</v>
      </c>
      <c r="N18" s="168">
        <f t="shared" si="11"/>
        <v>0</v>
      </c>
      <c r="O18" s="168">
        <f t="shared" si="11"/>
        <v>0</v>
      </c>
      <c r="P18" s="168">
        <f t="shared" si="11"/>
        <v>0</v>
      </c>
      <c r="Q18" s="168">
        <f t="shared" si="11"/>
        <v>0</v>
      </c>
      <c r="R18" s="168">
        <f t="shared" si="11"/>
        <v>0</v>
      </c>
      <c r="S18" s="168">
        <f t="shared" si="11"/>
        <v>0</v>
      </c>
      <c r="T18" s="168">
        <f t="shared" si="11"/>
        <v>0</v>
      </c>
      <c r="U18" s="168">
        <f t="shared" si="11"/>
        <v>0</v>
      </c>
      <c r="V18" s="168">
        <f t="shared" si="11"/>
        <v>0</v>
      </c>
      <c r="W18" s="168">
        <f t="shared" si="11"/>
        <v>0</v>
      </c>
      <c r="X18" s="168">
        <f t="shared" si="11"/>
        <v>0</v>
      </c>
      <c r="Y18" s="168">
        <f t="shared" si="11"/>
        <v>0</v>
      </c>
      <c r="Z18" s="168">
        <f t="shared" si="11"/>
        <v>0</v>
      </c>
      <c r="AA18" s="168">
        <f t="shared" si="11"/>
        <v>0</v>
      </c>
      <c r="AB18" s="168">
        <f t="shared" si="11"/>
        <v>0</v>
      </c>
      <c r="AC18" s="168">
        <f t="shared" si="11"/>
        <v>0</v>
      </c>
      <c r="AD18" s="168">
        <f t="shared" si="11"/>
        <v>0</v>
      </c>
      <c r="AE18" s="168">
        <f t="shared" si="11"/>
        <v>0</v>
      </c>
      <c r="AF18" s="168">
        <f t="shared" si="11"/>
        <v>0</v>
      </c>
      <c r="AG18" s="162"/>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c r="ED18" s="164"/>
      <c r="EE18" s="164"/>
    </row>
    <row r="19" spans="1:135" s="163" customFormat="1" ht="15.6" thickBot="1" x14ac:dyDescent="0.3">
      <c r="A19" s="519" t="s">
        <v>20</v>
      </c>
      <c r="B19" s="168">
        <f t="shared" si="8"/>
        <v>0</v>
      </c>
      <c r="C19" s="168">
        <f t="shared" si="8"/>
        <v>0</v>
      </c>
      <c r="D19" s="168">
        <f t="shared" ref="D19:AF19" si="13">+IF(D16&lt;&gt;"",1,0)</f>
        <v>0</v>
      </c>
      <c r="E19" s="168">
        <f t="shared" si="13"/>
        <v>0</v>
      </c>
      <c r="F19" s="168">
        <f t="shared" ref="F19" si="14">+IF(F16&lt;&gt;"",1,0)</f>
        <v>0</v>
      </c>
      <c r="G19" s="168"/>
      <c r="H19" s="168"/>
      <c r="I19" s="168">
        <f t="shared" si="13"/>
        <v>0</v>
      </c>
      <c r="J19" s="168">
        <f t="shared" si="13"/>
        <v>0</v>
      </c>
      <c r="K19" s="168">
        <f t="shared" si="13"/>
        <v>0</v>
      </c>
      <c r="L19" s="168">
        <f t="shared" si="13"/>
        <v>0</v>
      </c>
      <c r="M19" s="168">
        <f t="shared" si="13"/>
        <v>0</v>
      </c>
      <c r="N19" s="168">
        <f t="shared" si="13"/>
        <v>0</v>
      </c>
      <c r="O19" s="168">
        <f t="shared" si="13"/>
        <v>0</v>
      </c>
      <c r="P19" s="168">
        <f t="shared" si="13"/>
        <v>0</v>
      </c>
      <c r="Q19" s="168">
        <f t="shared" si="13"/>
        <v>0</v>
      </c>
      <c r="R19" s="168">
        <f t="shared" si="13"/>
        <v>0</v>
      </c>
      <c r="S19" s="168">
        <f t="shared" si="13"/>
        <v>0</v>
      </c>
      <c r="T19" s="168">
        <f t="shared" si="13"/>
        <v>0</v>
      </c>
      <c r="U19" s="168">
        <f t="shared" si="13"/>
        <v>0</v>
      </c>
      <c r="V19" s="168">
        <f t="shared" si="13"/>
        <v>0</v>
      </c>
      <c r="W19" s="168">
        <f t="shared" si="13"/>
        <v>0</v>
      </c>
      <c r="X19" s="168">
        <f t="shared" si="13"/>
        <v>0</v>
      </c>
      <c r="Y19" s="168">
        <f t="shared" si="13"/>
        <v>0</v>
      </c>
      <c r="Z19" s="168">
        <f t="shared" si="13"/>
        <v>0</v>
      </c>
      <c r="AA19" s="168">
        <f t="shared" si="13"/>
        <v>0</v>
      </c>
      <c r="AB19" s="168">
        <f t="shared" si="13"/>
        <v>0</v>
      </c>
      <c r="AC19" s="168">
        <f t="shared" si="13"/>
        <v>0</v>
      </c>
      <c r="AD19" s="168">
        <f t="shared" si="13"/>
        <v>0</v>
      </c>
      <c r="AE19" s="168">
        <f t="shared" si="13"/>
        <v>0</v>
      </c>
      <c r="AF19" s="168">
        <f t="shared" si="13"/>
        <v>0</v>
      </c>
      <c r="AG19" s="162"/>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c r="ED19" s="164"/>
      <c r="EE19" s="164"/>
    </row>
    <row r="20" spans="1:135" s="163" customFormat="1" ht="17.399999999999999" thickBot="1" x14ac:dyDescent="0.3">
      <c r="A20" s="616" t="s">
        <v>12</v>
      </c>
      <c r="B20" s="618">
        <f>IF(B14="","",SUM(B17:B19))</f>
        <v>2</v>
      </c>
      <c r="C20" s="618">
        <f>IF(C14="","",SUM(C17:C19))</f>
        <v>2</v>
      </c>
      <c r="D20" s="618">
        <f>IF(D14="","",SUM(D17:D19))</f>
        <v>2</v>
      </c>
      <c r="E20" s="618">
        <f>IF(E14="","",SUM(E17:E19))</f>
        <v>2</v>
      </c>
      <c r="F20" s="618">
        <f t="shared" ref="F20:G20" si="15">IF(F14="","",SUM(F17:F19))</f>
        <v>1</v>
      </c>
      <c r="G20" s="618">
        <f t="shared" si="15"/>
        <v>1</v>
      </c>
      <c r="H20" s="618">
        <f>IF(H14="","",SUM(H17:H19))</f>
        <v>1</v>
      </c>
      <c r="I20" s="622">
        <f t="shared" ref="I20" si="16">I19+I18+I17</f>
        <v>0</v>
      </c>
      <c r="J20" s="622">
        <f t="shared" ref="J20:AF20" si="17">J19+J18+J17</f>
        <v>0</v>
      </c>
      <c r="K20" s="622">
        <f t="shared" si="17"/>
        <v>0</v>
      </c>
      <c r="L20" s="622">
        <f t="shared" si="17"/>
        <v>0</v>
      </c>
      <c r="M20" s="622">
        <f t="shared" si="17"/>
        <v>0</v>
      </c>
      <c r="N20" s="622">
        <f t="shared" si="17"/>
        <v>0</v>
      </c>
      <c r="O20" s="622">
        <f t="shared" si="17"/>
        <v>0</v>
      </c>
      <c r="P20" s="622">
        <f t="shared" si="17"/>
        <v>0</v>
      </c>
      <c r="Q20" s="622">
        <f t="shared" si="17"/>
        <v>0</v>
      </c>
      <c r="R20" s="622">
        <f t="shared" si="17"/>
        <v>0</v>
      </c>
      <c r="S20" s="622">
        <f t="shared" si="17"/>
        <v>0</v>
      </c>
      <c r="T20" s="622">
        <f t="shared" si="17"/>
        <v>0</v>
      </c>
      <c r="U20" s="622">
        <f t="shared" si="17"/>
        <v>0</v>
      </c>
      <c r="V20" s="622">
        <f t="shared" si="17"/>
        <v>0</v>
      </c>
      <c r="W20" s="622">
        <f t="shared" si="17"/>
        <v>0</v>
      </c>
      <c r="X20" s="622">
        <f t="shared" si="17"/>
        <v>0</v>
      </c>
      <c r="Y20" s="622">
        <f t="shared" si="17"/>
        <v>0</v>
      </c>
      <c r="Z20" s="622">
        <f t="shared" si="17"/>
        <v>0</v>
      </c>
      <c r="AA20" s="622">
        <f t="shared" si="17"/>
        <v>0</v>
      </c>
      <c r="AB20" s="622">
        <f>AB19+AB18+AB17</f>
        <v>0</v>
      </c>
      <c r="AC20" s="622">
        <f>AC19+AC18+AC17</f>
        <v>0</v>
      </c>
      <c r="AD20" s="622">
        <f t="shared" si="17"/>
        <v>0</v>
      </c>
      <c r="AE20" s="622">
        <f t="shared" si="17"/>
        <v>0</v>
      </c>
      <c r="AF20" s="622">
        <f t="shared" si="17"/>
        <v>0</v>
      </c>
      <c r="AG20" s="162"/>
      <c r="AH20" s="619">
        <f>SUM(B20:AF20)</f>
        <v>11</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ht="33.9" customHeight="1" x14ac:dyDescent="0.25">
      <c r="A22" s="588" t="s">
        <v>21</v>
      </c>
      <c r="B22" s="601">
        <v>2100</v>
      </c>
      <c r="C22" s="601">
        <v>1900</v>
      </c>
      <c r="D22" s="601">
        <v>1600</v>
      </c>
      <c r="E22" s="601">
        <v>1600</v>
      </c>
      <c r="F22" s="601">
        <v>1200</v>
      </c>
      <c r="G22" s="601">
        <v>1300</v>
      </c>
      <c r="H22" s="601">
        <v>700</v>
      </c>
      <c r="I22" s="601"/>
      <c r="J22" s="601"/>
      <c r="K22" s="601"/>
      <c r="L22" s="601"/>
      <c r="M22" s="601"/>
      <c r="N22" s="601"/>
      <c r="O22" s="601"/>
      <c r="P22" s="601"/>
      <c r="Q22" s="601"/>
      <c r="R22" s="601"/>
      <c r="S22" s="601"/>
      <c r="T22" s="601"/>
      <c r="U22" s="601"/>
      <c r="V22" s="601"/>
      <c r="W22" s="601"/>
      <c r="X22" s="601"/>
      <c r="Y22" s="601"/>
      <c r="Z22" s="601"/>
      <c r="AA22" s="601"/>
      <c r="AB22" s="601"/>
      <c r="AC22" s="601"/>
      <c r="AD22" s="601"/>
      <c r="AE22" s="601"/>
      <c r="AF22" s="601"/>
      <c r="AG22" s="522"/>
      <c r="AH22" s="594">
        <f>SUM(B22:AG22)</f>
        <v>10400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90" t="s">
        <v>22</v>
      </c>
      <c r="B23" s="602">
        <v>6800</v>
      </c>
      <c r="C23" s="602">
        <v>5500</v>
      </c>
      <c r="D23" s="602">
        <v>7600</v>
      </c>
      <c r="E23" s="602">
        <v>7200</v>
      </c>
      <c r="F23" s="602">
        <v>4600</v>
      </c>
      <c r="G23" s="602">
        <v>4600</v>
      </c>
      <c r="H23" s="602">
        <v>1900</v>
      </c>
      <c r="I23" s="602"/>
      <c r="J23" s="602"/>
      <c r="K23" s="602"/>
      <c r="L23" s="602"/>
      <c r="M23" s="602"/>
      <c r="N23" s="602"/>
      <c r="O23" s="602"/>
      <c r="P23" s="602"/>
      <c r="Q23" s="602"/>
      <c r="R23" s="602"/>
      <c r="S23" s="602"/>
      <c r="T23" s="602"/>
      <c r="U23" s="602"/>
      <c r="V23" s="602"/>
      <c r="W23" s="602"/>
      <c r="X23" s="602"/>
      <c r="Y23" s="602"/>
      <c r="Z23" s="602"/>
      <c r="AA23" s="602"/>
      <c r="AB23" s="602"/>
      <c r="AC23" s="602"/>
      <c r="AD23" s="602"/>
      <c r="AE23" s="602"/>
      <c r="AF23" s="602"/>
      <c r="AG23" s="522"/>
      <c r="AH23" s="595">
        <f t="shared" ref="AH23:AH32" si="18">SUM(B23:AG23)</f>
        <v>38200</v>
      </c>
    </row>
    <row r="24" spans="1:135" s="514" customFormat="1" ht="33.9" customHeight="1" x14ac:dyDescent="0.25">
      <c r="A24" s="592" t="s">
        <v>29</v>
      </c>
      <c r="B24" s="603">
        <v>8900</v>
      </c>
      <c r="C24" s="603">
        <v>7400</v>
      </c>
      <c r="D24" s="603">
        <v>9200</v>
      </c>
      <c r="E24" s="603">
        <v>8800</v>
      </c>
      <c r="F24" s="603">
        <v>5800</v>
      </c>
      <c r="G24" s="603">
        <v>5900</v>
      </c>
      <c r="H24" s="603">
        <v>2600</v>
      </c>
      <c r="I24" s="603">
        <v>0</v>
      </c>
      <c r="J24" s="603">
        <v>0</v>
      </c>
      <c r="K24" s="603">
        <v>0</v>
      </c>
      <c r="L24" s="603">
        <v>0</v>
      </c>
      <c r="M24" s="603">
        <v>0</v>
      </c>
      <c r="N24" s="603">
        <v>0</v>
      </c>
      <c r="O24" s="603">
        <v>0</v>
      </c>
      <c r="P24" s="603">
        <v>0</v>
      </c>
      <c r="Q24" s="603">
        <v>0</v>
      </c>
      <c r="R24" s="603">
        <v>0</v>
      </c>
      <c r="S24" s="603">
        <v>0</v>
      </c>
      <c r="T24" s="603">
        <v>0</v>
      </c>
      <c r="U24" s="603">
        <v>0</v>
      </c>
      <c r="V24" s="603">
        <v>0</v>
      </c>
      <c r="W24" s="603">
        <v>0</v>
      </c>
      <c r="X24" s="603">
        <v>0</v>
      </c>
      <c r="Y24" s="603">
        <v>0</v>
      </c>
      <c r="Z24" s="603">
        <v>0</v>
      </c>
      <c r="AA24" s="603">
        <v>0</v>
      </c>
      <c r="AB24" s="603">
        <v>0</v>
      </c>
      <c r="AC24" s="603">
        <v>0</v>
      </c>
      <c r="AD24" s="603">
        <v>0</v>
      </c>
      <c r="AE24" s="603">
        <v>0</v>
      </c>
      <c r="AF24" s="603">
        <v>0</v>
      </c>
      <c r="AG24" s="513"/>
      <c r="AH24" s="596">
        <f t="shared" si="18"/>
        <v>48600</v>
      </c>
    </row>
    <row r="25" spans="1:135" ht="33.9" customHeight="1" x14ac:dyDescent="0.25">
      <c r="A25" s="588" t="s">
        <v>43</v>
      </c>
      <c r="B25" s="601">
        <v>0</v>
      </c>
      <c r="C25" s="601">
        <v>20</v>
      </c>
      <c r="D25" s="601">
        <v>0</v>
      </c>
      <c r="E25" s="601">
        <v>30</v>
      </c>
      <c r="F25" s="601">
        <v>0</v>
      </c>
      <c r="G25" s="601">
        <v>20</v>
      </c>
      <c r="H25" s="601">
        <v>20</v>
      </c>
      <c r="I25" s="601"/>
      <c r="J25" s="601"/>
      <c r="K25" s="601"/>
      <c r="L25" s="601"/>
      <c r="M25" s="601"/>
      <c r="N25" s="601"/>
      <c r="O25" s="601"/>
      <c r="P25" s="601"/>
      <c r="Q25" s="601"/>
      <c r="R25" s="601"/>
      <c r="S25" s="601"/>
      <c r="T25" s="601"/>
      <c r="U25" s="601"/>
      <c r="V25" s="601"/>
      <c r="W25" s="601"/>
      <c r="X25" s="601"/>
      <c r="Y25" s="601"/>
      <c r="Z25" s="601"/>
      <c r="AA25" s="601"/>
      <c r="AB25" s="601"/>
      <c r="AC25" s="601"/>
      <c r="AD25" s="601"/>
      <c r="AE25" s="601"/>
      <c r="AF25" s="601"/>
      <c r="AG25" s="522"/>
      <c r="AH25" s="594">
        <f t="shared" si="18"/>
        <v>90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90" t="s">
        <v>44</v>
      </c>
      <c r="B26" s="602">
        <v>0</v>
      </c>
      <c r="C26" s="602">
        <v>60</v>
      </c>
      <c r="D26" s="602">
        <v>140</v>
      </c>
      <c r="E26" s="602">
        <v>40</v>
      </c>
      <c r="F26" s="602">
        <v>160</v>
      </c>
      <c r="G26" s="602">
        <v>20</v>
      </c>
      <c r="H26" s="602">
        <v>0</v>
      </c>
      <c r="I26" s="602"/>
      <c r="J26" s="602"/>
      <c r="K26" s="602"/>
      <c r="L26" s="602"/>
      <c r="M26" s="602"/>
      <c r="N26" s="602"/>
      <c r="O26" s="602"/>
      <c r="P26" s="602"/>
      <c r="Q26" s="602"/>
      <c r="R26" s="602"/>
      <c r="S26" s="602"/>
      <c r="T26" s="602"/>
      <c r="U26" s="602"/>
      <c r="V26" s="602"/>
      <c r="W26" s="602"/>
      <c r="X26" s="602"/>
      <c r="Y26" s="602"/>
      <c r="Z26" s="602"/>
      <c r="AA26" s="602"/>
      <c r="AB26" s="602"/>
      <c r="AC26" s="602"/>
      <c r="AD26" s="602"/>
      <c r="AE26" s="602"/>
      <c r="AF26" s="602"/>
      <c r="AG26" s="522"/>
      <c r="AH26" s="595">
        <f t="shared" si="18"/>
        <v>420</v>
      </c>
    </row>
    <row r="27" spans="1:135" s="514" customFormat="1" ht="33.9" customHeight="1" x14ac:dyDescent="0.25">
      <c r="A27" s="592" t="s">
        <v>14</v>
      </c>
      <c r="B27" s="603">
        <v>0</v>
      </c>
      <c r="C27" s="603">
        <v>80</v>
      </c>
      <c r="D27" s="603">
        <v>140</v>
      </c>
      <c r="E27" s="603">
        <v>70</v>
      </c>
      <c r="F27" s="603">
        <v>160</v>
      </c>
      <c r="G27" s="603">
        <v>40</v>
      </c>
      <c r="H27" s="603">
        <v>20</v>
      </c>
      <c r="I27" s="603">
        <v>0</v>
      </c>
      <c r="J27" s="603">
        <v>0</v>
      </c>
      <c r="K27" s="603">
        <v>0</v>
      </c>
      <c r="L27" s="603">
        <v>0</v>
      </c>
      <c r="M27" s="603">
        <v>0</v>
      </c>
      <c r="N27" s="603">
        <v>0</v>
      </c>
      <c r="O27" s="603">
        <v>0</v>
      </c>
      <c r="P27" s="603">
        <v>0</v>
      </c>
      <c r="Q27" s="603">
        <v>0</v>
      </c>
      <c r="R27" s="603">
        <v>0</v>
      </c>
      <c r="S27" s="603">
        <v>0</v>
      </c>
      <c r="T27" s="603">
        <v>0</v>
      </c>
      <c r="U27" s="603">
        <v>0</v>
      </c>
      <c r="V27" s="603">
        <v>0</v>
      </c>
      <c r="W27" s="603">
        <v>0</v>
      </c>
      <c r="X27" s="603">
        <v>0</v>
      </c>
      <c r="Y27" s="603">
        <v>0</v>
      </c>
      <c r="Z27" s="603">
        <v>0</v>
      </c>
      <c r="AA27" s="603">
        <v>0</v>
      </c>
      <c r="AB27" s="603">
        <v>0</v>
      </c>
      <c r="AC27" s="603">
        <v>0</v>
      </c>
      <c r="AD27" s="603">
        <v>0</v>
      </c>
      <c r="AE27" s="603">
        <v>0</v>
      </c>
      <c r="AF27" s="603">
        <v>0</v>
      </c>
      <c r="AG27" s="513"/>
      <c r="AH27" s="596">
        <f t="shared" si="18"/>
        <v>510</v>
      </c>
    </row>
    <row r="28" spans="1:135" ht="33.9" customHeight="1" x14ac:dyDescent="0.25">
      <c r="A28" s="588" t="s">
        <v>23</v>
      </c>
      <c r="B28" s="601">
        <v>90</v>
      </c>
      <c r="C28" s="601">
        <v>70</v>
      </c>
      <c r="D28" s="601">
        <v>70</v>
      </c>
      <c r="E28" s="601">
        <v>70</v>
      </c>
      <c r="F28" s="601">
        <v>50</v>
      </c>
      <c r="G28" s="601">
        <v>40</v>
      </c>
      <c r="H28" s="601">
        <v>40</v>
      </c>
      <c r="I28" s="601"/>
      <c r="J28" s="601"/>
      <c r="K28" s="601"/>
      <c r="L28" s="601"/>
      <c r="M28" s="601"/>
      <c r="N28" s="601"/>
      <c r="O28" s="601"/>
      <c r="P28" s="601"/>
      <c r="Q28" s="601"/>
      <c r="R28" s="601"/>
      <c r="S28" s="601"/>
      <c r="T28" s="601"/>
      <c r="U28" s="601"/>
      <c r="V28" s="601"/>
      <c r="W28" s="601"/>
      <c r="X28" s="601"/>
      <c r="Y28" s="601"/>
      <c r="Z28" s="601"/>
      <c r="AA28" s="601"/>
      <c r="AB28" s="601"/>
      <c r="AC28" s="601"/>
      <c r="AD28" s="601"/>
      <c r="AE28" s="601"/>
      <c r="AF28" s="601"/>
      <c r="AG28" s="522"/>
      <c r="AH28" s="594">
        <f t="shared" si="18"/>
        <v>430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90" t="s">
        <v>26</v>
      </c>
      <c r="B29" s="602">
        <v>160</v>
      </c>
      <c r="C29" s="602">
        <v>130</v>
      </c>
      <c r="D29" s="602">
        <v>150</v>
      </c>
      <c r="E29" s="602">
        <v>130</v>
      </c>
      <c r="F29" s="602">
        <v>90</v>
      </c>
      <c r="G29" s="602">
        <v>70</v>
      </c>
      <c r="H29" s="602">
        <v>70</v>
      </c>
      <c r="I29" s="602"/>
      <c r="J29" s="602"/>
      <c r="K29" s="602"/>
      <c r="L29" s="602"/>
      <c r="M29" s="602"/>
      <c r="N29" s="602"/>
      <c r="O29" s="602"/>
      <c r="P29" s="602"/>
      <c r="Q29" s="602"/>
      <c r="R29" s="602"/>
      <c r="S29" s="602"/>
      <c r="T29" s="602"/>
      <c r="U29" s="602"/>
      <c r="V29" s="602"/>
      <c r="W29" s="602"/>
      <c r="X29" s="602"/>
      <c r="Y29" s="602"/>
      <c r="Z29" s="602"/>
      <c r="AA29" s="602"/>
      <c r="AB29" s="602"/>
      <c r="AC29" s="602"/>
      <c r="AD29" s="602"/>
      <c r="AE29" s="602"/>
      <c r="AF29" s="602"/>
      <c r="AG29" s="522"/>
      <c r="AH29" s="595">
        <f t="shared" si="18"/>
        <v>800</v>
      </c>
    </row>
    <row r="30" spans="1:135" ht="33.9" customHeight="1" x14ac:dyDescent="0.25">
      <c r="A30" s="588" t="s">
        <v>24</v>
      </c>
      <c r="B30" s="601">
        <v>0</v>
      </c>
      <c r="C30" s="601">
        <v>0</v>
      </c>
      <c r="D30" s="601">
        <v>0</v>
      </c>
      <c r="E30" s="601">
        <v>0</v>
      </c>
      <c r="F30" s="601">
        <v>0</v>
      </c>
      <c r="G30" s="601">
        <v>0</v>
      </c>
      <c r="H30" s="601">
        <v>120</v>
      </c>
      <c r="I30" s="601">
        <v>600</v>
      </c>
      <c r="J30" s="601">
        <v>200</v>
      </c>
      <c r="K30" s="601">
        <v>0</v>
      </c>
      <c r="L30" s="601">
        <v>0</v>
      </c>
      <c r="M30" s="601">
        <v>0</v>
      </c>
      <c r="N30" s="601">
        <v>0</v>
      </c>
      <c r="O30" s="601">
        <v>0</v>
      </c>
      <c r="P30" s="601">
        <v>0</v>
      </c>
      <c r="Q30" s="601">
        <v>0</v>
      </c>
      <c r="R30" s="601">
        <v>0</v>
      </c>
      <c r="S30" s="601">
        <v>0</v>
      </c>
      <c r="T30" s="601">
        <v>0</v>
      </c>
      <c r="U30" s="601">
        <v>0</v>
      </c>
      <c r="V30" s="601">
        <v>0</v>
      </c>
      <c r="W30" s="601">
        <v>300</v>
      </c>
      <c r="X30" s="601">
        <v>400</v>
      </c>
      <c r="Y30" s="601">
        <v>0</v>
      </c>
      <c r="Z30" s="601">
        <v>0</v>
      </c>
      <c r="AA30" s="601">
        <v>0</v>
      </c>
      <c r="AB30" s="601">
        <v>0</v>
      </c>
      <c r="AC30" s="601">
        <v>0</v>
      </c>
      <c r="AD30" s="601">
        <v>0</v>
      </c>
      <c r="AE30" s="601">
        <v>0</v>
      </c>
      <c r="AF30" s="601">
        <v>0</v>
      </c>
      <c r="AG30" s="522"/>
      <c r="AH30" s="594">
        <f t="shared" si="18"/>
        <v>1620</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90" t="s">
        <v>25</v>
      </c>
      <c r="B31" s="602">
        <v>300</v>
      </c>
      <c r="C31" s="602">
        <v>500</v>
      </c>
      <c r="D31" s="602">
        <v>500</v>
      </c>
      <c r="E31" s="602">
        <v>600</v>
      </c>
      <c r="F31" s="602">
        <v>400</v>
      </c>
      <c r="G31" s="602">
        <v>400</v>
      </c>
      <c r="H31" s="602">
        <v>400</v>
      </c>
      <c r="I31" s="602"/>
      <c r="J31" s="602"/>
      <c r="K31" s="602"/>
      <c r="L31" s="602"/>
      <c r="M31" s="602"/>
      <c r="N31" s="602"/>
      <c r="O31" s="602"/>
      <c r="P31" s="602"/>
      <c r="Q31" s="602"/>
      <c r="R31" s="602"/>
      <c r="S31" s="602"/>
      <c r="T31" s="602"/>
      <c r="U31" s="602"/>
      <c r="V31" s="602"/>
      <c r="W31" s="602"/>
      <c r="X31" s="602"/>
      <c r="Y31" s="602"/>
      <c r="Z31" s="602"/>
      <c r="AA31" s="602"/>
      <c r="AB31" s="602"/>
      <c r="AC31" s="602"/>
      <c r="AD31" s="602"/>
      <c r="AE31" s="602"/>
      <c r="AF31" s="602"/>
      <c r="AG31" s="522"/>
      <c r="AH31" s="595">
        <f t="shared" si="18"/>
        <v>3100</v>
      </c>
    </row>
    <row r="32" spans="1:135" s="514" customFormat="1" ht="33.9" customHeight="1" x14ac:dyDescent="0.25">
      <c r="A32" s="592" t="s">
        <v>30</v>
      </c>
      <c r="B32" s="603">
        <v>550</v>
      </c>
      <c r="C32" s="603">
        <v>700</v>
      </c>
      <c r="D32" s="603">
        <v>720</v>
      </c>
      <c r="E32" s="603">
        <v>800</v>
      </c>
      <c r="F32" s="603">
        <v>540</v>
      </c>
      <c r="G32" s="603">
        <v>510</v>
      </c>
      <c r="H32" s="603">
        <v>630</v>
      </c>
      <c r="I32" s="603">
        <v>600</v>
      </c>
      <c r="J32" s="603">
        <v>200</v>
      </c>
      <c r="K32" s="603">
        <v>0</v>
      </c>
      <c r="L32" s="603">
        <v>0</v>
      </c>
      <c r="M32" s="603">
        <v>0</v>
      </c>
      <c r="N32" s="603">
        <v>0</v>
      </c>
      <c r="O32" s="603">
        <v>0</v>
      </c>
      <c r="P32" s="603">
        <v>0</v>
      </c>
      <c r="Q32" s="603">
        <v>0</v>
      </c>
      <c r="R32" s="603">
        <v>0</v>
      </c>
      <c r="S32" s="603">
        <v>0</v>
      </c>
      <c r="T32" s="603">
        <v>0</v>
      </c>
      <c r="U32" s="603">
        <v>0</v>
      </c>
      <c r="V32" s="603">
        <v>0</v>
      </c>
      <c r="W32" s="603">
        <v>300</v>
      </c>
      <c r="X32" s="603">
        <v>400</v>
      </c>
      <c r="Y32" s="603">
        <v>0</v>
      </c>
      <c r="Z32" s="603">
        <v>0</v>
      </c>
      <c r="AA32" s="603">
        <v>0</v>
      </c>
      <c r="AB32" s="603">
        <v>0</v>
      </c>
      <c r="AC32" s="603">
        <v>0</v>
      </c>
      <c r="AD32" s="603">
        <v>0</v>
      </c>
      <c r="AE32" s="603">
        <v>0</v>
      </c>
      <c r="AF32" s="603">
        <v>0</v>
      </c>
      <c r="AG32" s="513"/>
      <c r="AH32" s="596">
        <f t="shared" si="18"/>
        <v>5950</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7" customFormat="1" ht="66.75" customHeight="1" x14ac:dyDescent="0.4">
      <c r="A34" s="598" t="s">
        <v>16</v>
      </c>
      <c r="B34" s="599">
        <f>+B32+B27+B24</f>
        <v>9450</v>
      </c>
      <c r="C34" s="599">
        <f t="shared" ref="C34:AF34" si="19">+C32+C27+C24</f>
        <v>8180</v>
      </c>
      <c r="D34" s="599">
        <f t="shared" si="19"/>
        <v>10060</v>
      </c>
      <c r="E34" s="599">
        <f t="shared" si="19"/>
        <v>9670</v>
      </c>
      <c r="F34" s="599">
        <f t="shared" si="19"/>
        <v>6500</v>
      </c>
      <c r="G34" s="599">
        <f t="shared" si="19"/>
        <v>6450</v>
      </c>
      <c r="H34" s="599">
        <f t="shared" si="19"/>
        <v>3250</v>
      </c>
      <c r="I34" s="599">
        <f t="shared" si="19"/>
        <v>600</v>
      </c>
      <c r="J34" s="599">
        <f t="shared" si="19"/>
        <v>200</v>
      </c>
      <c r="K34" s="599">
        <f t="shared" si="19"/>
        <v>0</v>
      </c>
      <c r="L34" s="599">
        <f t="shared" si="19"/>
        <v>0</v>
      </c>
      <c r="M34" s="599">
        <f t="shared" si="19"/>
        <v>0</v>
      </c>
      <c r="N34" s="599">
        <f t="shared" si="19"/>
        <v>0</v>
      </c>
      <c r="O34" s="599">
        <f t="shared" si="19"/>
        <v>0</v>
      </c>
      <c r="P34" s="599">
        <f t="shared" si="19"/>
        <v>0</v>
      </c>
      <c r="Q34" s="599">
        <f t="shared" si="19"/>
        <v>0</v>
      </c>
      <c r="R34" s="599">
        <f t="shared" si="19"/>
        <v>0</v>
      </c>
      <c r="S34" s="599">
        <f t="shared" si="19"/>
        <v>0</v>
      </c>
      <c r="T34" s="599">
        <f t="shared" si="19"/>
        <v>0</v>
      </c>
      <c r="U34" s="599">
        <f t="shared" si="19"/>
        <v>0</v>
      </c>
      <c r="V34" s="599">
        <f t="shared" si="19"/>
        <v>0</v>
      </c>
      <c r="W34" s="599">
        <f t="shared" si="19"/>
        <v>300</v>
      </c>
      <c r="X34" s="599">
        <f t="shared" si="19"/>
        <v>400</v>
      </c>
      <c r="Y34" s="599">
        <f t="shared" si="19"/>
        <v>0</v>
      </c>
      <c r="Z34" s="599">
        <f t="shared" si="19"/>
        <v>0</v>
      </c>
      <c r="AA34" s="599">
        <f t="shared" si="19"/>
        <v>0</v>
      </c>
      <c r="AB34" s="599">
        <f t="shared" si="19"/>
        <v>0</v>
      </c>
      <c r="AC34" s="599">
        <f t="shared" si="19"/>
        <v>0</v>
      </c>
      <c r="AD34" s="599">
        <f t="shared" si="19"/>
        <v>0</v>
      </c>
      <c r="AE34" s="599">
        <f t="shared" si="19"/>
        <v>0</v>
      </c>
      <c r="AF34" s="599">
        <f t="shared" si="19"/>
        <v>0</v>
      </c>
      <c r="AG34" s="586"/>
      <c r="AH34" s="597">
        <f>SUM(B34:AF34)</f>
        <v>55060</v>
      </c>
    </row>
    <row r="35" spans="1:135"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135" s="42" customFormat="1" ht="3" customHeight="1" x14ac:dyDescent="0.4">
      <c r="A36" s="537"/>
      <c r="B36" s="538"/>
      <c r="C36" s="539"/>
      <c r="D36" s="539"/>
      <c r="E36" s="539"/>
      <c r="F36" s="539"/>
      <c r="G36" s="539"/>
      <c r="H36" s="539"/>
      <c r="I36" s="539"/>
      <c r="J36" s="539"/>
      <c r="K36" s="539"/>
      <c r="L36" s="539"/>
      <c r="M36" s="539"/>
      <c r="N36" s="539"/>
      <c r="O36" s="539"/>
      <c r="P36" s="539"/>
      <c r="Q36" s="539"/>
      <c r="R36" s="539"/>
      <c r="S36" s="539"/>
      <c r="T36" s="539"/>
      <c r="U36" s="539"/>
      <c r="V36" s="539"/>
      <c r="W36" s="539"/>
      <c r="X36" s="539"/>
      <c r="Y36" s="539"/>
      <c r="Z36" s="539"/>
      <c r="AA36" s="539"/>
      <c r="AB36" s="539"/>
      <c r="AC36" s="539"/>
      <c r="AD36" s="539"/>
      <c r="AE36" s="539"/>
      <c r="AF36" s="539"/>
      <c r="AG36" s="30"/>
      <c r="AH36" s="2"/>
    </row>
    <row r="37" spans="1:135" s="552" customFormat="1" ht="16.2" x14ac:dyDescent="0.25">
      <c r="A37" s="540" t="s">
        <v>17</v>
      </c>
      <c r="B37" s="550">
        <v>0.74722222222222223</v>
      </c>
      <c r="C37" s="550">
        <v>0.74791666666666667</v>
      </c>
      <c r="D37" s="550">
        <v>0.74861111111111101</v>
      </c>
      <c r="E37" s="550">
        <v>0.74861111111111101</v>
      </c>
      <c r="F37" s="550">
        <v>0.74930555555555556</v>
      </c>
      <c r="G37" s="550">
        <v>0.75</v>
      </c>
      <c r="H37" s="550">
        <v>0.75069444444444444</v>
      </c>
      <c r="I37" s="550">
        <v>0.75208333333333333</v>
      </c>
      <c r="J37" s="550">
        <v>0.75277777777777777</v>
      </c>
      <c r="K37" s="550">
        <v>0.75347222222222221</v>
      </c>
      <c r="L37" s="550">
        <v>0.75416666666666676</v>
      </c>
      <c r="M37" s="550">
        <v>0.75486111111111109</v>
      </c>
      <c r="N37" s="550">
        <v>0.75555555555555554</v>
      </c>
      <c r="O37" s="550">
        <v>0.75624999999999998</v>
      </c>
      <c r="P37" s="550">
        <v>0.75763888888888886</v>
      </c>
      <c r="Q37" s="550">
        <v>0.7583333333333333</v>
      </c>
      <c r="R37" s="550">
        <v>0.75902777777777775</v>
      </c>
      <c r="S37" s="550">
        <v>0.7597222222222223</v>
      </c>
      <c r="T37" s="550">
        <v>0.76111111111111107</v>
      </c>
      <c r="U37" s="550">
        <v>0.76180555555555562</v>
      </c>
      <c r="V37" s="550">
        <v>0.7631944444444444</v>
      </c>
      <c r="W37" s="550">
        <v>0.76388888888888884</v>
      </c>
      <c r="X37" s="550">
        <v>0.76458333333333339</v>
      </c>
      <c r="Y37" s="550">
        <v>0.76527777777777783</v>
      </c>
      <c r="Z37" s="550">
        <v>0.76666666666666661</v>
      </c>
      <c r="AA37" s="550">
        <v>0.76736111111111116</v>
      </c>
      <c r="AB37" s="550">
        <v>0.7680555555555556</v>
      </c>
      <c r="AC37" s="550">
        <v>0.76944444444444438</v>
      </c>
      <c r="AD37" s="550">
        <v>0.77013888888888893</v>
      </c>
      <c r="AE37" s="550">
        <v>0.7715277777777777</v>
      </c>
      <c r="AF37" s="550">
        <v>0.77222222222222225</v>
      </c>
      <c r="AG37" s="551"/>
      <c r="AH37" s="543"/>
      <c r="BK37" s="55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c r="EC37" s="553"/>
      <c r="ED37" s="553"/>
    </row>
    <row r="38" spans="1:135" s="552" customFormat="1" ht="19.5" customHeight="1" x14ac:dyDescent="0.25">
      <c r="A38" s="545" t="s">
        <v>18</v>
      </c>
      <c r="B38" s="546" t="str">
        <f>+IF(B34&lt;=2500,"BF",IF(AND(B34&gt;2500,B34&lt;=6000),"MF",IF(AND(B34&gt;6000,B34&lt;12000),"HF","THF")))</f>
        <v>HF</v>
      </c>
      <c r="C38" s="546" t="str">
        <f t="shared" ref="C38:AF38" si="20">+IF(C34&lt;=2500,"BF",IF(AND(C34&gt;2500,C34&lt;=6000),"MF",IF(AND(C34&gt;6000,C34&lt;12000),"HF","THF")))</f>
        <v>HF</v>
      </c>
      <c r="D38" s="546" t="str">
        <f t="shared" si="20"/>
        <v>HF</v>
      </c>
      <c r="E38" s="546" t="str">
        <f t="shared" si="20"/>
        <v>HF</v>
      </c>
      <c r="F38" s="546" t="str">
        <f t="shared" si="20"/>
        <v>HF</v>
      </c>
      <c r="G38" s="546" t="str">
        <f t="shared" si="20"/>
        <v>HF</v>
      </c>
      <c r="H38" s="546" t="str">
        <f t="shared" si="20"/>
        <v>MF</v>
      </c>
      <c r="I38" s="546" t="str">
        <f t="shared" si="20"/>
        <v>BF</v>
      </c>
      <c r="J38" s="546" t="str">
        <f t="shared" si="20"/>
        <v>BF</v>
      </c>
      <c r="K38" s="546" t="str">
        <f t="shared" si="20"/>
        <v>BF</v>
      </c>
      <c r="L38" s="546" t="str">
        <f t="shared" si="20"/>
        <v>BF</v>
      </c>
      <c r="M38" s="546" t="str">
        <f t="shared" si="20"/>
        <v>BF</v>
      </c>
      <c r="N38" s="546" t="str">
        <f t="shared" si="20"/>
        <v>BF</v>
      </c>
      <c r="O38" s="546" t="str">
        <f t="shared" si="20"/>
        <v>BF</v>
      </c>
      <c r="P38" s="546" t="str">
        <f t="shared" si="20"/>
        <v>BF</v>
      </c>
      <c r="Q38" s="546" t="str">
        <f t="shared" si="20"/>
        <v>BF</v>
      </c>
      <c r="R38" s="546" t="str">
        <f t="shared" si="20"/>
        <v>BF</v>
      </c>
      <c r="S38" s="546" t="str">
        <f t="shared" si="20"/>
        <v>BF</v>
      </c>
      <c r="T38" s="546" t="str">
        <f t="shared" si="20"/>
        <v>BF</v>
      </c>
      <c r="U38" s="546" t="str">
        <f t="shared" si="20"/>
        <v>BF</v>
      </c>
      <c r="V38" s="546" t="str">
        <f t="shared" si="20"/>
        <v>BF</v>
      </c>
      <c r="W38" s="546" t="str">
        <f t="shared" si="20"/>
        <v>BF</v>
      </c>
      <c r="X38" s="546" t="str">
        <f t="shared" si="20"/>
        <v>BF</v>
      </c>
      <c r="Y38" s="546" t="str">
        <f t="shared" si="20"/>
        <v>BF</v>
      </c>
      <c r="Z38" s="546" t="str">
        <f t="shared" si="20"/>
        <v>BF</v>
      </c>
      <c r="AA38" s="546" t="str">
        <f t="shared" si="20"/>
        <v>BF</v>
      </c>
      <c r="AB38" s="546" t="str">
        <f t="shared" si="20"/>
        <v>BF</v>
      </c>
      <c r="AC38" s="546" t="str">
        <f t="shared" si="20"/>
        <v>BF</v>
      </c>
      <c r="AD38" s="546" t="str">
        <f t="shared" si="20"/>
        <v>BF</v>
      </c>
      <c r="AE38" s="546" t="str">
        <f t="shared" si="20"/>
        <v>BF</v>
      </c>
      <c r="AF38" s="546" t="str">
        <f t="shared" si="20"/>
        <v>BF</v>
      </c>
      <c r="AG38" s="551"/>
      <c r="AH38" s="543"/>
      <c r="BL38" s="553"/>
      <c r="BM38" s="553"/>
      <c r="BN38" s="553"/>
      <c r="BO38" s="553"/>
      <c r="BP38" s="553"/>
      <c r="BQ38" s="553"/>
      <c r="BR38" s="553"/>
      <c r="BS38" s="553"/>
      <c r="BT38" s="553"/>
      <c r="BU38" s="553"/>
      <c r="BV38" s="553"/>
      <c r="BW38" s="553"/>
      <c r="BX38" s="553"/>
      <c r="BY38" s="553"/>
      <c r="BZ38" s="553"/>
      <c r="CA38" s="553"/>
      <c r="CB38" s="553"/>
      <c r="CC38" s="553"/>
      <c r="CD38" s="553"/>
      <c r="CE38" s="553"/>
      <c r="CF38" s="553"/>
      <c r="CG38" s="553"/>
      <c r="CH38" s="553"/>
      <c r="CI38" s="553"/>
      <c r="CJ38" s="553"/>
      <c r="CK38" s="553"/>
      <c r="CL38" s="553"/>
      <c r="CM38" s="553"/>
      <c r="CN38" s="553"/>
      <c r="CO38" s="553"/>
      <c r="CP38" s="553"/>
      <c r="CQ38" s="553"/>
      <c r="CR38" s="553"/>
      <c r="CS38" s="553"/>
      <c r="CT38" s="553"/>
      <c r="CU38" s="553"/>
      <c r="CV38" s="553"/>
      <c r="CW38" s="553"/>
      <c r="CX38" s="553"/>
      <c r="CY38" s="553"/>
      <c r="CZ38" s="553"/>
      <c r="DA38" s="553"/>
      <c r="DB38" s="553"/>
      <c r="DC38" s="553"/>
      <c r="DD38" s="553"/>
      <c r="DE38" s="553"/>
      <c r="DF38" s="553"/>
      <c r="DG38" s="553"/>
      <c r="DH38" s="553"/>
      <c r="DI38" s="553"/>
      <c r="DJ38" s="553"/>
      <c r="DK38" s="553"/>
      <c r="DL38" s="553"/>
      <c r="DM38" s="553"/>
      <c r="DN38" s="553"/>
      <c r="DO38" s="553"/>
      <c r="DP38" s="553"/>
      <c r="DQ38" s="553"/>
      <c r="DR38" s="553"/>
      <c r="DS38" s="553"/>
      <c r="DT38" s="553"/>
      <c r="DU38" s="553"/>
      <c r="DV38" s="553"/>
      <c r="DW38" s="553"/>
      <c r="DX38" s="553"/>
      <c r="DY38" s="553"/>
      <c r="DZ38" s="553"/>
      <c r="EA38" s="553"/>
      <c r="EB38" s="553"/>
      <c r="EC38" s="553"/>
      <c r="ED38" s="553"/>
      <c r="EE38" s="553"/>
    </row>
    <row r="39" spans="1:135" s="42" customFormat="1" ht="3" customHeight="1" x14ac:dyDescent="0.4">
      <c r="A39" s="537"/>
      <c r="B39" s="538"/>
      <c r="C39" s="539"/>
      <c r="D39" s="539"/>
      <c r="E39" s="539"/>
      <c r="F39" s="539"/>
      <c r="G39" s="539"/>
      <c r="H39" s="539"/>
      <c r="I39" s="539"/>
      <c r="J39" s="539"/>
      <c r="K39" s="539"/>
      <c r="L39" s="539"/>
      <c r="M39" s="539"/>
      <c r="N39" s="539"/>
      <c r="O39" s="539"/>
      <c r="P39" s="539"/>
      <c r="Q39" s="539"/>
      <c r="R39" s="539"/>
      <c r="S39" s="539"/>
      <c r="T39" s="539"/>
      <c r="U39" s="539"/>
      <c r="V39" s="539"/>
      <c r="W39" s="539"/>
      <c r="X39" s="539"/>
      <c r="Y39" s="539"/>
      <c r="Z39" s="539"/>
      <c r="AA39" s="539"/>
      <c r="AB39" s="539"/>
      <c r="AC39" s="539"/>
      <c r="AD39" s="539"/>
      <c r="AE39" s="539"/>
      <c r="AF39" s="539"/>
      <c r="AG39" s="30"/>
      <c r="AH39" s="2"/>
    </row>
    <row r="40" spans="1:135" s="3" customFormat="1" x14ac:dyDescent="0.25">
      <c r="A40" s="9"/>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30"/>
      <c r="AH40" s="2"/>
    </row>
    <row r="41" spans="1:135" ht="19.8" hidden="1" x14ac:dyDescent="0.25">
      <c r="A41" s="13"/>
      <c r="B41" s="482">
        <f>+B34-B30</f>
        <v>9450</v>
      </c>
      <c r="C41" s="482">
        <f t="shared" ref="C41:AE41" si="21">+C34-C30</f>
        <v>8180</v>
      </c>
      <c r="D41" s="482">
        <f t="shared" si="21"/>
        <v>10060</v>
      </c>
      <c r="E41" s="482">
        <f t="shared" si="21"/>
        <v>9670</v>
      </c>
      <c r="F41" s="482">
        <f t="shared" si="21"/>
        <v>6500</v>
      </c>
      <c r="G41" s="482">
        <f t="shared" si="21"/>
        <v>6450</v>
      </c>
      <c r="H41" s="482">
        <f t="shared" si="21"/>
        <v>3130</v>
      </c>
      <c r="I41" s="482">
        <f t="shared" si="21"/>
        <v>0</v>
      </c>
      <c r="J41" s="482">
        <f t="shared" si="21"/>
        <v>0</v>
      </c>
      <c r="K41" s="482">
        <f t="shared" si="21"/>
        <v>0</v>
      </c>
      <c r="L41" s="482">
        <f t="shared" si="21"/>
        <v>0</v>
      </c>
      <c r="M41" s="482">
        <f t="shared" si="21"/>
        <v>0</v>
      </c>
      <c r="N41" s="482">
        <f t="shared" si="21"/>
        <v>0</v>
      </c>
      <c r="O41" s="482">
        <f t="shared" si="21"/>
        <v>0</v>
      </c>
      <c r="P41" s="482">
        <f t="shared" si="21"/>
        <v>0</v>
      </c>
      <c r="Q41" s="482">
        <f t="shared" si="21"/>
        <v>0</v>
      </c>
      <c r="R41" s="482">
        <f t="shared" si="21"/>
        <v>0</v>
      </c>
      <c r="S41" s="482">
        <f t="shared" si="21"/>
        <v>0</v>
      </c>
      <c r="T41" s="482">
        <f t="shared" si="21"/>
        <v>0</v>
      </c>
      <c r="U41" s="482">
        <f t="shared" si="21"/>
        <v>0</v>
      </c>
      <c r="V41" s="482">
        <f t="shared" si="21"/>
        <v>0</v>
      </c>
      <c r="W41" s="482">
        <f t="shared" si="21"/>
        <v>0</v>
      </c>
      <c r="X41" s="482">
        <f t="shared" si="21"/>
        <v>0</v>
      </c>
      <c r="Y41" s="482">
        <f t="shared" si="21"/>
        <v>0</v>
      </c>
      <c r="Z41" s="482">
        <f t="shared" si="21"/>
        <v>0</v>
      </c>
      <c r="AA41" s="482">
        <f t="shared" si="21"/>
        <v>0</v>
      </c>
      <c r="AB41" s="482">
        <f t="shared" si="21"/>
        <v>0</v>
      </c>
      <c r="AC41" s="482">
        <f t="shared" si="21"/>
        <v>0</v>
      </c>
      <c r="AD41" s="482">
        <f t="shared" si="21"/>
        <v>0</v>
      </c>
      <c r="AE41" s="482">
        <f t="shared" si="21"/>
        <v>0</v>
      </c>
      <c r="AF41" s="483"/>
      <c r="AH41" s="1"/>
      <c r="BK41" s="3"/>
      <c r="EE41" s="1"/>
    </row>
    <row r="42" spans="1:135" s="3" customFormat="1" x14ac:dyDescent="0.25">
      <c r="A42" s="11"/>
      <c r="B42" s="481">
        <f>+B32-B30</f>
        <v>550</v>
      </c>
      <c r="C42" s="481">
        <f t="shared" ref="C42:AF42" si="22">+C32-C30</f>
        <v>700</v>
      </c>
      <c r="D42" s="481">
        <f t="shared" si="22"/>
        <v>720</v>
      </c>
      <c r="E42" s="481">
        <f t="shared" si="22"/>
        <v>800</v>
      </c>
      <c r="F42" s="481">
        <f t="shared" si="22"/>
        <v>540</v>
      </c>
      <c r="G42" s="481">
        <f t="shared" si="22"/>
        <v>510</v>
      </c>
      <c r="H42" s="481">
        <f t="shared" si="22"/>
        <v>510</v>
      </c>
      <c r="I42" s="481">
        <f t="shared" si="22"/>
        <v>0</v>
      </c>
      <c r="J42" s="481">
        <f t="shared" si="22"/>
        <v>0</v>
      </c>
      <c r="K42" s="481">
        <f t="shared" si="22"/>
        <v>0</v>
      </c>
      <c r="L42" s="481">
        <f t="shared" si="22"/>
        <v>0</v>
      </c>
      <c r="M42" s="481">
        <f t="shared" si="22"/>
        <v>0</v>
      </c>
      <c r="N42" s="481">
        <f t="shared" si="22"/>
        <v>0</v>
      </c>
      <c r="O42" s="481">
        <f t="shared" si="22"/>
        <v>0</v>
      </c>
      <c r="P42" s="481">
        <f t="shared" si="22"/>
        <v>0</v>
      </c>
      <c r="Q42" s="481">
        <f t="shared" si="22"/>
        <v>0</v>
      </c>
      <c r="R42" s="481">
        <f t="shared" si="22"/>
        <v>0</v>
      </c>
      <c r="S42" s="481">
        <f t="shared" si="22"/>
        <v>0</v>
      </c>
      <c r="T42" s="481">
        <f t="shared" si="22"/>
        <v>0</v>
      </c>
      <c r="U42" s="481">
        <f t="shared" si="22"/>
        <v>0</v>
      </c>
      <c r="V42" s="481">
        <f t="shared" si="22"/>
        <v>0</v>
      </c>
      <c r="W42" s="481">
        <f t="shared" si="22"/>
        <v>0</v>
      </c>
      <c r="X42" s="481">
        <f t="shared" si="22"/>
        <v>0</v>
      </c>
      <c r="Y42" s="481">
        <f t="shared" si="22"/>
        <v>0</v>
      </c>
      <c r="Z42" s="481">
        <f t="shared" si="22"/>
        <v>0</v>
      </c>
      <c r="AA42" s="481">
        <f t="shared" si="22"/>
        <v>0</v>
      </c>
      <c r="AB42" s="481">
        <f t="shared" si="22"/>
        <v>0</v>
      </c>
      <c r="AC42" s="481">
        <f t="shared" si="22"/>
        <v>0</v>
      </c>
      <c r="AD42" s="481">
        <f t="shared" si="22"/>
        <v>0</v>
      </c>
      <c r="AE42" s="481">
        <f t="shared" si="22"/>
        <v>0</v>
      </c>
      <c r="AF42" s="481">
        <f t="shared" si="22"/>
        <v>0</v>
      </c>
      <c r="AG42" s="30"/>
      <c r="AH42" s="459"/>
    </row>
    <row r="43" spans="1:135" s="3" customFormat="1" ht="15" customHeight="1" x14ac:dyDescent="0.25">
      <c r="A43" s="22"/>
      <c r="B43" s="21"/>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
      <c r="AG43" s="1"/>
      <c r="AH43" s="2"/>
    </row>
    <row r="44" spans="1:135" s="3" customFormat="1" ht="15" customHeight="1" x14ac:dyDescent="0.25">
      <c r="A44" s="22"/>
      <c r="B44" s="454">
        <f>IF(B9="",0,1)</f>
        <v>1</v>
      </c>
      <c r="C44" s="454">
        <f t="shared" ref="C44:AF44" si="23">IF(C9="",0,1)</f>
        <v>1</v>
      </c>
      <c r="D44" s="454">
        <f t="shared" si="23"/>
        <v>1</v>
      </c>
      <c r="E44" s="454">
        <f t="shared" si="23"/>
        <v>1</v>
      </c>
      <c r="F44" s="454">
        <f t="shared" si="23"/>
        <v>1</v>
      </c>
      <c r="G44" s="454">
        <f t="shared" si="23"/>
        <v>1</v>
      </c>
      <c r="H44" s="454">
        <f t="shared" si="23"/>
        <v>1</v>
      </c>
      <c r="I44" s="454">
        <f t="shared" si="23"/>
        <v>0</v>
      </c>
      <c r="J44" s="454">
        <f t="shared" si="23"/>
        <v>0</v>
      </c>
      <c r="K44" s="454">
        <f t="shared" si="23"/>
        <v>0</v>
      </c>
      <c r="L44" s="454">
        <f t="shared" si="23"/>
        <v>0</v>
      </c>
      <c r="M44" s="454">
        <f t="shared" si="23"/>
        <v>0</v>
      </c>
      <c r="N44" s="454">
        <f t="shared" si="23"/>
        <v>0</v>
      </c>
      <c r="O44" s="454">
        <f t="shared" si="23"/>
        <v>0</v>
      </c>
      <c r="P44" s="454">
        <f t="shared" si="23"/>
        <v>0</v>
      </c>
      <c r="Q44" s="454">
        <f t="shared" si="23"/>
        <v>0</v>
      </c>
      <c r="R44" s="454">
        <f t="shared" si="23"/>
        <v>0</v>
      </c>
      <c r="S44" s="454">
        <f t="shared" si="23"/>
        <v>0</v>
      </c>
      <c r="T44" s="454">
        <f t="shared" si="23"/>
        <v>0</v>
      </c>
      <c r="U44" s="454">
        <f t="shared" si="23"/>
        <v>0</v>
      </c>
      <c r="V44" s="454">
        <f t="shared" si="23"/>
        <v>0</v>
      </c>
      <c r="W44" s="454">
        <f t="shared" si="23"/>
        <v>0</v>
      </c>
      <c r="X44" s="454">
        <f t="shared" si="23"/>
        <v>0</v>
      </c>
      <c r="Y44" s="454">
        <f t="shared" si="23"/>
        <v>0</v>
      </c>
      <c r="Z44" s="454">
        <f t="shared" si="23"/>
        <v>0</v>
      </c>
      <c r="AA44" s="454">
        <f t="shared" si="23"/>
        <v>0</v>
      </c>
      <c r="AB44" s="454">
        <f t="shared" si="23"/>
        <v>0</v>
      </c>
      <c r="AC44" s="454">
        <f t="shared" si="23"/>
        <v>0</v>
      </c>
      <c r="AD44" s="454">
        <f t="shared" si="23"/>
        <v>0</v>
      </c>
      <c r="AE44" s="454">
        <f t="shared" si="23"/>
        <v>0</v>
      </c>
      <c r="AF44" s="454">
        <f t="shared" si="23"/>
        <v>0</v>
      </c>
      <c r="AG44" s="1"/>
      <c r="AH44" s="563">
        <f>SUM(B44:AF44)</f>
        <v>7</v>
      </c>
    </row>
    <row r="45" spans="1:135" s="560" customFormat="1" ht="25.5" customHeight="1" x14ac:dyDescent="0.3">
      <c r="A45" s="559" t="s">
        <v>139</v>
      </c>
      <c r="B45" s="562"/>
      <c r="C45" s="562"/>
      <c r="D45" s="562"/>
      <c r="E45" s="562"/>
      <c r="F45" s="562"/>
      <c r="G45" s="562"/>
      <c r="H45" s="562"/>
      <c r="I45" s="656"/>
      <c r="J45" s="656"/>
      <c r="K45" s="656"/>
      <c r="L45" s="656"/>
      <c r="M45" s="656"/>
      <c r="N45" s="656"/>
      <c r="O45" s="656"/>
      <c r="P45" s="656"/>
      <c r="Q45" s="656"/>
      <c r="R45" s="656"/>
      <c r="S45" s="656"/>
      <c r="T45" s="656"/>
      <c r="U45" s="656"/>
      <c r="V45" s="656"/>
      <c r="W45" s="656"/>
      <c r="X45" s="656"/>
      <c r="Y45" s="656"/>
      <c r="Z45" s="656"/>
      <c r="AA45" s="656"/>
      <c r="AB45" s="656"/>
      <c r="AC45" s="656"/>
      <c r="AD45" s="656"/>
      <c r="AE45" s="656"/>
      <c r="AF45" s="656"/>
      <c r="AG45" s="561"/>
      <c r="AH45" s="656"/>
    </row>
    <row r="46" spans="1:135" s="3" customFormat="1" ht="15" customHeight="1" x14ac:dyDescent="0.25">
      <c r="A46" s="22"/>
      <c r="B46" s="21"/>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
      <c r="AG46" s="1"/>
      <c r="AH46" s="2"/>
    </row>
    <row r="47" spans="1:135" s="458" customFormat="1" ht="12" customHeight="1" x14ac:dyDescent="0.25">
      <c r="A47" s="455"/>
      <c r="B47" s="21"/>
      <c r="C47" s="462"/>
      <c r="D47" s="462"/>
      <c r="E47" s="462"/>
      <c r="F47" s="462"/>
      <c r="G47" s="462"/>
      <c r="H47" s="462"/>
      <c r="I47" s="462"/>
      <c r="J47" s="462"/>
      <c r="K47" s="462"/>
      <c r="L47" s="462"/>
      <c r="M47" s="462"/>
      <c r="N47" s="462"/>
      <c r="O47" s="462"/>
      <c r="P47" s="462"/>
      <c r="Q47" s="462"/>
      <c r="R47" s="462"/>
      <c r="S47" s="462"/>
      <c r="T47" s="462"/>
      <c r="U47" s="462"/>
      <c r="V47" s="462"/>
      <c r="W47" s="462"/>
      <c r="X47" s="462"/>
      <c r="Y47" s="462"/>
      <c r="Z47" s="462"/>
      <c r="AA47" s="462"/>
      <c r="AB47" s="462"/>
      <c r="AC47" s="462"/>
      <c r="AD47" s="462"/>
      <c r="AE47" s="462"/>
      <c r="AF47" s="461"/>
      <c r="AH47" s="2"/>
    </row>
    <row r="48" spans="1:135" s="3" customFormat="1" ht="15" customHeight="1" x14ac:dyDescent="0.25">
      <c r="A48" s="22"/>
      <c r="B48" s="21"/>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
      <c r="AG48" s="1"/>
      <c r="AH48" s="2"/>
    </row>
    <row r="49" spans="1:34" s="3" customFormat="1" ht="15" customHeight="1" x14ac:dyDescent="0.25">
      <c r="A49" s="22"/>
      <c r="B49" s="21"/>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
      <c r="AG49" s="1"/>
      <c r="AH49" s="2"/>
    </row>
    <row r="50" spans="1:34" s="3" customFormat="1" ht="15" customHeight="1" x14ac:dyDescent="0.25">
      <c r="A50" s="22"/>
      <c r="B50" s="21"/>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
      <c r="AG50" s="1"/>
      <c r="AH50" s="2"/>
    </row>
    <row r="51" spans="1:34" s="3" customFormat="1" ht="15" customHeight="1" x14ac:dyDescent="0.25">
      <c r="A51" s="22"/>
      <c r="B51" s="21"/>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
      <c r="AG51" s="1"/>
      <c r="AH51" s="2"/>
    </row>
    <row r="52" spans="1:34" s="3" customFormat="1" ht="15" customHeight="1" x14ac:dyDescent="0.25">
      <c r="A52" s="22"/>
      <c r="B52" s="21"/>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
      <c r="AG52" s="1"/>
      <c r="AH52" s="2"/>
    </row>
    <row r="53" spans="1:34" s="3" customFormat="1" ht="15" customHeight="1" x14ac:dyDescent="0.25">
      <c r="A53" s="22"/>
      <c r="B53" s="21"/>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
      <c r="AG53" s="1"/>
      <c r="AH53" s="2"/>
    </row>
    <row r="54" spans="1:34" s="3" customFormat="1" ht="15" customHeight="1" x14ac:dyDescent="0.25">
      <c r="A54" s="22"/>
      <c r="B54" s="21"/>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
      <c r="AG54" s="1"/>
      <c r="AH54" s="2"/>
    </row>
    <row r="55" spans="1:34" s="3" customFormat="1" ht="15" customHeight="1" x14ac:dyDescent="0.25">
      <c r="A55" s="22"/>
      <c r="B55" s="21"/>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
      <c r="AG55" s="1"/>
      <c r="AH55" s="2"/>
    </row>
    <row r="56" spans="1:34" s="3" customFormat="1" ht="15" customHeight="1" x14ac:dyDescent="0.25">
      <c r="A56" s="22"/>
      <c r="B56" s="21"/>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
      <c r="AG56" s="1"/>
      <c r="AH56" s="2"/>
    </row>
    <row r="58" spans="1:34" s="3" customFormat="1" ht="15" customHeight="1" x14ac:dyDescent="0.25">
      <c r="A58" s="22"/>
      <c r="B58" s="21"/>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
      <c r="AG58" s="1"/>
      <c r="AH58" s="2"/>
    </row>
    <row r="59" spans="1:34" s="3" customFormat="1" ht="15" customHeight="1" x14ac:dyDescent="0.25">
      <c r="A59" s="22"/>
      <c r="B59" s="21"/>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
      <c r="AG59" s="1"/>
      <c r="AH59" s="2"/>
    </row>
    <row r="60" spans="1:34" s="3" customFormat="1" ht="15" customHeight="1" x14ac:dyDescent="0.25">
      <c r="A60" s="22"/>
      <c r="B60" s="21"/>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
      <c r="AG60" s="1"/>
      <c r="AH60" s="2"/>
    </row>
    <row r="61" spans="1:34" s="3" customFormat="1" ht="15" customHeight="1" x14ac:dyDescent="0.25">
      <c r="A61" s="22"/>
      <c r="B61" s="21"/>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
      <c r="AG61" s="1"/>
      <c r="AH61" s="2"/>
    </row>
    <row r="62" spans="1:34" s="3" customFormat="1" ht="15" customHeight="1" x14ac:dyDescent="0.25">
      <c r="A62" s="22"/>
      <c r="B62" s="21"/>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
      <c r="AG62" s="1"/>
      <c r="AH62" s="2"/>
    </row>
    <row r="63" spans="1:34" s="3" customFormat="1" ht="15" customHeight="1" x14ac:dyDescent="0.25">
      <c r="A63" s="22"/>
      <c r="B63" s="21"/>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
      <c r="AG63" s="1"/>
      <c r="AH63" s="2"/>
    </row>
    <row r="64" spans="1:34" x14ac:dyDescent="0.25">
      <c r="A64" s="22"/>
      <c r="B64" s="21"/>
    </row>
    <row r="65" spans="1:2" x14ac:dyDescent="0.25">
      <c r="A65" s="22"/>
      <c r="B65" s="21"/>
    </row>
    <row r="66" spans="1:2" x14ac:dyDescent="0.25">
      <c r="A66" s="22"/>
      <c r="B66" s="21"/>
    </row>
    <row r="67" spans="1:2" x14ac:dyDescent="0.25">
      <c r="A67" s="22"/>
      <c r="B67" s="21"/>
    </row>
    <row r="68" spans="1:2" x14ac:dyDescent="0.25">
      <c r="A68" s="22"/>
      <c r="B68" s="21"/>
    </row>
    <row r="69" spans="1:2" x14ac:dyDescent="0.25">
      <c r="A69" s="22"/>
      <c r="B69" s="21"/>
    </row>
    <row r="70" spans="1:2" x14ac:dyDescent="0.25">
      <c r="A70" s="22"/>
      <c r="B70" s="21"/>
    </row>
    <row r="71" spans="1:2" x14ac:dyDescent="0.25">
      <c r="A71" s="22"/>
      <c r="B71" s="21"/>
    </row>
  </sheetData>
  <sheetProtection formatCells="0" formatColumns="0" formatRows="0" autoFilter="0"/>
  <customSheetViews>
    <customSheetView guid="{0CC54A28-7FC1-4543-ABB1-95D1AD8E8D9F}" scale="75" showGridLines="0" zeroValues="0" fitToPage="1" hiddenRows="1" hiddenColumns="1" showRuler="0">
      <selection activeCell="AH20" sqref="AH20"/>
      <pageMargins left="0" right="0" top="0" bottom="0.3" header="0" footer="0"/>
      <printOptions horizontalCentered="1" verticalCentered="1"/>
      <pageSetup paperSize="9" scale="50" orientation="landscape"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topLeftCell="F1">
      <selection activeCell="AH20" sqref="AH20"/>
      <pageMargins left="0" right="0" top="0" bottom="0.3" header="0" footer="0"/>
      <printOptions horizontalCentered="1" verticalCentered="1"/>
      <pageSetup paperSize="9" scale="50" orientation="landscape"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418" priority="61" stopIfTrue="1">
      <formula>$P14="ALERTE"</formula>
    </cfRule>
  </conditionalFormatting>
  <conditionalFormatting sqref="A45">
    <cfRule type="expression" dxfId="417" priority="3" stopIfTrue="1">
      <formula>$P45="ALERTE"</formula>
    </cfRule>
  </conditionalFormatting>
  <conditionalFormatting sqref="B7:H7">
    <cfRule type="expression" dxfId="416" priority="83" stopIfTrue="1">
      <formula>$AY7="ALERTE"</formula>
    </cfRule>
  </conditionalFormatting>
  <conditionalFormatting sqref="B8:H9">
    <cfRule type="expression" dxfId="415" priority="7" stopIfTrue="1">
      <formula>$BG8="ALERTE"</formula>
    </cfRule>
  </conditionalFormatting>
  <conditionalFormatting sqref="B10:H10">
    <cfRule type="expression" dxfId="414" priority="8" stopIfTrue="1">
      <formula>$BT10="ALERTE"</formula>
    </cfRule>
  </conditionalFormatting>
  <conditionalFormatting sqref="B45:H45">
    <cfRule type="expression" dxfId="413" priority="1" stopIfTrue="1">
      <formula>$BG45="ALERTE"</formula>
    </cfRule>
  </conditionalFormatting>
  <conditionalFormatting sqref="B3:AD5 AE3:AF6 A3:A10 B35:AF35 B40:AF40 B43 B46:B56 B58:B71">
    <cfRule type="expression" dxfId="412" priority="81" stopIfTrue="1">
      <formula>$P3="ALERTE"</formula>
    </cfRule>
  </conditionalFormatting>
  <conditionalFormatting sqref="B6:AD6 I7:AF10">
    <cfRule type="expression" dxfId="411" priority="82" stopIfTrue="1">
      <formula>$BI6="ALERTE"</formula>
    </cfRule>
  </conditionalFormatting>
  <conditionalFormatting sqref="B14:AF14">
    <cfRule type="expression" dxfId="410" priority="5" stopIfTrue="1">
      <formula>$BI14="ALERTE"</formula>
    </cfRule>
  </conditionalFormatting>
  <conditionalFormatting sqref="B15:AF21">
    <cfRule type="expression" dxfId="409" priority="6" stopIfTrue="1">
      <formula>$P15="ALERTE"</formula>
    </cfRule>
  </conditionalFormatting>
  <conditionalFormatting sqref="B37:AF38">
    <cfRule type="cellIs" dxfId="408" priority="51" stopIfTrue="1" operator="equal">
      <formula>"THF"</formula>
    </cfRule>
    <cfRule type="cellIs" dxfId="407" priority="52" stopIfTrue="1" operator="equal">
      <formula>"HF"</formula>
    </cfRule>
    <cfRule type="cellIs" dxfId="406" priority="53" stopIfTrue="1" operator="equal">
      <formula>"MF"</formula>
    </cfRule>
  </conditionalFormatting>
  <conditionalFormatting sqref="B44:AF44">
    <cfRule type="expression" dxfId="405" priority="57" stopIfTrue="1">
      <formula>$P44="ALERTE"</formula>
    </cfRule>
  </conditionalFormatting>
  <conditionalFormatting sqref="I45:AF45">
    <cfRule type="expression" dxfId="404" priority="4" stopIfTrue="1">
      <formula>$BI45="ALERTE"</formula>
    </cfRule>
  </conditionalFormatting>
  <conditionalFormatting sqref="AH6:AH10">
    <cfRule type="expression" dxfId="403" priority="58" stopIfTrue="1">
      <formula>$BI6="ALERTE"</formula>
    </cfRule>
  </conditionalFormatting>
  <conditionalFormatting sqref="AH14">
    <cfRule type="expression" dxfId="402" priority="63" stopIfTrue="1">
      <formula>$BI14="ALERTE"</formula>
    </cfRule>
  </conditionalFormatting>
  <conditionalFormatting sqref="AH15:AH16">
    <cfRule type="expression" dxfId="401" priority="62" stopIfTrue="1">
      <formula>$P15="ALERTE"</formula>
    </cfRule>
  </conditionalFormatting>
  <conditionalFormatting sqref="AH45">
    <cfRule type="expression" dxfId="400" priority="2" stopIfTrue="1">
      <formula>$BI45="ALERTE"</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411111111111111111121">
    <pageSetUpPr fitToPage="1"/>
  </sheetPr>
  <dimension ref="A1:IT75"/>
  <sheetViews>
    <sheetView showGridLines="0" showZeros="0" zoomScale="80" zoomScaleNormal="80" workbookViewId="0">
      <pane xSplit="1" ySplit="20" topLeftCell="C21"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x14ac:dyDescent="0.25"/>
  <cols>
    <col min="1" max="1" width="26.33203125" style="10" customWidth="1"/>
    <col min="2" max="2" width="8.5546875" style="1" bestFit="1" customWidth="1"/>
    <col min="3" max="28" width="8" style="1" customWidth="1"/>
    <col min="29" max="30" width="7.6640625" style="1" bestFit="1" customWidth="1"/>
    <col min="31" max="31" width="2.109375" customWidth="1"/>
    <col min="32" max="32" width="16.88671875" style="2" customWidth="1"/>
    <col min="33" max="61" width="0" style="1" hidden="1" customWidth="1"/>
    <col min="62" max="133" width="0" style="3" hidden="1" customWidth="1"/>
    <col min="134" max="16384" width="0" style="1" hidden="1"/>
  </cols>
  <sheetData>
    <row r="1" spans="1:254" s="505" customFormat="1" ht="42.75" customHeight="1" x14ac:dyDescent="0.25">
      <c r="A1" s="641">
        <v>45323</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42"/>
      <c r="AF1" s="630"/>
      <c r="AG1" s="630"/>
      <c r="AH1" s="632"/>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c r="BH1" s="503"/>
      <c r="BI1" s="503"/>
      <c r="BJ1" s="503"/>
      <c r="BK1" s="503"/>
      <c r="BL1" s="503"/>
      <c r="BM1" s="503"/>
      <c r="BN1" s="503"/>
      <c r="BO1" s="503"/>
      <c r="BP1" s="503"/>
      <c r="BQ1" s="503"/>
      <c r="BR1" s="503"/>
      <c r="BS1" s="503"/>
      <c r="BT1" s="503"/>
      <c r="BU1" s="503"/>
      <c r="BV1" s="503"/>
      <c r="BW1" s="503"/>
      <c r="BX1" s="503"/>
      <c r="BY1" s="503"/>
      <c r="BZ1" s="503"/>
      <c r="CA1" s="503"/>
      <c r="CB1" s="503"/>
      <c r="CC1" s="503"/>
      <c r="CD1" s="503"/>
      <c r="CE1" s="503"/>
      <c r="CF1" s="503"/>
      <c r="CG1" s="503"/>
      <c r="CH1" s="503"/>
      <c r="CI1" s="503"/>
      <c r="CJ1" s="503"/>
      <c r="CK1" s="503"/>
      <c r="CL1" s="503"/>
      <c r="CM1" s="503"/>
      <c r="CN1" s="503"/>
      <c r="CO1" s="503"/>
      <c r="CP1" s="503"/>
      <c r="CQ1" s="503"/>
      <c r="CR1" s="503"/>
      <c r="CS1" s="503"/>
      <c r="CT1" s="503"/>
      <c r="CU1" s="503"/>
      <c r="CV1" s="503"/>
      <c r="CW1" s="503"/>
      <c r="CX1" s="503"/>
      <c r="CY1" s="503"/>
      <c r="CZ1" s="503"/>
      <c r="DA1" s="503"/>
      <c r="DB1" s="503"/>
      <c r="DC1" s="503"/>
      <c r="DD1" s="503"/>
      <c r="DE1" s="503"/>
      <c r="DF1" s="503"/>
      <c r="DG1" s="503"/>
      <c r="DH1" s="503"/>
      <c r="DI1" s="503"/>
      <c r="DJ1" s="503"/>
      <c r="DK1" s="503"/>
      <c r="DL1" s="503"/>
      <c r="DM1" s="503"/>
      <c r="DN1" s="503"/>
      <c r="DO1" s="503"/>
      <c r="DP1" s="503"/>
      <c r="DQ1" s="503"/>
      <c r="DR1" s="503"/>
      <c r="DS1" s="503"/>
      <c r="DT1" s="503"/>
      <c r="DU1" s="503"/>
      <c r="DV1" s="503"/>
      <c r="DW1" s="503"/>
      <c r="DX1" s="503"/>
      <c r="DY1" s="503"/>
      <c r="DZ1" s="503"/>
      <c r="EA1" s="503"/>
      <c r="EB1" s="503"/>
      <c r="EC1" s="503"/>
      <c r="ED1" s="503"/>
      <c r="EE1" s="503"/>
      <c r="EF1" s="503"/>
      <c r="EG1" s="503"/>
      <c r="EH1" s="503"/>
      <c r="EI1" s="503"/>
      <c r="EJ1" s="503"/>
      <c r="EK1" s="503"/>
      <c r="EL1" s="503"/>
      <c r="EM1" s="503"/>
      <c r="EN1" s="503"/>
      <c r="EO1" s="503"/>
      <c r="EP1" s="503"/>
      <c r="EQ1" s="503"/>
      <c r="ER1" s="503"/>
      <c r="ES1" s="503"/>
      <c r="ET1" s="503"/>
      <c r="EU1" s="503"/>
      <c r="EV1" s="503"/>
      <c r="EW1" s="503"/>
      <c r="EX1" s="503"/>
      <c r="EY1" s="503"/>
      <c r="EZ1" s="503"/>
      <c r="FA1" s="503"/>
      <c r="FB1" s="503"/>
      <c r="FC1" s="503"/>
      <c r="FD1" s="503"/>
      <c r="FE1" s="503"/>
      <c r="FF1" s="503"/>
      <c r="FG1" s="503"/>
      <c r="FH1" s="503"/>
      <c r="FI1" s="503"/>
      <c r="FJ1" s="503"/>
      <c r="FK1" s="503"/>
      <c r="FL1" s="503"/>
      <c r="FM1" s="503"/>
      <c r="FN1" s="503"/>
      <c r="FO1" s="503"/>
      <c r="FP1" s="503"/>
      <c r="FQ1" s="503"/>
      <c r="FR1" s="503"/>
      <c r="FS1" s="503"/>
      <c r="FT1" s="503"/>
      <c r="FU1" s="503"/>
      <c r="FV1" s="503"/>
      <c r="FW1" s="503"/>
      <c r="FX1" s="503"/>
      <c r="FY1" s="503"/>
      <c r="FZ1" s="503"/>
      <c r="GA1" s="503"/>
      <c r="GB1" s="503"/>
      <c r="GC1" s="503"/>
      <c r="GD1" s="503"/>
      <c r="GE1" s="503"/>
      <c r="GF1" s="503"/>
      <c r="GG1" s="503"/>
      <c r="GH1" s="503"/>
      <c r="GI1" s="503"/>
      <c r="GJ1" s="503"/>
      <c r="GK1" s="503"/>
      <c r="GL1" s="503"/>
      <c r="GM1" s="503"/>
      <c r="GN1" s="503"/>
      <c r="GO1" s="503"/>
      <c r="GP1" s="503"/>
      <c r="GQ1" s="503"/>
      <c r="GR1" s="503"/>
      <c r="GS1" s="503"/>
      <c r="GT1" s="503"/>
      <c r="GU1" s="503"/>
      <c r="GV1" s="503"/>
      <c r="GW1" s="503"/>
      <c r="GX1" s="503"/>
      <c r="GY1" s="503"/>
      <c r="GZ1" s="503"/>
      <c r="HA1" s="503"/>
      <c r="HB1" s="503"/>
      <c r="HC1" s="503"/>
      <c r="HD1" s="503"/>
      <c r="HE1" s="503"/>
      <c r="HF1" s="503"/>
      <c r="HG1" s="503"/>
      <c r="HH1" s="503"/>
      <c r="HI1" s="503"/>
      <c r="HJ1" s="503"/>
      <c r="HK1" s="503"/>
      <c r="HL1" s="503"/>
      <c r="HM1" s="503"/>
      <c r="HN1" s="503"/>
      <c r="HO1" s="503"/>
      <c r="HP1" s="503"/>
      <c r="HQ1" s="503"/>
      <c r="HR1" s="503"/>
      <c r="HS1" s="503"/>
      <c r="HT1" s="503"/>
      <c r="HU1" s="503"/>
      <c r="HV1" s="503"/>
      <c r="HW1" s="503"/>
      <c r="HX1" s="503"/>
      <c r="HY1" s="503"/>
      <c r="HZ1" s="503"/>
      <c r="IA1" s="503"/>
      <c r="IB1" s="503"/>
      <c r="IC1" s="503"/>
      <c r="ID1" s="503"/>
      <c r="IE1" s="503"/>
      <c r="IF1" s="503"/>
      <c r="IG1" s="503"/>
      <c r="IH1" s="503"/>
      <c r="II1" s="503"/>
      <c r="IJ1" s="503"/>
      <c r="IK1" s="503"/>
      <c r="IL1" s="503"/>
      <c r="IM1" s="503"/>
      <c r="IN1" s="503"/>
      <c r="IO1" s="503"/>
      <c r="IP1" s="503"/>
      <c r="IQ1" s="503"/>
      <c r="IR1" s="503"/>
      <c r="IS1" s="503"/>
      <c r="IT1" s="503"/>
    </row>
    <row r="2" spans="1:254"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row>
    <row r="3" spans="1:254" s="158" customFormat="1" ht="20.100000000000001" customHeight="1" x14ac:dyDescent="0.25">
      <c r="A3" s="633" t="s">
        <v>0</v>
      </c>
      <c r="B3" s="636">
        <f>+A1</f>
        <v>45323</v>
      </c>
      <c r="C3" s="636">
        <f t="shared" ref="C3:AD3" si="0">+B3+1</f>
        <v>45324</v>
      </c>
      <c r="D3" s="636">
        <f t="shared" si="0"/>
        <v>45325</v>
      </c>
      <c r="E3" s="636">
        <f t="shared" si="0"/>
        <v>45326</v>
      </c>
      <c r="F3" s="636">
        <f t="shared" si="0"/>
        <v>45327</v>
      </c>
      <c r="G3" s="636">
        <f t="shared" si="0"/>
        <v>45328</v>
      </c>
      <c r="H3" s="636">
        <f t="shared" si="0"/>
        <v>45329</v>
      </c>
      <c r="I3" s="636">
        <f t="shared" si="0"/>
        <v>45330</v>
      </c>
      <c r="J3" s="636">
        <f t="shared" si="0"/>
        <v>45331</v>
      </c>
      <c r="K3" s="636">
        <f t="shared" si="0"/>
        <v>45332</v>
      </c>
      <c r="L3" s="636">
        <f t="shared" si="0"/>
        <v>45333</v>
      </c>
      <c r="M3" s="636">
        <f t="shared" si="0"/>
        <v>45334</v>
      </c>
      <c r="N3" s="636">
        <f t="shared" si="0"/>
        <v>45335</v>
      </c>
      <c r="O3" s="636">
        <f t="shared" si="0"/>
        <v>45336</v>
      </c>
      <c r="P3" s="636">
        <f t="shared" si="0"/>
        <v>45337</v>
      </c>
      <c r="Q3" s="636">
        <f t="shared" si="0"/>
        <v>45338</v>
      </c>
      <c r="R3" s="636">
        <f t="shared" si="0"/>
        <v>45339</v>
      </c>
      <c r="S3" s="636">
        <f t="shared" si="0"/>
        <v>45340</v>
      </c>
      <c r="T3" s="636">
        <f t="shared" si="0"/>
        <v>45341</v>
      </c>
      <c r="U3" s="636">
        <f t="shared" si="0"/>
        <v>45342</v>
      </c>
      <c r="V3" s="636">
        <f t="shared" si="0"/>
        <v>45343</v>
      </c>
      <c r="W3" s="636">
        <f t="shared" si="0"/>
        <v>45344</v>
      </c>
      <c r="X3" s="636">
        <f t="shared" si="0"/>
        <v>45345</v>
      </c>
      <c r="Y3" s="636">
        <f t="shared" si="0"/>
        <v>45346</v>
      </c>
      <c r="Z3" s="636">
        <f t="shared" si="0"/>
        <v>45347</v>
      </c>
      <c r="AA3" s="636">
        <f t="shared" si="0"/>
        <v>45348</v>
      </c>
      <c r="AB3" s="636">
        <f t="shared" si="0"/>
        <v>45349</v>
      </c>
      <c r="AC3" s="636">
        <f t="shared" si="0"/>
        <v>45350</v>
      </c>
      <c r="AD3" s="636">
        <f t="shared" si="0"/>
        <v>45351</v>
      </c>
      <c r="AE3" s="643"/>
      <c r="BJ3" s="159"/>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row>
    <row r="4" spans="1:254" s="158" customFormat="1" ht="20.100000000000001" customHeight="1" x14ac:dyDescent="0.25">
      <c r="A4" s="527" t="s">
        <v>1</v>
      </c>
      <c r="B4" s="533">
        <f>+A1</f>
        <v>45323</v>
      </c>
      <c r="C4" s="533">
        <f t="shared" ref="C4:AD4" si="1">+B4+1</f>
        <v>45324</v>
      </c>
      <c r="D4" s="533">
        <f t="shared" si="1"/>
        <v>45325</v>
      </c>
      <c r="E4" s="533">
        <f t="shared" si="1"/>
        <v>45326</v>
      </c>
      <c r="F4" s="533">
        <f t="shared" si="1"/>
        <v>45327</v>
      </c>
      <c r="G4" s="533">
        <f t="shared" si="1"/>
        <v>45328</v>
      </c>
      <c r="H4" s="533">
        <f t="shared" si="1"/>
        <v>45329</v>
      </c>
      <c r="I4" s="533">
        <f t="shared" si="1"/>
        <v>45330</v>
      </c>
      <c r="J4" s="533">
        <f t="shared" si="1"/>
        <v>45331</v>
      </c>
      <c r="K4" s="533">
        <f t="shared" si="1"/>
        <v>45332</v>
      </c>
      <c r="L4" s="533">
        <f t="shared" si="1"/>
        <v>45333</v>
      </c>
      <c r="M4" s="533">
        <f t="shared" si="1"/>
        <v>45334</v>
      </c>
      <c r="N4" s="533">
        <f t="shared" si="1"/>
        <v>45335</v>
      </c>
      <c r="O4" s="533">
        <f t="shared" si="1"/>
        <v>45336</v>
      </c>
      <c r="P4" s="533">
        <f t="shared" si="1"/>
        <v>45337</v>
      </c>
      <c r="Q4" s="533">
        <f t="shared" si="1"/>
        <v>45338</v>
      </c>
      <c r="R4" s="533">
        <f t="shared" si="1"/>
        <v>45339</v>
      </c>
      <c r="S4" s="533">
        <f t="shared" si="1"/>
        <v>45340</v>
      </c>
      <c r="T4" s="533">
        <f t="shared" si="1"/>
        <v>45341</v>
      </c>
      <c r="U4" s="533">
        <f t="shared" si="1"/>
        <v>45342</v>
      </c>
      <c r="V4" s="533">
        <f t="shared" si="1"/>
        <v>45343</v>
      </c>
      <c r="W4" s="533">
        <f t="shared" si="1"/>
        <v>45344</v>
      </c>
      <c r="X4" s="533">
        <f t="shared" si="1"/>
        <v>45345</v>
      </c>
      <c r="Y4" s="533">
        <f t="shared" si="1"/>
        <v>45346</v>
      </c>
      <c r="Z4" s="533">
        <f t="shared" si="1"/>
        <v>45347</v>
      </c>
      <c r="AA4" s="533">
        <f t="shared" si="1"/>
        <v>45348</v>
      </c>
      <c r="AB4" s="533">
        <f t="shared" si="1"/>
        <v>45349</v>
      </c>
      <c r="AC4" s="533">
        <f t="shared" si="1"/>
        <v>45350</v>
      </c>
      <c r="AD4" s="533">
        <f t="shared" si="1"/>
        <v>45351</v>
      </c>
      <c r="AE4" s="643"/>
      <c r="BJ4" s="159"/>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row>
    <row r="5" spans="1:254" s="163" customFormat="1" ht="9.9" customHeight="1" thickBot="1" x14ac:dyDescent="0.3">
      <c r="A5" s="528"/>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2"/>
      <c r="BJ5" s="164"/>
      <c r="BK5" s="164"/>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row>
    <row r="6" spans="1:254" s="158" customFormat="1" ht="20.100000000000001" customHeight="1" thickBot="1" x14ac:dyDescent="0.3">
      <c r="A6" s="529" t="s">
        <v>2</v>
      </c>
      <c r="B6" s="490"/>
      <c r="C6" s="490"/>
      <c r="D6" s="490"/>
      <c r="E6" s="490"/>
      <c r="F6" s="490"/>
      <c r="G6" s="491"/>
      <c r="H6" s="491"/>
      <c r="I6" s="490"/>
      <c r="J6" s="490"/>
      <c r="K6" s="490"/>
      <c r="L6" s="490"/>
      <c r="M6" s="491"/>
      <c r="N6" s="491"/>
      <c r="O6" s="491"/>
      <c r="P6" s="490"/>
      <c r="Q6" s="490"/>
      <c r="R6" s="490"/>
      <c r="S6" s="490"/>
      <c r="T6" s="491"/>
      <c r="U6" s="491"/>
      <c r="V6" s="491"/>
      <c r="W6" s="490"/>
      <c r="X6" s="490"/>
      <c r="Y6" s="490"/>
      <c r="Z6" s="490"/>
      <c r="AA6" s="491"/>
      <c r="AB6" s="491"/>
      <c r="AC6" s="491"/>
      <c r="AD6" s="491"/>
      <c r="AE6" s="162"/>
      <c r="AF6" s="470"/>
      <c r="BJ6" s="159"/>
      <c r="BK6" s="159"/>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row>
    <row r="7" spans="1:254" s="163" customFormat="1" ht="15" x14ac:dyDescent="0.25">
      <c r="A7" s="530" t="s">
        <v>3</v>
      </c>
      <c r="B7" s="165"/>
      <c r="C7" s="165"/>
      <c r="D7" s="165"/>
      <c r="E7" s="165"/>
      <c r="F7" s="165"/>
      <c r="G7" s="165"/>
      <c r="H7" s="165"/>
      <c r="I7" s="165"/>
      <c r="J7" s="165"/>
      <c r="K7" s="576" t="s">
        <v>35</v>
      </c>
      <c r="L7" s="576" t="s">
        <v>35</v>
      </c>
      <c r="M7" s="576" t="s">
        <v>35</v>
      </c>
      <c r="N7" s="576" t="s">
        <v>35</v>
      </c>
      <c r="O7" s="576" t="s">
        <v>35</v>
      </c>
      <c r="P7" s="576" t="s">
        <v>35</v>
      </c>
      <c r="Q7" s="576" t="s">
        <v>35</v>
      </c>
      <c r="R7" s="580" t="s">
        <v>33</v>
      </c>
      <c r="S7" s="580" t="s">
        <v>33</v>
      </c>
      <c r="T7" s="580" t="s">
        <v>33</v>
      </c>
      <c r="U7" s="580" t="s">
        <v>33</v>
      </c>
      <c r="V7" s="580" t="s">
        <v>33</v>
      </c>
      <c r="W7" s="580" t="s">
        <v>33</v>
      </c>
      <c r="X7" s="580" t="s">
        <v>33</v>
      </c>
      <c r="Y7" s="581" t="s">
        <v>4</v>
      </c>
      <c r="Z7" s="581" t="s">
        <v>4</v>
      </c>
      <c r="AA7" s="581" t="s">
        <v>137</v>
      </c>
      <c r="AB7" s="581" t="s">
        <v>137</v>
      </c>
      <c r="AC7" s="581" t="s">
        <v>137</v>
      </c>
      <c r="AD7" s="581" t="s">
        <v>137</v>
      </c>
      <c r="AE7" s="162"/>
      <c r="AF7" s="165"/>
      <c r="BJ7" s="164"/>
      <c r="BK7" s="164"/>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row>
    <row r="8" spans="1:254" s="560" customFormat="1" ht="25.5" customHeight="1" x14ac:dyDescent="0.3">
      <c r="A8" s="559" t="s">
        <v>132</v>
      </c>
      <c r="B8" s="562" t="str">
        <f>B9</f>
        <v/>
      </c>
      <c r="C8" s="562" t="str">
        <f t="shared" ref="C8:AG8" si="2">C9</f>
        <v/>
      </c>
      <c r="D8" s="562" t="str">
        <f t="shared" si="2"/>
        <v/>
      </c>
      <c r="E8" s="562" t="str">
        <f t="shared" si="2"/>
        <v/>
      </c>
      <c r="F8" s="562" t="str">
        <f t="shared" si="2"/>
        <v/>
      </c>
      <c r="G8" s="562" t="str">
        <f t="shared" si="2"/>
        <v/>
      </c>
      <c r="H8" s="562" t="str">
        <f t="shared" si="2"/>
        <v/>
      </c>
      <c r="I8" s="562" t="str">
        <f t="shared" si="2"/>
        <v/>
      </c>
      <c r="J8" s="562" t="str">
        <f t="shared" si="2"/>
        <v/>
      </c>
      <c r="K8" s="562">
        <v>0.40625</v>
      </c>
      <c r="L8" s="562">
        <v>0.40625</v>
      </c>
      <c r="M8" s="562">
        <v>0.40625</v>
      </c>
      <c r="N8" s="562">
        <v>0.40625</v>
      </c>
      <c r="O8" s="562">
        <v>0.40625</v>
      </c>
      <c r="P8" s="562">
        <v>0.40625</v>
      </c>
      <c r="Q8" s="562">
        <v>0.40625</v>
      </c>
      <c r="R8" s="562">
        <v>0.40625</v>
      </c>
      <c r="S8" s="562">
        <v>0.40625</v>
      </c>
      <c r="T8" s="562">
        <v>0.40625</v>
      </c>
      <c r="U8" s="562">
        <v>0.40625</v>
      </c>
      <c r="V8" s="562">
        <v>0.40625</v>
      </c>
      <c r="W8" s="562">
        <v>0.40625</v>
      </c>
      <c r="X8" s="562">
        <v>0.40625</v>
      </c>
      <c r="Y8" s="562">
        <v>0.40625</v>
      </c>
      <c r="Z8" s="562">
        <v>0.40625</v>
      </c>
      <c r="AA8" s="562">
        <v>0.40625</v>
      </c>
      <c r="AB8" s="562">
        <v>0.40625</v>
      </c>
      <c r="AC8" s="562">
        <v>0.40625</v>
      </c>
      <c r="AD8" s="562">
        <v>0.40625</v>
      </c>
      <c r="AE8" s="644" t="str">
        <f t="shared" si="2"/>
        <v/>
      </c>
      <c r="AF8" s="562" t="str">
        <f t="shared" si="2"/>
        <v/>
      </c>
      <c r="AG8" s="562">
        <f t="shared" si="2"/>
        <v>0.40625</v>
      </c>
      <c r="AH8" s="562"/>
    </row>
    <row r="9" spans="1:254" s="172" customFormat="1" ht="20.25" customHeight="1" x14ac:dyDescent="0.25">
      <c r="A9" s="519" t="s">
        <v>36</v>
      </c>
      <c r="B9" s="511" t="str">
        <f>IF(B10="","",B10-"0:15")</f>
        <v/>
      </c>
      <c r="C9" s="511" t="str">
        <f t="shared" ref="C9:AG9" si="3">IF(C10="","",C10-"0:15")</f>
        <v/>
      </c>
      <c r="D9" s="511" t="str">
        <f t="shared" si="3"/>
        <v/>
      </c>
      <c r="E9" s="511" t="str">
        <f t="shared" si="3"/>
        <v/>
      </c>
      <c r="F9" s="511" t="str">
        <f t="shared" si="3"/>
        <v/>
      </c>
      <c r="G9" s="511" t="str">
        <f t="shared" si="3"/>
        <v/>
      </c>
      <c r="H9" s="511" t="str">
        <f t="shared" si="3"/>
        <v/>
      </c>
      <c r="I9" s="511" t="str">
        <f t="shared" si="3"/>
        <v/>
      </c>
      <c r="J9" s="511" t="str">
        <f t="shared" si="3"/>
        <v/>
      </c>
      <c r="K9" s="511">
        <v>0.39583333333333331</v>
      </c>
      <c r="L9" s="511">
        <v>0.39583333333333331</v>
      </c>
      <c r="M9" s="511">
        <v>0.39583333333333331</v>
      </c>
      <c r="N9" s="511">
        <v>0.39583333333333331</v>
      </c>
      <c r="O9" s="511">
        <v>0.39583333333333331</v>
      </c>
      <c r="P9" s="511">
        <v>0.39583333333333331</v>
      </c>
      <c r="Q9" s="511">
        <v>0.39583333333333331</v>
      </c>
      <c r="R9" s="511">
        <v>0.39583333333333331</v>
      </c>
      <c r="S9" s="511">
        <v>0.39583333333333331</v>
      </c>
      <c r="T9" s="511">
        <v>0.39583333333333331</v>
      </c>
      <c r="U9" s="511">
        <v>0.39583333333333331</v>
      </c>
      <c r="V9" s="511">
        <v>0.39583333333333331</v>
      </c>
      <c r="W9" s="511">
        <v>0.39583333333333331</v>
      </c>
      <c r="X9" s="511">
        <v>0.39583333333333331</v>
      </c>
      <c r="Y9" s="511">
        <v>0.39583333333333331</v>
      </c>
      <c r="Z9" s="511">
        <v>0.39583333333333331</v>
      </c>
      <c r="AA9" s="511">
        <v>0.39583333333333331</v>
      </c>
      <c r="AB9" s="511">
        <v>0.39583333333333331</v>
      </c>
      <c r="AC9" s="511">
        <v>0.39583333333333331</v>
      </c>
      <c r="AD9" s="511">
        <v>0.39583333333333331</v>
      </c>
      <c r="AE9" s="645" t="str">
        <f t="shared" si="3"/>
        <v/>
      </c>
      <c r="AF9" s="511" t="str">
        <f t="shared" si="3"/>
        <v/>
      </c>
      <c r="AG9" s="511">
        <f t="shared" si="3"/>
        <v>0.40625</v>
      </c>
    </row>
    <row r="10" spans="1:254" s="171" customFormat="1" ht="20.100000000000001" customHeight="1" x14ac:dyDescent="0.4">
      <c r="A10" s="520" t="s">
        <v>5</v>
      </c>
      <c r="B10" s="626"/>
      <c r="C10" s="626"/>
      <c r="D10" s="627"/>
      <c r="E10" s="627"/>
      <c r="F10" s="627"/>
      <c r="G10" s="627"/>
      <c r="H10" s="627"/>
      <c r="I10" s="627"/>
      <c r="J10" s="627"/>
      <c r="K10" s="626">
        <v>0.40625</v>
      </c>
      <c r="L10" s="626">
        <v>0.40625</v>
      </c>
      <c r="M10" s="626">
        <v>0.40625</v>
      </c>
      <c r="N10" s="626">
        <v>0.40625</v>
      </c>
      <c r="O10" s="626">
        <v>0.40625</v>
      </c>
      <c r="P10" s="626">
        <v>0.40625</v>
      </c>
      <c r="Q10" s="626">
        <v>0.40625</v>
      </c>
      <c r="R10" s="626">
        <v>0.40625</v>
      </c>
      <c r="S10" s="626">
        <v>0.40625</v>
      </c>
      <c r="T10" s="626">
        <v>0.40625</v>
      </c>
      <c r="U10" s="626">
        <v>0.40625</v>
      </c>
      <c r="V10" s="626">
        <v>0.40625</v>
      </c>
      <c r="W10" s="626">
        <v>0.40625</v>
      </c>
      <c r="X10" s="626">
        <v>0.40625</v>
      </c>
      <c r="Y10" s="626">
        <v>0.40625</v>
      </c>
      <c r="Z10" s="626">
        <v>0.40625</v>
      </c>
      <c r="AA10" s="626">
        <v>0.40625</v>
      </c>
      <c r="AB10" s="626">
        <v>0.40625</v>
      </c>
      <c r="AC10" s="626">
        <v>0.40625</v>
      </c>
      <c r="AD10" s="626">
        <v>0.40625</v>
      </c>
      <c r="AE10" s="173"/>
      <c r="AF10" s="626"/>
      <c r="AG10" s="512">
        <v>0.41666666666666669</v>
      </c>
      <c r="AH10" s="629">
        <v>0.41666666666666669</v>
      </c>
      <c r="AI10" s="466">
        <v>0.41666666666666669</v>
      </c>
      <c r="AJ10" s="466">
        <v>0.41666666666666669</v>
      </c>
      <c r="AK10" s="466">
        <v>0.41666666666666669</v>
      </c>
      <c r="AL10" s="466">
        <v>0.41666666666666669</v>
      </c>
      <c r="AM10" s="466">
        <v>0.41666666666666669</v>
      </c>
      <c r="AN10" s="466">
        <v>0.41666666666666669</v>
      </c>
      <c r="AO10" s="466">
        <v>0.41666666666666669</v>
      </c>
      <c r="AP10" s="466"/>
      <c r="AQ10" s="466"/>
      <c r="AR10" s="180"/>
      <c r="AS10" s="466">
        <f>SUM(B10:AQ10)</f>
        <v>11.874999999999995</v>
      </c>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c r="EF10" s="172"/>
      <c r="EG10" s="172"/>
      <c r="EH10" s="172"/>
      <c r="EI10" s="172"/>
      <c r="EJ10" s="172"/>
      <c r="EK10" s="172"/>
      <c r="EL10" s="172"/>
      <c r="EM10" s="172"/>
      <c r="EN10" s="172"/>
      <c r="EO10" s="172"/>
      <c r="EP10" s="172"/>
    </row>
    <row r="11" spans="1:254" s="171" customFormat="1" ht="20.100000000000001" customHeight="1" x14ac:dyDescent="0.25">
      <c r="A11" s="520" t="s">
        <v>6</v>
      </c>
      <c r="B11" s="627" t="str">
        <f t="shared" ref="B11:AF11" si="4">IF(B10="","",IF(B15=0,B14+"0:30",+B15+"0:30"))</f>
        <v/>
      </c>
      <c r="C11" s="627" t="str">
        <f t="shared" si="4"/>
        <v/>
      </c>
      <c r="D11" s="627" t="str">
        <f t="shared" si="4"/>
        <v/>
      </c>
      <c r="E11" s="627" t="str">
        <f t="shared" ref="E11:J11" si="5">IF(E10="","",IF(E15=0,E14+"0:30",+E15+"0:30"))</f>
        <v/>
      </c>
      <c r="F11" s="627" t="str">
        <f t="shared" si="5"/>
        <v/>
      </c>
      <c r="G11" s="627" t="str">
        <f t="shared" si="5"/>
        <v/>
      </c>
      <c r="H11" s="627" t="str">
        <f t="shared" si="5"/>
        <v/>
      </c>
      <c r="I11" s="627" t="str">
        <f t="shared" si="5"/>
        <v/>
      </c>
      <c r="J11" s="627" t="str">
        <f t="shared" si="5"/>
        <v/>
      </c>
      <c r="K11" s="627">
        <f t="shared" si="4"/>
        <v>0.89583333333333337</v>
      </c>
      <c r="L11" s="627">
        <f t="shared" si="4"/>
        <v>0.89583333333333337</v>
      </c>
      <c r="M11" s="627">
        <f t="shared" si="4"/>
        <v>0.89583333333333337</v>
      </c>
      <c r="N11" s="627">
        <f t="shared" si="4"/>
        <v>0.89583333333333337</v>
      </c>
      <c r="O11" s="627">
        <f t="shared" si="4"/>
        <v>0.89583333333333337</v>
      </c>
      <c r="P11" s="627">
        <f t="shared" si="4"/>
        <v>0.89583333333333337</v>
      </c>
      <c r="Q11" s="627">
        <f t="shared" si="4"/>
        <v>0.89583333333333337</v>
      </c>
      <c r="R11" s="627">
        <f t="shared" si="4"/>
        <v>0.89583333333333337</v>
      </c>
      <c r="S11" s="627">
        <f t="shared" si="4"/>
        <v>0.89583333333333337</v>
      </c>
      <c r="T11" s="627">
        <f t="shared" si="4"/>
        <v>0.89583333333333337</v>
      </c>
      <c r="U11" s="627">
        <f t="shared" si="4"/>
        <v>0.89583333333333337</v>
      </c>
      <c r="V11" s="627">
        <f t="shared" si="4"/>
        <v>0.89583333333333337</v>
      </c>
      <c r="W11" s="627">
        <f t="shared" si="4"/>
        <v>0.89583333333333337</v>
      </c>
      <c r="X11" s="627">
        <f t="shared" si="4"/>
        <v>0.89583333333333337</v>
      </c>
      <c r="Y11" s="627">
        <f t="shared" si="4"/>
        <v>0.89583333333333337</v>
      </c>
      <c r="Z11" s="627">
        <f t="shared" si="4"/>
        <v>0.89583333333333337</v>
      </c>
      <c r="AA11" s="627">
        <f t="shared" si="4"/>
        <v>0.89583333333333337</v>
      </c>
      <c r="AB11" s="627">
        <f t="shared" si="4"/>
        <v>0.89583333333333337</v>
      </c>
      <c r="AC11" s="627">
        <f t="shared" si="4"/>
        <v>0.89583333333333337</v>
      </c>
      <c r="AD11" s="627">
        <f t="shared" ref="AD11" si="6">IF(AD10="","",IF(AD15=0,AD14+"0:30",+AD15+"0:30"))</f>
        <v>0.89583333333333337</v>
      </c>
      <c r="AE11" s="645" t="str">
        <f t="shared" si="4"/>
        <v/>
      </c>
      <c r="AF11" s="627" t="str">
        <f t="shared" si="4"/>
        <v/>
      </c>
      <c r="AG11" s="556"/>
      <c r="AH11" s="628"/>
      <c r="BJ11" s="172"/>
      <c r="BK11" s="172"/>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row>
    <row r="12" spans="1:254" s="506" customFormat="1" ht="20.100000000000001" customHeight="1" x14ac:dyDescent="0.4">
      <c r="A12" s="521" t="s">
        <v>7</v>
      </c>
      <c r="B12" s="623" t="str">
        <f t="shared" ref="B12:AC12" si="7">+IF(B10="","",(B11-B10))</f>
        <v/>
      </c>
      <c r="C12" s="623" t="str">
        <f t="shared" si="7"/>
        <v/>
      </c>
      <c r="D12" s="623" t="str">
        <f t="shared" si="7"/>
        <v/>
      </c>
      <c r="E12" s="623" t="str">
        <f t="shared" ref="E12:J12" si="8">+IF(E10="","",(E11-E10))</f>
        <v/>
      </c>
      <c r="F12" s="623" t="str">
        <f t="shared" si="8"/>
        <v/>
      </c>
      <c r="G12" s="623" t="str">
        <f t="shared" si="8"/>
        <v/>
      </c>
      <c r="H12" s="623" t="str">
        <f t="shared" si="8"/>
        <v/>
      </c>
      <c r="I12" s="623" t="str">
        <f t="shared" si="8"/>
        <v/>
      </c>
      <c r="J12" s="623" t="str">
        <f t="shared" si="8"/>
        <v/>
      </c>
      <c r="K12" s="623">
        <f t="shared" ref="K12:O12" si="9">+IF(K10="","",(K11-K10))</f>
        <v>0.48958333333333337</v>
      </c>
      <c r="L12" s="623">
        <f t="shared" si="9"/>
        <v>0.48958333333333337</v>
      </c>
      <c r="M12" s="623">
        <f t="shared" si="9"/>
        <v>0.48958333333333337</v>
      </c>
      <c r="N12" s="623">
        <f t="shared" si="9"/>
        <v>0.48958333333333337</v>
      </c>
      <c r="O12" s="623">
        <f t="shared" si="9"/>
        <v>0.48958333333333337</v>
      </c>
      <c r="P12" s="623">
        <f t="shared" si="7"/>
        <v>0.48958333333333337</v>
      </c>
      <c r="Q12" s="623">
        <f t="shared" si="7"/>
        <v>0.48958333333333337</v>
      </c>
      <c r="R12" s="623">
        <f t="shared" si="7"/>
        <v>0.48958333333333337</v>
      </c>
      <c r="S12" s="623">
        <f t="shared" si="7"/>
        <v>0.48958333333333337</v>
      </c>
      <c r="T12" s="623">
        <f t="shared" si="7"/>
        <v>0.48958333333333337</v>
      </c>
      <c r="U12" s="623">
        <f t="shared" si="7"/>
        <v>0.48958333333333337</v>
      </c>
      <c r="V12" s="623">
        <f t="shared" si="7"/>
        <v>0.48958333333333337</v>
      </c>
      <c r="W12" s="623">
        <f t="shared" si="7"/>
        <v>0.48958333333333337</v>
      </c>
      <c r="X12" s="623">
        <f t="shared" si="7"/>
        <v>0.48958333333333337</v>
      </c>
      <c r="Y12" s="623">
        <f t="shared" si="7"/>
        <v>0.48958333333333337</v>
      </c>
      <c r="Z12" s="623">
        <f t="shared" si="7"/>
        <v>0.48958333333333337</v>
      </c>
      <c r="AA12" s="623">
        <f t="shared" si="7"/>
        <v>0.48958333333333337</v>
      </c>
      <c r="AB12" s="623">
        <f t="shared" si="7"/>
        <v>0.48958333333333337</v>
      </c>
      <c r="AC12" s="623">
        <f t="shared" si="7"/>
        <v>0.48958333333333337</v>
      </c>
      <c r="AD12" s="623">
        <f t="shared" ref="AD12" si="10">+IF(AD10="","",(AD11-AD10))</f>
        <v>0.48958333333333337</v>
      </c>
      <c r="AE12" s="180"/>
      <c r="AF12" s="624">
        <f>SUM(A12:AD12)</f>
        <v>9.7916666666666679</v>
      </c>
      <c r="AG12" s="557"/>
      <c r="AH12" s="625"/>
    </row>
    <row r="13" spans="1:254" s="172" customFormat="1" ht="9.9" customHeight="1" x14ac:dyDescent="0.4">
      <c r="A13" s="166"/>
      <c r="B13" s="175"/>
      <c r="C13" s="175"/>
      <c r="D13" s="175"/>
      <c r="E13" s="175"/>
      <c r="F13" s="175"/>
      <c r="G13" s="175"/>
      <c r="H13" s="175"/>
      <c r="I13" s="175"/>
      <c r="J13" s="175"/>
      <c r="K13" s="174"/>
      <c r="L13" s="174"/>
      <c r="M13" s="174"/>
      <c r="N13" s="174"/>
      <c r="O13" s="174"/>
      <c r="P13" s="174"/>
      <c r="Q13" s="174"/>
      <c r="R13" s="174"/>
      <c r="S13" s="174"/>
      <c r="T13" s="174"/>
      <c r="U13" s="174"/>
      <c r="V13" s="174"/>
      <c r="W13" s="174"/>
      <c r="X13" s="174"/>
      <c r="Y13" s="174"/>
      <c r="Z13" s="174"/>
      <c r="AA13" s="174"/>
      <c r="AB13" s="174"/>
      <c r="AC13" s="174"/>
      <c r="AD13" s="174"/>
      <c r="AE13" s="180"/>
      <c r="AF13" s="174"/>
    </row>
    <row r="14" spans="1:254" s="171" customFormat="1" ht="20.100000000000001" customHeight="1" x14ac:dyDescent="0.25">
      <c r="A14" s="616" t="s">
        <v>8</v>
      </c>
      <c r="B14" s="176"/>
      <c r="C14" s="176"/>
      <c r="D14" s="177"/>
      <c r="E14" s="177"/>
      <c r="F14" s="177"/>
      <c r="G14" s="177"/>
      <c r="H14" s="177"/>
      <c r="I14" s="177"/>
      <c r="J14" s="177"/>
      <c r="K14" s="176">
        <v>0.875</v>
      </c>
      <c r="L14" s="176">
        <v>0.875</v>
      </c>
      <c r="M14" s="176">
        <v>0.875</v>
      </c>
      <c r="N14" s="176">
        <v>0.875</v>
      </c>
      <c r="O14" s="176">
        <v>0.875</v>
      </c>
      <c r="P14" s="176">
        <v>0.875</v>
      </c>
      <c r="Q14" s="176">
        <v>0.875</v>
      </c>
      <c r="R14" s="176">
        <v>0.875</v>
      </c>
      <c r="S14" s="176">
        <v>0.875</v>
      </c>
      <c r="T14" s="176">
        <v>0.875</v>
      </c>
      <c r="U14" s="176">
        <v>0.875</v>
      </c>
      <c r="V14" s="176">
        <v>0.875</v>
      </c>
      <c r="W14" s="176">
        <v>0.875</v>
      </c>
      <c r="X14" s="176">
        <v>0.875</v>
      </c>
      <c r="Y14" s="176">
        <v>0.875</v>
      </c>
      <c r="Z14" s="176">
        <v>0.875</v>
      </c>
      <c r="AA14" s="176">
        <v>0.875</v>
      </c>
      <c r="AB14" s="176">
        <v>0.875</v>
      </c>
      <c r="AC14" s="176">
        <v>0.875</v>
      </c>
      <c r="AD14" s="176">
        <v>0.875</v>
      </c>
      <c r="AE14" s="173"/>
      <c r="AF14" s="176"/>
      <c r="BJ14" s="172"/>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row>
    <row r="15" spans="1:254" s="171" customFormat="1" ht="20.100000000000001" customHeight="1" thickBot="1" x14ac:dyDescent="0.3">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646"/>
      <c r="AF15" s="575"/>
      <c r="AG15" s="574"/>
      <c r="BJ15" s="172"/>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row>
    <row r="16" spans="1:254" s="163" customFormat="1" ht="15.6" hidden="1" thickBot="1" x14ac:dyDescent="0.3">
      <c r="A16" s="519" t="s">
        <v>19</v>
      </c>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2"/>
      <c r="AF16" s="167"/>
      <c r="BJ16" s="164"/>
      <c r="BK16" s="164"/>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row>
    <row r="17" spans="1:133" s="163" customFormat="1" ht="15.6" hidden="1" thickBot="1" x14ac:dyDescent="0.3">
      <c r="A17" s="519" t="s">
        <v>10</v>
      </c>
      <c r="B17" s="168">
        <f>COUNTIF(B14,"&gt;0")</f>
        <v>0</v>
      </c>
      <c r="C17" s="168">
        <f t="shared" ref="C17:AC17" si="11">COUNTIF(C14,"&gt;0")</f>
        <v>0</v>
      </c>
      <c r="D17" s="168">
        <f t="shared" si="11"/>
        <v>0</v>
      </c>
      <c r="E17" s="168">
        <f t="shared" ref="E17" si="12">COUNTIF(E14,"&gt;0")</f>
        <v>0</v>
      </c>
      <c r="F17" s="168">
        <f t="shared" si="11"/>
        <v>0</v>
      </c>
      <c r="G17" s="168">
        <f t="shared" si="11"/>
        <v>0</v>
      </c>
      <c r="H17" s="168">
        <f t="shared" si="11"/>
        <v>0</v>
      </c>
      <c r="I17" s="168">
        <f t="shared" ref="I17" si="13">COUNTIF(I14,"&gt;0")</f>
        <v>0</v>
      </c>
      <c r="J17" s="168">
        <f t="shared" si="11"/>
        <v>0</v>
      </c>
      <c r="K17" s="168">
        <f t="shared" si="11"/>
        <v>1</v>
      </c>
      <c r="L17" s="168">
        <f t="shared" si="11"/>
        <v>1</v>
      </c>
      <c r="M17" s="168">
        <f t="shared" si="11"/>
        <v>1</v>
      </c>
      <c r="N17" s="168">
        <f t="shared" si="11"/>
        <v>1</v>
      </c>
      <c r="O17" s="168">
        <f t="shared" si="11"/>
        <v>1</v>
      </c>
      <c r="P17" s="168">
        <f t="shared" si="11"/>
        <v>1</v>
      </c>
      <c r="Q17" s="168">
        <f t="shared" si="11"/>
        <v>1</v>
      </c>
      <c r="R17" s="168">
        <f t="shared" si="11"/>
        <v>1</v>
      </c>
      <c r="S17" s="168">
        <f t="shared" si="11"/>
        <v>1</v>
      </c>
      <c r="T17" s="168">
        <f t="shared" si="11"/>
        <v>1</v>
      </c>
      <c r="U17" s="168">
        <f t="shared" si="11"/>
        <v>1</v>
      </c>
      <c r="V17" s="168">
        <f t="shared" si="11"/>
        <v>1</v>
      </c>
      <c r="W17" s="168">
        <f t="shared" si="11"/>
        <v>1</v>
      </c>
      <c r="X17" s="168">
        <f t="shared" si="11"/>
        <v>1</v>
      </c>
      <c r="Y17" s="168">
        <f t="shared" si="11"/>
        <v>1</v>
      </c>
      <c r="Z17" s="168">
        <f t="shared" si="11"/>
        <v>1</v>
      </c>
      <c r="AA17" s="168">
        <f t="shared" si="11"/>
        <v>1</v>
      </c>
      <c r="AB17" s="168">
        <f t="shared" si="11"/>
        <v>1</v>
      </c>
      <c r="AC17" s="168">
        <f t="shared" si="11"/>
        <v>1</v>
      </c>
      <c r="AD17" s="168">
        <f t="shared" ref="AD17" si="14">COUNTIF(AD14,"&gt;0")</f>
        <v>1</v>
      </c>
      <c r="AE17" s="162"/>
      <c r="BJ17" s="164"/>
      <c r="BK17" s="164"/>
      <c r="BL17" s="164"/>
      <c r="BM17" s="164"/>
      <c r="BN17" s="164"/>
      <c r="BO17" s="164"/>
      <c r="BP17" s="164"/>
      <c r="BQ17" s="164"/>
      <c r="BR17" s="164"/>
      <c r="BS17" s="164"/>
      <c r="BT17" s="164"/>
      <c r="BU17" s="164"/>
      <c r="BV17" s="164"/>
      <c r="BW17" s="164"/>
      <c r="BX17" s="164"/>
      <c r="BY17" s="164"/>
      <c r="BZ17" s="164"/>
      <c r="CA17" s="164"/>
      <c r="CB17" s="164"/>
      <c r="CC17" s="164"/>
      <c r="CD17" s="164"/>
      <c r="CE17" s="164"/>
      <c r="CF17" s="164"/>
      <c r="CG17" s="164"/>
      <c r="CH17" s="164"/>
      <c r="CI17" s="164"/>
      <c r="CJ17" s="164"/>
      <c r="CK17" s="164"/>
      <c r="CL17" s="164"/>
      <c r="CM17" s="164"/>
      <c r="CN17" s="164"/>
      <c r="CO17" s="164"/>
      <c r="CP17" s="164"/>
      <c r="CQ17" s="164"/>
      <c r="CR17" s="164"/>
      <c r="CS17" s="164"/>
      <c r="CT17" s="164"/>
      <c r="CU17" s="164"/>
      <c r="CV17" s="164"/>
      <c r="CW17" s="164"/>
      <c r="CX17" s="164"/>
      <c r="CY17" s="164"/>
      <c r="CZ17" s="164"/>
      <c r="DA17" s="164"/>
      <c r="DB17" s="164"/>
      <c r="DC17" s="164"/>
      <c r="DD17" s="164"/>
      <c r="DE17" s="164"/>
      <c r="DF17" s="164"/>
      <c r="DG17" s="164"/>
      <c r="DH17" s="164"/>
      <c r="DI17" s="164"/>
      <c r="DJ17" s="164"/>
      <c r="DK17" s="164"/>
      <c r="DL17" s="164"/>
      <c r="DM17" s="164"/>
      <c r="DN17" s="164"/>
      <c r="DO17" s="164"/>
      <c r="DP17" s="164"/>
      <c r="DQ17" s="164"/>
      <c r="DR17" s="164"/>
      <c r="DS17" s="164"/>
      <c r="DT17" s="164"/>
      <c r="DU17" s="164"/>
      <c r="DV17" s="164"/>
      <c r="DW17" s="164"/>
      <c r="DX17" s="164"/>
      <c r="DY17" s="164"/>
      <c r="DZ17" s="164"/>
      <c r="EA17" s="164"/>
      <c r="EB17" s="164"/>
      <c r="EC17" s="164"/>
    </row>
    <row r="18" spans="1:133" s="163" customFormat="1" ht="15.6" hidden="1" thickBot="1" x14ac:dyDescent="0.3">
      <c r="A18" s="519" t="s">
        <v>11</v>
      </c>
      <c r="B18" s="168">
        <f>COUNTIF(B15,"&gt;0")</f>
        <v>0</v>
      </c>
      <c r="C18" s="168">
        <f t="shared" ref="C18:AC18" si="15">COUNTIF(C15,"&gt;0")</f>
        <v>0</v>
      </c>
      <c r="D18" s="168">
        <f t="shared" si="15"/>
        <v>0</v>
      </c>
      <c r="E18" s="168">
        <f t="shared" ref="E18" si="16">COUNTIF(E15,"&gt;0")</f>
        <v>0</v>
      </c>
      <c r="F18" s="168">
        <f t="shared" si="15"/>
        <v>0</v>
      </c>
      <c r="G18" s="168">
        <f t="shared" si="15"/>
        <v>0</v>
      </c>
      <c r="H18" s="168">
        <f t="shared" si="15"/>
        <v>0</v>
      </c>
      <c r="I18" s="168">
        <f t="shared" ref="I18" si="17">COUNTIF(I15,"&gt;0")</f>
        <v>0</v>
      </c>
      <c r="J18" s="168">
        <f t="shared" si="15"/>
        <v>0</v>
      </c>
      <c r="K18" s="168">
        <f t="shared" si="15"/>
        <v>0</v>
      </c>
      <c r="L18" s="168">
        <f t="shared" si="15"/>
        <v>0</v>
      </c>
      <c r="M18" s="168">
        <f t="shared" si="15"/>
        <v>0</v>
      </c>
      <c r="N18" s="168">
        <f t="shared" si="15"/>
        <v>0</v>
      </c>
      <c r="O18" s="168">
        <f t="shared" si="15"/>
        <v>0</v>
      </c>
      <c r="P18" s="168">
        <f t="shared" si="15"/>
        <v>0</v>
      </c>
      <c r="Q18" s="168">
        <f t="shared" si="15"/>
        <v>0</v>
      </c>
      <c r="R18" s="168">
        <f t="shared" si="15"/>
        <v>0</v>
      </c>
      <c r="S18" s="168">
        <f t="shared" si="15"/>
        <v>0</v>
      </c>
      <c r="T18" s="168">
        <f t="shared" si="15"/>
        <v>0</v>
      </c>
      <c r="U18" s="168">
        <f t="shared" si="15"/>
        <v>0</v>
      </c>
      <c r="V18" s="168">
        <f t="shared" si="15"/>
        <v>0</v>
      </c>
      <c r="W18" s="168">
        <f t="shared" si="15"/>
        <v>0</v>
      </c>
      <c r="X18" s="168">
        <f t="shared" si="15"/>
        <v>0</v>
      </c>
      <c r="Y18" s="168">
        <f t="shared" si="15"/>
        <v>0</v>
      </c>
      <c r="Z18" s="168">
        <f t="shared" si="15"/>
        <v>0</v>
      </c>
      <c r="AA18" s="168">
        <f t="shared" si="15"/>
        <v>0</v>
      </c>
      <c r="AB18" s="168">
        <f t="shared" si="15"/>
        <v>0</v>
      </c>
      <c r="AC18" s="168">
        <f t="shared" si="15"/>
        <v>0</v>
      </c>
      <c r="AD18" s="168">
        <f t="shared" ref="AD18" si="18">COUNTIF(AD15,"&gt;0")</f>
        <v>0</v>
      </c>
      <c r="AE18" s="162"/>
      <c r="BJ18" s="164"/>
      <c r="BK18" s="164"/>
      <c r="BL18" s="164"/>
      <c r="BM18" s="164"/>
      <c r="BN18" s="164"/>
      <c r="BO18" s="164"/>
      <c r="BP18" s="164"/>
      <c r="BQ18" s="164"/>
      <c r="BR18" s="164"/>
      <c r="BS18" s="164"/>
      <c r="BT18" s="164"/>
      <c r="BU18" s="164"/>
      <c r="BV18" s="164"/>
      <c r="BW18" s="164"/>
      <c r="BX18" s="164"/>
      <c r="BY18" s="164"/>
      <c r="BZ18" s="164"/>
      <c r="CA18" s="164"/>
      <c r="CB18" s="164"/>
      <c r="CC18" s="164"/>
      <c r="CD18" s="164"/>
      <c r="CE18" s="164"/>
      <c r="CF18" s="164"/>
      <c r="CG18" s="164"/>
      <c r="CH18" s="164"/>
      <c r="CI18" s="164"/>
      <c r="CJ18" s="164"/>
      <c r="CK18" s="164"/>
      <c r="CL18" s="164"/>
      <c r="CM18" s="164"/>
      <c r="CN18" s="164"/>
      <c r="CO18" s="164"/>
      <c r="CP18" s="164"/>
      <c r="CQ18" s="164"/>
      <c r="CR18" s="164"/>
      <c r="CS18" s="164"/>
      <c r="CT18" s="164"/>
      <c r="CU18" s="164"/>
      <c r="CV18" s="164"/>
      <c r="CW18" s="164"/>
      <c r="CX18" s="164"/>
      <c r="CY18" s="164"/>
      <c r="CZ18" s="164"/>
      <c r="DA18" s="164"/>
      <c r="DB18" s="164"/>
      <c r="DC18" s="164"/>
      <c r="DD18" s="164"/>
      <c r="DE18" s="164"/>
      <c r="DF18" s="164"/>
      <c r="DG18" s="164"/>
      <c r="DH18" s="164"/>
      <c r="DI18" s="164"/>
      <c r="DJ18" s="164"/>
      <c r="DK18" s="164"/>
      <c r="DL18" s="164"/>
      <c r="DM18" s="164"/>
      <c r="DN18" s="164"/>
      <c r="DO18" s="164"/>
      <c r="DP18" s="164"/>
      <c r="DQ18" s="164"/>
      <c r="DR18" s="164"/>
      <c r="DS18" s="164"/>
      <c r="DT18" s="164"/>
      <c r="DU18" s="164"/>
      <c r="DV18" s="164"/>
      <c r="DW18" s="164"/>
      <c r="DX18" s="164"/>
      <c r="DY18" s="164"/>
      <c r="DZ18" s="164"/>
      <c r="EA18" s="164"/>
      <c r="EB18" s="164"/>
      <c r="EC18" s="164"/>
    </row>
    <row r="19" spans="1:133" s="163" customFormat="1" ht="15.6" hidden="1" thickBot="1" x14ac:dyDescent="0.3">
      <c r="A19" s="519" t="s">
        <v>20</v>
      </c>
      <c r="B19" s="168">
        <f>COUNTIF(B16,"&gt;0")</f>
        <v>0</v>
      </c>
      <c r="C19" s="168">
        <f t="shared" ref="C19:AC19" si="19">COUNTIF(C16,"&gt;0")</f>
        <v>0</v>
      </c>
      <c r="D19" s="168">
        <f t="shared" si="19"/>
        <v>0</v>
      </c>
      <c r="E19" s="168">
        <f t="shared" ref="E19" si="20">COUNTIF(E16,"&gt;0")</f>
        <v>0</v>
      </c>
      <c r="F19" s="168">
        <f t="shared" si="19"/>
        <v>0</v>
      </c>
      <c r="G19" s="168">
        <f t="shared" si="19"/>
        <v>0</v>
      </c>
      <c r="H19" s="168">
        <f t="shared" si="19"/>
        <v>0</v>
      </c>
      <c r="I19" s="168">
        <f t="shared" ref="I19" si="21">COUNTIF(I16,"&gt;0")</f>
        <v>0</v>
      </c>
      <c r="J19" s="168">
        <f t="shared" si="19"/>
        <v>0</v>
      </c>
      <c r="K19" s="168">
        <f t="shared" si="19"/>
        <v>0</v>
      </c>
      <c r="L19" s="168">
        <f t="shared" si="19"/>
        <v>0</v>
      </c>
      <c r="M19" s="168">
        <f t="shared" si="19"/>
        <v>0</v>
      </c>
      <c r="N19" s="168">
        <f t="shared" si="19"/>
        <v>0</v>
      </c>
      <c r="O19" s="168">
        <f t="shared" si="19"/>
        <v>0</v>
      </c>
      <c r="P19" s="168">
        <f t="shared" si="19"/>
        <v>0</v>
      </c>
      <c r="Q19" s="168">
        <f t="shared" si="19"/>
        <v>0</v>
      </c>
      <c r="R19" s="168">
        <f t="shared" si="19"/>
        <v>0</v>
      </c>
      <c r="S19" s="168">
        <f t="shared" si="19"/>
        <v>0</v>
      </c>
      <c r="T19" s="168">
        <f t="shared" si="19"/>
        <v>0</v>
      </c>
      <c r="U19" s="168">
        <f t="shared" si="19"/>
        <v>0</v>
      </c>
      <c r="V19" s="168">
        <f t="shared" si="19"/>
        <v>0</v>
      </c>
      <c r="W19" s="168">
        <f t="shared" si="19"/>
        <v>0</v>
      </c>
      <c r="X19" s="168">
        <f t="shared" si="19"/>
        <v>0</v>
      </c>
      <c r="Y19" s="168">
        <f t="shared" si="19"/>
        <v>0</v>
      </c>
      <c r="Z19" s="168">
        <f t="shared" si="19"/>
        <v>0</v>
      </c>
      <c r="AA19" s="168">
        <f t="shared" si="19"/>
        <v>0</v>
      </c>
      <c r="AB19" s="168">
        <f t="shared" si="19"/>
        <v>0</v>
      </c>
      <c r="AC19" s="168">
        <f t="shared" si="19"/>
        <v>0</v>
      </c>
      <c r="AD19" s="168">
        <f t="shared" ref="AD19" si="22">COUNTIF(AD16,"&gt;0")</f>
        <v>0</v>
      </c>
      <c r="AE19" s="162"/>
      <c r="BJ19" s="164"/>
      <c r="BK19" s="164"/>
      <c r="BL19" s="164"/>
      <c r="BM19" s="164"/>
      <c r="BN19" s="164"/>
      <c r="BO19" s="164"/>
      <c r="BP19" s="164"/>
      <c r="BQ19" s="164"/>
      <c r="BR19" s="164"/>
      <c r="BS19" s="164"/>
      <c r="BT19" s="164"/>
      <c r="BU19" s="164"/>
      <c r="BV19" s="164"/>
      <c r="BW19" s="164"/>
      <c r="BX19" s="164"/>
      <c r="BY19" s="164"/>
      <c r="BZ19" s="164"/>
      <c r="CA19" s="164"/>
      <c r="CB19" s="164"/>
      <c r="CC19" s="164"/>
      <c r="CD19" s="164"/>
      <c r="CE19" s="164"/>
      <c r="CF19" s="164"/>
      <c r="CG19" s="164"/>
      <c r="CH19" s="164"/>
      <c r="CI19" s="164"/>
      <c r="CJ19" s="164"/>
      <c r="CK19" s="164"/>
      <c r="CL19" s="164"/>
      <c r="CM19" s="164"/>
      <c r="CN19" s="164"/>
      <c r="CO19" s="164"/>
      <c r="CP19" s="164"/>
      <c r="CQ19" s="164"/>
      <c r="CR19" s="164"/>
      <c r="CS19" s="164"/>
      <c r="CT19" s="164"/>
      <c r="CU19" s="164"/>
      <c r="CV19" s="164"/>
      <c r="CW19" s="164"/>
      <c r="CX19" s="164"/>
      <c r="CY19" s="164"/>
      <c r="CZ19" s="164"/>
      <c r="DA19" s="164"/>
      <c r="DB19" s="164"/>
      <c r="DC19" s="164"/>
      <c r="DD19" s="164"/>
      <c r="DE19" s="164"/>
      <c r="DF19" s="164"/>
      <c r="DG19" s="164"/>
      <c r="DH19" s="164"/>
      <c r="DI19" s="164"/>
      <c r="DJ19" s="164"/>
      <c r="DK19" s="164"/>
      <c r="DL19" s="164"/>
      <c r="DM19" s="164"/>
      <c r="DN19" s="164"/>
      <c r="DO19" s="164"/>
      <c r="DP19" s="164"/>
      <c r="DQ19" s="164"/>
      <c r="DR19" s="164"/>
      <c r="DS19" s="164"/>
      <c r="DT19" s="164"/>
      <c r="DU19" s="164"/>
      <c r="DV19" s="164"/>
      <c r="DW19" s="164"/>
      <c r="DX19" s="164"/>
      <c r="DY19" s="164"/>
      <c r="DZ19" s="164"/>
      <c r="EA19" s="164"/>
      <c r="EB19" s="164"/>
      <c r="EC19" s="164"/>
    </row>
    <row r="20" spans="1:133" s="163" customFormat="1" ht="20.100000000000001" customHeight="1" thickBot="1" x14ac:dyDescent="0.3">
      <c r="A20" s="616" t="s">
        <v>12</v>
      </c>
      <c r="B20" s="618" t="str">
        <f t="shared" ref="B20:AC20" si="23">IF(B14="","",SUM(B17:B19))</f>
        <v/>
      </c>
      <c r="C20" s="618" t="str">
        <f t="shared" si="23"/>
        <v/>
      </c>
      <c r="D20" s="618" t="str">
        <f t="shared" si="23"/>
        <v/>
      </c>
      <c r="E20" s="618" t="str">
        <f t="shared" si="23"/>
        <v/>
      </c>
      <c r="F20" s="618" t="str">
        <f t="shared" si="23"/>
        <v/>
      </c>
      <c r="G20" s="618" t="str">
        <f t="shared" si="23"/>
        <v/>
      </c>
      <c r="H20" s="618" t="str">
        <f t="shared" si="23"/>
        <v/>
      </c>
      <c r="I20" s="618" t="str">
        <f t="shared" si="23"/>
        <v/>
      </c>
      <c r="J20" s="618" t="str">
        <f t="shared" si="23"/>
        <v/>
      </c>
      <c r="K20" s="618">
        <f t="shared" si="23"/>
        <v>1</v>
      </c>
      <c r="L20" s="618">
        <f t="shared" si="23"/>
        <v>1</v>
      </c>
      <c r="M20" s="618">
        <f t="shared" si="23"/>
        <v>1</v>
      </c>
      <c r="N20" s="618">
        <f t="shared" si="23"/>
        <v>1</v>
      </c>
      <c r="O20" s="618">
        <f t="shared" si="23"/>
        <v>1</v>
      </c>
      <c r="P20" s="618">
        <f t="shared" si="23"/>
        <v>1</v>
      </c>
      <c r="Q20" s="618">
        <f t="shared" si="23"/>
        <v>1</v>
      </c>
      <c r="R20" s="618">
        <f t="shared" si="23"/>
        <v>1</v>
      </c>
      <c r="S20" s="618">
        <f t="shared" si="23"/>
        <v>1</v>
      </c>
      <c r="T20" s="618">
        <f t="shared" si="23"/>
        <v>1</v>
      </c>
      <c r="U20" s="618">
        <f t="shared" si="23"/>
        <v>1</v>
      </c>
      <c r="V20" s="618">
        <f t="shared" si="23"/>
        <v>1</v>
      </c>
      <c r="W20" s="618">
        <f t="shared" si="23"/>
        <v>1</v>
      </c>
      <c r="X20" s="618">
        <f t="shared" si="23"/>
        <v>1</v>
      </c>
      <c r="Y20" s="618">
        <f t="shared" si="23"/>
        <v>1</v>
      </c>
      <c r="Z20" s="618">
        <f t="shared" si="23"/>
        <v>1</v>
      </c>
      <c r="AA20" s="618">
        <f t="shared" si="23"/>
        <v>1</v>
      </c>
      <c r="AB20" s="618">
        <f t="shared" si="23"/>
        <v>1</v>
      </c>
      <c r="AC20" s="618">
        <f t="shared" si="23"/>
        <v>1</v>
      </c>
      <c r="AD20" s="618">
        <f t="shared" ref="AD20" si="24">IF(AD14="","",SUM(AD17:AD19))</f>
        <v>1</v>
      </c>
      <c r="AE20" s="162"/>
      <c r="AF20" s="619">
        <f>SUM(A20:AD20)</f>
        <v>20</v>
      </c>
      <c r="AH20" s="621"/>
      <c r="BJ20" s="164"/>
      <c r="BK20" s="164"/>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row>
    <row r="21" spans="1:133"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162"/>
      <c r="AF21" s="34"/>
    </row>
    <row r="22" spans="1:133" s="31" customFormat="1" ht="33.9" customHeight="1" x14ac:dyDescent="0.25">
      <c r="A22" s="588" t="s">
        <v>21</v>
      </c>
      <c r="B22" s="608"/>
      <c r="C22" s="608"/>
      <c r="D22" s="608"/>
      <c r="E22" s="608"/>
      <c r="F22" s="608"/>
      <c r="G22" s="608"/>
      <c r="H22" s="608"/>
      <c r="I22" s="608"/>
      <c r="J22" s="608"/>
      <c r="K22" s="608">
        <v>800</v>
      </c>
      <c r="L22" s="608">
        <v>800</v>
      </c>
      <c r="M22" s="608">
        <v>500</v>
      </c>
      <c r="N22" s="608">
        <v>600</v>
      </c>
      <c r="O22" s="608">
        <v>500</v>
      </c>
      <c r="P22" s="608">
        <v>600</v>
      </c>
      <c r="Q22" s="608">
        <v>600</v>
      </c>
      <c r="R22" s="608">
        <v>1700</v>
      </c>
      <c r="S22" s="608">
        <v>1400</v>
      </c>
      <c r="T22" s="608">
        <v>1100</v>
      </c>
      <c r="U22" s="608">
        <v>1100</v>
      </c>
      <c r="V22" s="608">
        <v>1100</v>
      </c>
      <c r="W22" s="608">
        <v>1200</v>
      </c>
      <c r="X22" s="608">
        <v>1100</v>
      </c>
      <c r="Y22" s="608">
        <v>1800</v>
      </c>
      <c r="Z22" s="608">
        <v>1500</v>
      </c>
      <c r="AA22" s="608">
        <v>1400</v>
      </c>
      <c r="AB22" s="608">
        <v>1400</v>
      </c>
      <c r="AC22" s="608">
        <v>1200</v>
      </c>
      <c r="AD22" s="608">
        <v>1000</v>
      </c>
      <c r="AE22" s="608"/>
      <c r="AF22" s="608">
        <f>SUM(B22:AD22)</f>
        <v>21400</v>
      </c>
      <c r="AG22" s="572"/>
      <c r="AH22" s="612"/>
    </row>
    <row r="23" spans="1:133" s="31" customFormat="1" ht="33.9" customHeight="1" x14ac:dyDescent="0.25">
      <c r="A23" s="590" t="s">
        <v>22</v>
      </c>
      <c r="B23" s="609"/>
      <c r="C23" s="609"/>
      <c r="D23" s="609"/>
      <c r="E23" s="609"/>
      <c r="F23" s="609"/>
      <c r="G23" s="609"/>
      <c r="H23" s="609"/>
      <c r="I23" s="609"/>
      <c r="J23" s="609"/>
      <c r="K23" s="609">
        <v>3100</v>
      </c>
      <c r="L23" s="609">
        <v>2800</v>
      </c>
      <c r="M23" s="609">
        <v>2100</v>
      </c>
      <c r="N23" s="609">
        <v>2400</v>
      </c>
      <c r="O23" s="609">
        <v>2300</v>
      </c>
      <c r="P23" s="609">
        <v>2300</v>
      </c>
      <c r="Q23" s="609">
        <v>2400</v>
      </c>
      <c r="R23" s="609">
        <v>5300</v>
      </c>
      <c r="S23" s="609">
        <v>4600</v>
      </c>
      <c r="T23" s="609">
        <v>5000</v>
      </c>
      <c r="U23" s="609">
        <v>6000</v>
      </c>
      <c r="V23" s="609">
        <v>5100</v>
      </c>
      <c r="W23" s="609">
        <v>4300</v>
      </c>
      <c r="X23" s="609">
        <v>3500</v>
      </c>
      <c r="Y23" s="609">
        <v>6000</v>
      </c>
      <c r="Z23" s="609">
        <v>5000</v>
      </c>
      <c r="AA23" s="609">
        <v>6000</v>
      </c>
      <c r="AB23" s="609">
        <v>6300</v>
      </c>
      <c r="AC23" s="609">
        <v>5400</v>
      </c>
      <c r="AD23" s="609">
        <v>5000</v>
      </c>
      <c r="AE23" s="609"/>
      <c r="AF23" s="609">
        <f t="shared" ref="AF23:AF32" si="25">SUM(B23:AD23)</f>
        <v>84900</v>
      </c>
      <c r="AG23" s="525"/>
      <c r="AH23" s="613"/>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row>
    <row r="24" spans="1:133" s="516" customFormat="1" ht="33.9" customHeight="1" x14ac:dyDescent="0.25">
      <c r="A24" s="592" t="s">
        <v>29</v>
      </c>
      <c r="B24" s="610">
        <v>0</v>
      </c>
      <c r="C24" s="610">
        <v>0</v>
      </c>
      <c r="D24" s="610">
        <v>0</v>
      </c>
      <c r="E24" s="610">
        <v>0</v>
      </c>
      <c r="F24" s="610">
        <v>0</v>
      </c>
      <c r="G24" s="610">
        <v>0</v>
      </c>
      <c r="H24" s="610">
        <v>0</v>
      </c>
      <c r="I24" s="610">
        <v>0</v>
      </c>
      <c r="J24" s="610">
        <v>0</v>
      </c>
      <c r="K24" s="610">
        <v>3900</v>
      </c>
      <c r="L24" s="610">
        <v>3600</v>
      </c>
      <c r="M24" s="610">
        <v>2600</v>
      </c>
      <c r="N24" s="610">
        <v>3000</v>
      </c>
      <c r="O24" s="610">
        <v>2800</v>
      </c>
      <c r="P24" s="610">
        <v>2900</v>
      </c>
      <c r="Q24" s="610">
        <v>3000</v>
      </c>
      <c r="R24" s="610">
        <v>7000</v>
      </c>
      <c r="S24" s="610">
        <v>6000</v>
      </c>
      <c r="T24" s="610">
        <v>6100</v>
      </c>
      <c r="U24" s="610">
        <v>7100</v>
      </c>
      <c r="V24" s="610">
        <v>6200</v>
      </c>
      <c r="W24" s="610">
        <v>5500</v>
      </c>
      <c r="X24" s="610">
        <v>4600</v>
      </c>
      <c r="Y24" s="610">
        <v>7800</v>
      </c>
      <c r="Z24" s="610">
        <v>6500</v>
      </c>
      <c r="AA24" s="610">
        <v>7400</v>
      </c>
      <c r="AB24" s="610">
        <v>7700</v>
      </c>
      <c r="AC24" s="610">
        <v>6600</v>
      </c>
      <c r="AD24" s="610">
        <v>6000</v>
      </c>
      <c r="AE24" s="610"/>
      <c r="AF24" s="610">
        <f t="shared" si="25"/>
        <v>106300</v>
      </c>
      <c r="AG24" s="515"/>
      <c r="AH24" s="614"/>
      <c r="BJ24" s="517"/>
      <c r="BK24" s="517"/>
      <c r="BL24" s="517"/>
      <c r="BM24" s="517"/>
      <c r="BN24" s="517"/>
      <c r="BO24" s="517"/>
      <c r="BP24" s="517"/>
      <c r="BQ24" s="517"/>
      <c r="BR24" s="517"/>
      <c r="BS24" s="517"/>
      <c r="BT24" s="517"/>
      <c r="BU24" s="517"/>
      <c r="BV24" s="517"/>
      <c r="BW24" s="517"/>
      <c r="BX24" s="517"/>
      <c r="BY24" s="517"/>
      <c r="BZ24" s="517"/>
      <c r="CA24" s="517"/>
      <c r="CB24" s="517"/>
      <c r="CC24" s="517"/>
      <c r="CD24" s="517"/>
      <c r="CE24" s="517"/>
      <c r="CF24" s="517"/>
      <c r="CG24" s="517"/>
      <c r="CH24" s="517"/>
      <c r="CI24" s="517"/>
      <c r="CJ24" s="517"/>
      <c r="CK24" s="517"/>
      <c r="CL24" s="517"/>
      <c r="CM24" s="517"/>
      <c r="CN24" s="517"/>
      <c r="CO24" s="517"/>
      <c r="CP24" s="517"/>
      <c r="CQ24" s="517"/>
      <c r="CR24" s="517"/>
      <c r="CS24" s="517"/>
      <c r="CT24" s="517"/>
      <c r="CU24" s="517"/>
      <c r="CV24" s="517"/>
      <c r="CW24" s="517"/>
      <c r="CX24" s="517"/>
      <c r="CY24" s="517"/>
      <c r="CZ24" s="517"/>
      <c r="DA24" s="517"/>
      <c r="DB24" s="517"/>
      <c r="DC24" s="517"/>
      <c r="DD24" s="517"/>
      <c r="DE24" s="517"/>
      <c r="DF24" s="517"/>
      <c r="DG24" s="517"/>
      <c r="DH24" s="517"/>
      <c r="DI24" s="517"/>
      <c r="DJ24" s="517"/>
      <c r="DK24" s="517"/>
      <c r="DL24" s="517"/>
      <c r="DM24" s="517"/>
      <c r="DN24" s="517"/>
      <c r="DO24" s="517"/>
      <c r="DP24" s="517"/>
      <c r="DQ24" s="517"/>
      <c r="DR24" s="517"/>
      <c r="DS24" s="517"/>
      <c r="DT24" s="517"/>
      <c r="DU24" s="517"/>
      <c r="DV24" s="517"/>
      <c r="DW24" s="517"/>
      <c r="DX24" s="517"/>
      <c r="DY24" s="517"/>
      <c r="DZ24" s="517"/>
      <c r="EA24" s="517"/>
      <c r="EB24" s="517"/>
      <c r="EC24" s="517"/>
    </row>
    <row r="25" spans="1:133" s="31" customFormat="1" ht="33.9" customHeight="1" x14ac:dyDescent="0.25">
      <c r="A25" s="588" t="s">
        <v>43</v>
      </c>
      <c r="B25" s="608"/>
      <c r="C25" s="608"/>
      <c r="D25" s="608"/>
      <c r="E25" s="608"/>
      <c r="F25" s="608"/>
      <c r="G25" s="608"/>
      <c r="H25" s="608"/>
      <c r="I25" s="608"/>
      <c r="J25" s="608"/>
      <c r="K25" s="608">
        <v>180</v>
      </c>
      <c r="L25" s="608">
        <v>100</v>
      </c>
      <c r="M25" s="608">
        <v>40</v>
      </c>
      <c r="N25" s="608">
        <v>0</v>
      </c>
      <c r="O25" s="608">
        <v>0</v>
      </c>
      <c r="P25" s="608">
        <v>0</v>
      </c>
      <c r="Q25" s="608">
        <v>0</v>
      </c>
      <c r="R25" s="608">
        <v>440</v>
      </c>
      <c r="S25" s="608">
        <v>440</v>
      </c>
      <c r="T25" s="608">
        <v>60</v>
      </c>
      <c r="U25" s="608">
        <v>140</v>
      </c>
      <c r="V25" s="608">
        <v>130</v>
      </c>
      <c r="W25" s="608">
        <v>140</v>
      </c>
      <c r="X25" s="608">
        <v>0</v>
      </c>
      <c r="Y25" s="608">
        <v>410</v>
      </c>
      <c r="Z25" s="608">
        <v>400</v>
      </c>
      <c r="AA25" s="608">
        <v>30</v>
      </c>
      <c r="AB25" s="608">
        <v>0</v>
      </c>
      <c r="AC25" s="608">
        <v>0</v>
      </c>
      <c r="AD25" s="608">
        <v>0</v>
      </c>
      <c r="AE25" s="608"/>
      <c r="AF25" s="608">
        <f t="shared" si="25"/>
        <v>2510</v>
      </c>
      <c r="AG25" s="572"/>
      <c r="AH25" s="612"/>
    </row>
    <row r="26" spans="1:133" s="31" customFormat="1" ht="33.9" customHeight="1" x14ac:dyDescent="0.25">
      <c r="A26" s="590" t="s">
        <v>44</v>
      </c>
      <c r="B26" s="609"/>
      <c r="C26" s="609"/>
      <c r="D26" s="609"/>
      <c r="E26" s="609"/>
      <c r="F26" s="609"/>
      <c r="G26" s="609"/>
      <c r="H26" s="609"/>
      <c r="I26" s="609"/>
      <c r="J26" s="609"/>
      <c r="K26" s="609">
        <v>90</v>
      </c>
      <c r="L26" s="609">
        <v>330</v>
      </c>
      <c r="M26" s="609">
        <v>320</v>
      </c>
      <c r="N26" s="609">
        <v>360</v>
      </c>
      <c r="O26" s="609">
        <v>430</v>
      </c>
      <c r="P26" s="609">
        <v>660</v>
      </c>
      <c r="Q26" s="609">
        <v>130</v>
      </c>
      <c r="R26" s="609">
        <v>270</v>
      </c>
      <c r="S26" s="609">
        <v>0</v>
      </c>
      <c r="T26" s="609">
        <v>80</v>
      </c>
      <c r="U26" s="609">
        <v>100</v>
      </c>
      <c r="V26" s="609">
        <v>280</v>
      </c>
      <c r="W26" s="609">
        <v>250</v>
      </c>
      <c r="X26" s="609">
        <v>150</v>
      </c>
      <c r="Y26" s="609">
        <v>50</v>
      </c>
      <c r="Z26" s="609">
        <v>200</v>
      </c>
      <c r="AA26" s="609">
        <v>50</v>
      </c>
      <c r="AB26" s="609">
        <v>160</v>
      </c>
      <c r="AC26" s="609">
        <v>210</v>
      </c>
      <c r="AD26" s="609">
        <v>470</v>
      </c>
      <c r="AE26" s="609"/>
      <c r="AF26" s="609">
        <f t="shared" si="25"/>
        <v>4590</v>
      </c>
      <c r="AG26" s="525"/>
      <c r="AH26" s="613"/>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32"/>
      <c r="DC26" s="32"/>
      <c r="DD26" s="32"/>
      <c r="DE26" s="32"/>
      <c r="DF26" s="32"/>
      <c r="DG26" s="32"/>
      <c r="DH26" s="32"/>
      <c r="DI26" s="32"/>
      <c r="DJ26" s="32"/>
      <c r="DK26" s="32"/>
      <c r="DL26" s="32"/>
      <c r="DM26" s="32"/>
      <c r="DN26" s="32"/>
      <c r="DO26" s="32"/>
      <c r="DP26" s="32"/>
      <c r="DQ26" s="32"/>
      <c r="DR26" s="32"/>
      <c r="DS26" s="32"/>
      <c r="DT26" s="32"/>
      <c r="DU26" s="32"/>
      <c r="DV26" s="32"/>
      <c r="DW26" s="32"/>
      <c r="DX26" s="32"/>
      <c r="DY26" s="32"/>
      <c r="DZ26" s="32"/>
      <c r="EA26" s="32"/>
      <c r="EB26" s="32"/>
      <c r="EC26" s="32"/>
    </row>
    <row r="27" spans="1:133" s="516" customFormat="1" ht="33.9" customHeight="1" x14ac:dyDescent="0.25">
      <c r="A27" s="592" t="s">
        <v>14</v>
      </c>
      <c r="B27" s="610">
        <v>0</v>
      </c>
      <c r="C27" s="610">
        <v>0</v>
      </c>
      <c r="D27" s="610">
        <v>0</v>
      </c>
      <c r="E27" s="610">
        <v>0</v>
      </c>
      <c r="F27" s="610">
        <v>0</v>
      </c>
      <c r="G27" s="610">
        <v>0</v>
      </c>
      <c r="H27" s="610">
        <v>0</v>
      </c>
      <c r="I27" s="610">
        <v>0</v>
      </c>
      <c r="J27" s="610">
        <v>0</v>
      </c>
      <c r="K27" s="610">
        <v>270</v>
      </c>
      <c r="L27" s="610">
        <v>430</v>
      </c>
      <c r="M27" s="610">
        <v>360</v>
      </c>
      <c r="N27" s="610">
        <v>360</v>
      </c>
      <c r="O27" s="610">
        <v>430</v>
      </c>
      <c r="P27" s="610">
        <v>660</v>
      </c>
      <c r="Q27" s="610">
        <v>130</v>
      </c>
      <c r="R27" s="610">
        <v>710</v>
      </c>
      <c r="S27" s="610">
        <v>440</v>
      </c>
      <c r="T27" s="610">
        <v>140</v>
      </c>
      <c r="U27" s="610">
        <v>240</v>
      </c>
      <c r="V27" s="610">
        <v>410</v>
      </c>
      <c r="W27" s="610">
        <v>390</v>
      </c>
      <c r="X27" s="610">
        <v>150</v>
      </c>
      <c r="Y27" s="610">
        <v>460</v>
      </c>
      <c r="Z27" s="610">
        <v>600</v>
      </c>
      <c r="AA27" s="610">
        <v>80</v>
      </c>
      <c r="AB27" s="610">
        <v>160</v>
      </c>
      <c r="AC27" s="610">
        <v>210</v>
      </c>
      <c r="AD27" s="610">
        <v>470</v>
      </c>
      <c r="AE27" s="610"/>
      <c r="AF27" s="610">
        <f t="shared" si="25"/>
        <v>7100</v>
      </c>
      <c r="AG27" s="515"/>
      <c r="AH27" s="614"/>
      <c r="BJ27" s="517"/>
      <c r="BK27" s="517"/>
      <c r="BL27" s="517"/>
      <c r="BM27" s="517"/>
      <c r="BN27" s="517"/>
      <c r="BO27" s="517"/>
      <c r="BP27" s="517"/>
      <c r="BQ27" s="517"/>
      <c r="BR27" s="517"/>
      <c r="BS27" s="517"/>
      <c r="BT27" s="517"/>
      <c r="BU27" s="517"/>
      <c r="BV27" s="517"/>
      <c r="BW27" s="517"/>
      <c r="BX27" s="517"/>
      <c r="BY27" s="517"/>
      <c r="BZ27" s="517"/>
      <c r="CA27" s="517"/>
      <c r="CB27" s="517"/>
      <c r="CC27" s="517"/>
      <c r="CD27" s="517"/>
      <c r="CE27" s="517"/>
      <c r="CF27" s="517"/>
      <c r="CG27" s="517"/>
      <c r="CH27" s="517"/>
      <c r="CI27" s="517"/>
      <c r="CJ27" s="517"/>
      <c r="CK27" s="517"/>
      <c r="CL27" s="517"/>
      <c r="CM27" s="517"/>
      <c r="CN27" s="517"/>
      <c r="CO27" s="517"/>
      <c r="CP27" s="517"/>
      <c r="CQ27" s="517"/>
      <c r="CR27" s="517"/>
      <c r="CS27" s="517"/>
      <c r="CT27" s="517"/>
      <c r="CU27" s="517"/>
      <c r="CV27" s="517"/>
      <c r="CW27" s="517"/>
      <c r="CX27" s="517"/>
      <c r="CY27" s="517"/>
      <c r="CZ27" s="517"/>
      <c r="DA27" s="517"/>
      <c r="DB27" s="517"/>
      <c r="DC27" s="517"/>
      <c r="DD27" s="517"/>
      <c r="DE27" s="517"/>
      <c r="DF27" s="517"/>
      <c r="DG27" s="517"/>
      <c r="DH27" s="517"/>
      <c r="DI27" s="517"/>
      <c r="DJ27" s="517"/>
      <c r="DK27" s="517"/>
      <c r="DL27" s="517"/>
      <c r="DM27" s="517"/>
      <c r="DN27" s="517"/>
      <c r="DO27" s="517"/>
      <c r="DP27" s="517"/>
      <c r="DQ27" s="517"/>
      <c r="DR27" s="517"/>
      <c r="DS27" s="517"/>
      <c r="DT27" s="517"/>
      <c r="DU27" s="517"/>
      <c r="DV27" s="517"/>
      <c r="DW27" s="517"/>
      <c r="DX27" s="517"/>
      <c r="DY27" s="517"/>
      <c r="DZ27" s="517"/>
      <c r="EA27" s="517"/>
      <c r="EB27" s="517"/>
      <c r="EC27" s="517"/>
    </row>
    <row r="28" spans="1:133" s="31" customFormat="1" ht="33.9" customHeight="1" x14ac:dyDescent="0.25">
      <c r="A28" s="588" t="s">
        <v>23</v>
      </c>
      <c r="B28" s="608"/>
      <c r="C28" s="608"/>
      <c r="D28" s="608"/>
      <c r="E28" s="608"/>
      <c r="F28" s="608"/>
      <c r="G28" s="608"/>
      <c r="H28" s="608"/>
      <c r="I28" s="608"/>
      <c r="J28" s="608"/>
      <c r="K28" s="608">
        <v>40</v>
      </c>
      <c r="L28" s="608">
        <v>70</v>
      </c>
      <c r="M28" s="608">
        <v>30</v>
      </c>
      <c r="N28" s="608">
        <v>30</v>
      </c>
      <c r="O28" s="608">
        <v>30</v>
      </c>
      <c r="P28" s="608">
        <v>20</v>
      </c>
      <c r="Q28" s="608">
        <v>30</v>
      </c>
      <c r="R28" s="608">
        <v>40</v>
      </c>
      <c r="S28" s="608">
        <v>60</v>
      </c>
      <c r="T28" s="608">
        <v>30</v>
      </c>
      <c r="U28" s="608">
        <v>40</v>
      </c>
      <c r="V28" s="608">
        <v>40</v>
      </c>
      <c r="W28" s="608">
        <v>40</v>
      </c>
      <c r="X28" s="608">
        <v>50</v>
      </c>
      <c r="Y28" s="608">
        <v>40</v>
      </c>
      <c r="Z28" s="608">
        <v>50</v>
      </c>
      <c r="AA28" s="608">
        <v>30</v>
      </c>
      <c r="AB28" s="608">
        <v>20</v>
      </c>
      <c r="AC28" s="608">
        <v>10</v>
      </c>
      <c r="AD28" s="608">
        <v>10</v>
      </c>
      <c r="AE28" s="608"/>
      <c r="AF28" s="608">
        <f t="shared" si="25"/>
        <v>710</v>
      </c>
      <c r="AG28" s="572"/>
      <c r="AH28" s="612"/>
    </row>
    <row r="29" spans="1:133" s="31" customFormat="1" ht="33.9" customHeight="1" x14ac:dyDescent="0.25">
      <c r="A29" s="590" t="s">
        <v>26</v>
      </c>
      <c r="B29" s="611"/>
      <c r="C29" s="611"/>
      <c r="D29" s="611"/>
      <c r="E29" s="611"/>
      <c r="F29" s="611"/>
      <c r="G29" s="611"/>
      <c r="H29" s="611"/>
      <c r="I29" s="611"/>
      <c r="J29" s="611"/>
      <c r="K29" s="611">
        <v>140</v>
      </c>
      <c r="L29" s="611">
        <v>240</v>
      </c>
      <c r="M29" s="611">
        <v>100</v>
      </c>
      <c r="N29" s="611">
        <v>90</v>
      </c>
      <c r="O29" s="611">
        <v>90</v>
      </c>
      <c r="P29" s="611">
        <v>80</v>
      </c>
      <c r="Q29" s="611">
        <v>90</v>
      </c>
      <c r="R29" s="611">
        <v>130</v>
      </c>
      <c r="S29" s="611">
        <v>200</v>
      </c>
      <c r="T29" s="611">
        <v>90</v>
      </c>
      <c r="U29" s="611">
        <v>130</v>
      </c>
      <c r="V29" s="611">
        <v>130</v>
      </c>
      <c r="W29" s="611">
        <v>150</v>
      </c>
      <c r="X29" s="611">
        <v>160</v>
      </c>
      <c r="Y29" s="611">
        <v>170</v>
      </c>
      <c r="Z29" s="611">
        <v>170</v>
      </c>
      <c r="AA29" s="611">
        <v>90</v>
      </c>
      <c r="AB29" s="611">
        <v>60</v>
      </c>
      <c r="AC29" s="611">
        <v>40</v>
      </c>
      <c r="AD29" s="611">
        <v>50</v>
      </c>
      <c r="AE29" s="611"/>
      <c r="AF29" s="611">
        <f t="shared" si="25"/>
        <v>2400</v>
      </c>
      <c r="AG29" s="573"/>
      <c r="AH29" s="613"/>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c r="CY29" s="32"/>
      <c r="CZ29" s="32"/>
      <c r="DA29" s="32"/>
      <c r="DB29" s="32"/>
      <c r="DC29" s="32"/>
      <c r="DD29" s="32"/>
      <c r="DE29" s="32"/>
      <c r="DF29" s="32"/>
      <c r="DG29" s="32"/>
      <c r="DH29" s="32"/>
      <c r="DI29" s="32"/>
      <c r="DJ29" s="32"/>
      <c r="DK29" s="32"/>
      <c r="DL29" s="32"/>
      <c r="DM29" s="32"/>
      <c r="DN29" s="32"/>
      <c r="DO29" s="32"/>
      <c r="DP29" s="32"/>
      <c r="DQ29" s="32"/>
      <c r="DR29" s="32"/>
      <c r="DS29" s="32"/>
      <c r="DT29" s="32"/>
      <c r="DU29" s="32"/>
      <c r="DV29" s="32"/>
      <c r="DW29" s="32"/>
      <c r="DX29" s="32"/>
      <c r="DY29" s="32"/>
      <c r="DZ29" s="32"/>
      <c r="EA29" s="32"/>
      <c r="EB29" s="32"/>
      <c r="EC29" s="32"/>
    </row>
    <row r="30" spans="1:133" s="31" customFormat="1" ht="33.9" customHeight="1" x14ac:dyDescent="0.25">
      <c r="A30" s="588" t="s">
        <v>24</v>
      </c>
      <c r="B30" s="608">
        <v>0</v>
      </c>
      <c r="C30" s="608">
        <v>100</v>
      </c>
      <c r="D30" s="608">
        <v>0</v>
      </c>
      <c r="E30" s="608">
        <v>0</v>
      </c>
      <c r="F30" s="608">
        <v>0</v>
      </c>
      <c r="G30" s="608">
        <v>0</v>
      </c>
      <c r="H30" s="608">
        <v>400</v>
      </c>
      <c r="I30" s="608">
        <v>0</v>
      </c>
      <c r="J30" s="608">
        <v>0</v>
      </c>
      <c r="K30" s="608">
        <v>0</v>
      </c>
      <c r="L30" s="608">
        <v>0</v>
      </c>
      <c r="M30" s="608">
        <v>0</v>
      </c>
      <c r="N30" s="608">
        <v>0</v>
      </c>
      <c r="O30" s="608">
        <v>0</v>
      </c>
      <c r="P30" s="608">
        <v>115</v>
      </c>
      <c r="Q30" s="608">
        <v>0</v>
      </c>
      <c r="R30" s="608">
        <v>0</v>
      </c>
      <c r="S30" s="608">
        <v>0</v>
      </c>
      <c r="T30" s="608">
        <v>0</v>
      </c>
      <c r="U30" s="608">
        <v>0</v>
      </c>
      <c r="V30" s="608">
        <v>0</v>
      </c>
      <c r="W30" s="608">
        <v>0</v>
      </c>
      <c r="X30" s="608">
        <v>0</v>
      </c>
      <c r="Y30" s="608">
        <v>0</v>
      </c>
      <c r="Z30" s="608">
        <v>0</v>
      </c>
      <c r="AA30" s="608">
        <v>0</v>
      </c>
      <c r="AB30" s="608">
        <v>0</v>
      </c>
      <c r="AC30" s="608">
        <v>80</v>
      </c>
      <c r="AD30" s="608">
        <v>35</v>
      </c>
      <c r="AE30" s="608"/>
      <c r="AF30" s="608">
        <f t="shared" si="25"/>
        <v>730</v>
      </c>
      <c r="AG30" s="572"/>
      <c r="AH30" s="612"/>
    </row>
    <row r="31" spans="1:133" s="32" customFormat="1" ht="36.75" customHeight="1" x14ac:dyDescent="0.25">
      <c r="A31" s="590" t="s">
        <v>25</v>
      </c>
      <c r="B31" s="611"/>
      <c r="C31" s="611"/>
      <c r="D31" s="611"/>
      <c r="E31" s="611"/>
      <c r="F31" s="611"/>
      <c r="G31" s="611"/>
      <c r="H31" s="611"/>
      <c r="I31" s="611"/>
      <c r="J31" s="611"/>
      <c r="K31" s="611">
        <v>400</v>
      </c>
      <c r="L31" s="611">
        <v>90</v>
      </c>
      <c r="M31" s="611">
        <v>40</v>
      </c>
      <c r="N31" s="611">
        <v>350</v>
      </c>
      <c r="O31" s="611">
        <v>40</v>
      </c>
      <c r="P31" s="611">
        <v>90</v>
      </c>
      <c r="Q31" s="611">
        <v>350</v>
      </c>
      <c r="R31" s="611">
        <v>290</v>
      </c>
      <c r="S31" s="611">
        <v>110</v>
      </c>
      <c r="T31" s="611">
        <v>300</v>
      </c>
      <c r="U31" s="611">
        <v>60</v>
      </c>
      <c r="V31" s="611">
        <v>410</v>
      </c>
      <c r="W31" s="611">
        <v>120</v>
      </c>
      <c r="X31" s="611">
        <v>630</v>
      </c>
      <c r="Y31" s="611">
        <v>170</v>
      </c>
      <c r="Z31" s="611">
        <v>120</v>
      </c>
      <c r="AA31" s="611">
        <v>100</v>
      </c>
      <c r="AB31" s="611">
        <v>340</v>
      </c>
      <c r="AC31" s="611">
        <v>110</v>
      </c>
      <c r="AD31" s="611">
        <v>450</v>
      </c>
      <c r="AE31" s="611"/>
      <c r="AF31" s="611">
        <f t="shared" si="25"/>
        <v>4570</v>
      </c>
      <c r="AG31" s="573"/>
      <c r="AH31" s="613"/>
    </row>
    <row r="32" spans="1:133" s="516" customFormat="1" ht="33.9" customHeight="1" x14ac:dyDescent="0.25">
      <c r="A32" s="592" t="s">
        <v>30</v>
      </c>
      <c r="B32" s="610">
        <v>0</v>
      </c>
      <c r="C32" s="610">
        <v>100</v>
      </c>
      <c r="D32" s="610">
        <v>0</v>
      </c>
      <c r="E32" s="610">
        <v>0</v>
      </c>
      <c r="F32" s="610">
        <v>0</v>
      </c>
      <c r="G32" s="610">
        <v>0</v>
      </c>
      <c r="H32" s="610">
        <v>400</v>
      </c>
      <c r="I32" s="610">
        <v>0</v>
      </c>
      <c r="J32" s="610">
        <v>0</v>
      </c>
      <c r="K32" s="610">
        <v>580</v>
      </c>
      <c r="L32" s="610">
        <v>400</v>
      </c>
      <c r="M32" s="610">
        <v>170</v>
      </c>
      <c r="N32" s="610">
        <v>470</v>
      </c>
      <c r="O32" s="610">
        <v>160</v>
      </c>
      <c r="P32" s="610">
        <v>305</v>
      </c>
      <c r="Q32" s="610">
        <v>470</v>
      </c>
      <c r="R32" s="610">
        <v>460</v>
      </c>
      <c r="S32" s="610">
        <v>370</v>
      </c>
      <c r="T32" s="610">
        <v>420</v>
      </c>
      <c r="U32" s="610">
        <v>230</v>
      </c>
      <c r="V32" s="610">
        <v>580</v>
      </c>
      <c r="W32" s="610">
        <v>310</v>
      </c>
      <c r="X32" s="610">
        <v>840</v>
      </c>
      <c r="Y32" s="610">
        <v>380</v>
      </c>
      <c r="Z32" s="610">
        <v>340</v>
      </c>
      <c r="AA32" s="610">
        <v>220</v>
      </c>
      <c r="AB32" s="610">
        <v>420</v>
      </c>
      <c r="AC32" s="610">
        <v>240</v>
      </c>
      <c r="AD32" s="610">
        <v>545</v>
      </c>
      <c r="AE32" s="610"/>
      <c r="AF32" s="610">
        <f t="shared" si="25"/>
        <v>8410</v>
      </c>
      <c r="AG32" s="515"/>
      <c r="AH32" s="614"/>
      <c r="BJ32" s="517"/>
      <c r="BK32" s="517"/>
      <c r="BL32" s="517"/>
      <c r="BM32" s="517"/>
      <c r="BN32" s="517"/>
      <c r="BO32" s="517"/>
      <c r="BP32" s="517"/>
      <c r="BQ32" s="517"/>
      <c r="BR32" s="517"/>
      <c r="BS32" s="517"/>
      <c r="BT32" s="517"/>
      <c r="BU32" s="517"/>
      <c r="BV32" s="517"/>
      <c r="BW32" s="517"/>
      <c r="BX32" s="517"/>
      <c r="BY32" s="517"/>
      <c r="BZ32" s="517"/>
      <c r="CA32" s="517"/>
      <c r="CB32" s="517"/>
      <c r="CC32" s="517"/>
      <c r="CD32" s="517"/>
      <c r="CE32" s="517"/>
      <c r="CF32" s="517"/>
      <c r="CG32" s="517"/>
      <c r="CH32" s="517"/>
      <c r="CI32" s="517"/>
      <c r="CJ32" s="517"/>
      <c r="CK32" s="517"/>
      <c r="CL32" s="517"/>
      <c r="CM32" s="517"/>
      <c r="CN32" s="517"/>
      <c r="CO32" s="517"/>
      <c r="CP32" s="517"/>
      <c r="CQ32" s="517"/>
      <c r="CR32" s="517"/>
      <c r="CS32" s="517"/>
      <c r="CT32" s="517"/>
      <c r="CU32" s="517"/>
      <c r="CV32" s="517"/>
      <c r="CW32" s="517"/>
      <c r="CX32" s="517"/>
      <c r="CY32" s="517"/>
      <c r="CZ32" s="517"/>
      <c r="DA32" s="517"/>
      <c r="DB32" s="517"/>
      <c r="DC32" s="517"/>
      <c r="DD32" s="517"/>
      <c r="DE32" s="517"/>
      <c r="DF32" s="517"/>
      <c r="DG32" s="517"/>
      <c r="DH32" s="517"/>
      <c r="DI32" s="517"/>
      <c r="DJ32" s="517"/>
      <c r="DK32" s="517"/>
      <c r="DL32" s="517"/>
      <c r="DM32" s="517"/>
      <c r="DN32" s="517"/>
      <c r="DO32" s="517"/>
      <c r="DP32" s="517"/>
      <c r="DQ32" s="517"/>
      <c r="DR32" s="517"/>
      <c r="DS32" s="517"/>
      <c r="DT32" s="517"/>
      <c r="DU32" s="517"/>
      <c r="DV32" s="517"/>
      <c r="DW32" s="517"/>
      <c r="DX32" s="517"/>
      <c r="DY32" s="517"/>
      <c r="DZ32" s="517"/>
      <c r="EA32" s="517"/>
      <c r="EB32" s="517"/>
      <c r="EC32" s="517"/>
    </row>
    <row r="33" spans="1:133" s="32" customFormat="1" ht="15" customHeight="1" x14ac:dyDescent="0.25">
      <c r="A33" s="29"/>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162"/>
      <c r="AF33" s="16"/>
    </row>
    <row r="34" spans="1:133" s="587" customFormat="1" ht="66.75" customHeight="1" x14ac:dyDescent="0.4">
      <c r="A34" s="598" t="s">
        <v>16</v>
      </c>
      <c r="B34" s="599">
        <f>+B32+B27+B24</f>
        <v>0</v>
      </c>
      <c r="C34" s="599">
        <f t="shared" ref="C34:AC34" si="26">+C32+C27+C24</f>
        <v>100</v>
      </c>
      <c r="D34" s="599">
        <f t="shared" si="26"/>
        <v>0</v>
      </c>
      <c r="E34" s="599">
        <f t="shared" si="26"/>
        <v>0</v>
      </c>
      <c r="F34" s="599">
        <f t="shared" si="26"/>
        <v>0</v>
      </c>
      <c r="G34" s="599">
        <f t="shared" si="26"/>
        <v>0</v>
      </c>
      <c r="H34" s="599">
        <f t="shared" si="26"/>
        <v>400</v>
      </c>
      <c r="I34" s="599">
        <f t="shared" si="26"/>
        <v>0</v>
      </c>
      <c r="J34" s="599">
        <f t="shared" si="26"/>
        <v>0</v>
      </c>
      <c r="K34" s="599">
        <f t="shared" si="26"/>
        <v>4750</v>
      </c>
      <c r="L34" s="599">
        <f t="shared" si="26"/>
        <v>4430</v>
      </c>
      <c r="M34" s="599">
        <f t="shared" si="26"/>
        <v>3130</v>
      </c>
      <c r="N34" s="599">
        <f t="shared" si="26"/>
        <v>3830</v>
      </c>
      <c r="O34" s="599">
        <f t="shared" si="26"/>
        <v>3390</v>
      </c>
      <c r="P34" s="599">
        <f t="shared" si="26"/>
        <v>3865</v>
      </c>
      <c r="Q34" s="599">
        <f t="shared" si="26"/>
        <v>3600</v>
      </c>
      <c r="R34" s="599">
        <f t="shared" si="26"/>
        <v>8170</v>
      </c>
      <c r="S34" s="599">
        <f t="shared" si="26"/>
        <v>6810</v>
      </c>
      <c r="T34" s="599">
        <f t="shared" si="26"/>
        <v>6660</v>
      </c>
      <c r="U34" s="599">
        <f t="shared" si="26"/>
        <v>7570</v>
      </c>
      <c r="V34" s="599">
        <f t="shared" si="26"/>
        <v>7190</v>
      </c>
      <c r="W34" s="599">
        <f t="shared" si="26"/>
        <v>6200</v>
      </c>
      <c r="X34" s="599">
        <f t="shared" si="26"/>
        <v>5590</v>
      </c>
      <c r="Y34" s="599">
        <f t="shared" si="26"/>
        <v>8640</v>
      </c>
      <c r="Z34" s="599">
        <f t="shared" si="26"/>
        <v>7440</v>
      </c>
      <c r="AA34" s="599">
        <f t="shared" si="26"/>
        <v>7700</v>
      </c>
      <c r="AB34" s="599">
        <f t="shared" si="26"/>
        <v>8280</v>
      </c>
      <c r="AC34" s="599">
        <f t="shared" si="26"/>
        <v>7050</v>
      </c>
      <c r="AD34" s="599">
        <f t="shared" ref="AD34" si="27">+AD32+AD27+AD24</f>
        <v>7015</v>
      </c>
      <c r="AE34" s="647"/>
      <c r="AF34" s="599">
        <f>+AF32+AF27+AF24</f>
        <v>121810</v>
      </c>
      <c r="AG34" s="585">
        <f>SUM(B34:AE34)</f>
        <v>121810</v>
      </c>
      <c r="AH34" s="607"/>
    </row>
    <row r="35" spans="1:133"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162"/>
      <c r="AF35" s="38"/>
    </row>
    <row r="36" spans="1:133" s="42" customFormat="1" ht="3" customHeight="1" x14ac:dyDescent="0.25">
      <c r="A36" s="534"/>
      <c r="B36" s="536"/>
      <c r="C36" s="536"/>
      <c r="D36" s="536"/>
      <c r="E36" s="536"/>
      <c r="F36" s="536"/>
      <c r="G36" s="536"/>
      <c r="H36" s="536"/>
      <c r="I36" s="536"/>
      <c r="J36" s="536"/>
      <c r="K36" s="536"/>
      <c r="L36" s="536"/>
      <c r="M36" s="536"/>
      <c r="N36" s="536"/>
      <c r="O36" s="536"/>
      <c r="P36" s="536"/>
      <c r="Q36" s="536"/>
      <c r="R36" s="536"/>
      <c r="S36" s="536"/>
      <c r="T36" s="536"/>
      <c r="U36" s="536"/>
      <c r="V36" s="536"/>
      <c r="W36" s="536"/>
      <c r="X36" s="536"/>
      <c r="Y36" s="536"/>
      <c r="Z36" s="536"/>
      <c r="AA36" s="536"/>
      <c r="AB36" s="536"/>
      <c r="AC36" s="536"/>
      <c r="AD36" s="536"/>
      <c r="AE36" s="162"/>
      <c r="AF36" s="2"/>
    </row>
    <row r="37" spans="1:133" s="552" customFormat="1" ht="16.2" x14ac:dyDescent="0.25">
      <c r="A37" s="540" t="s">
        <v>17</v>
      </c>
      <c r="B37" s="550">
        <v>0.7729166666666667</v>
      </c>
      <c r="C37" s="550">
        <v>0.77430555555555547</v>
      </c>
      <c r="D37" s="550">
        <v>0.77500000000000002</v>
      </c>
      <c r="E37" s="550">
        <v>0.77638888888888891</v>
      </c>
      <c r="F37" s="550">
        <v>0.77708333333333324</v>
      </c>
      <c r="G37" s="550">
        <v>0.77847222222222223</v>
      </c>
      <c r="H37" s="550">
        <v>0.77916666666666667</v>
      </c>
      <c r="I37" s="550">
        <v>0.77986111111111101</v>
      </c>
      <c r="J37" s="550">
        <v>0.78125</v>
      </c>
      <c r="K37" s="550">
        <v>0.78194444444444444</v>
      </c>
      <c r="L37" s="550">
        <v>0.78333333333333333</v>
      </c>
      <c r="M37" s="550">
        <v>0.78402777777777777</v>
      </c>
      <c r="N37" s="550">
        <v>0.78541666666666676</v>
      </c>
      <c r="O37" s="550">
        <v>0.78611111111111109</v>
      </c>
      <c r="P37" s="550">
        <v>0.78680555555555554</v>
      </c>
      <c r="Q37" s="550">
        <v>0.78819444444444453</v>
      </c>
      <c r="R37" s="550">
        <v>0.78888888888888886</v>
      </c>
      <c r="S37" s="550">
        <v>0.79027777777777775</v>
      </c>
      <c r="T37" s="550">
        <v>0.7909722222222223</v>
      </c>
      <c r="U37" s="550">
        <v>0.79236111111111107</v>
      </c>
      <c r="V37" s="550">
        <v>0.79305555555555562</v>
      </c>
      <c r="W37" s="550">
        <v>0.79375000000000007</v>
      </c>
      <c r="X37" s="550">
        <v>0.79513888888888884</v>
      </c>
      <c r="Y37" s="550">
        <v>0.79583333333333339</v>
      </c>
      <c r="Z37" s="550">
        <v>0.79722222222222217</v>
      </c>
      <c r="AA37" s="550">
        <v>0.79791666666666661</v>
      </c>
      <c r="AB37" s="550">
        <v>0.7993055555555556</v>
      </c>
      <c r="AC37" s="550">
        <v>0.79999999999999993</v>
      </c>
      <c r="AD37" s="550">
        <v>0.80069444444444438</v>
      </c>
      <c r="AE37" s="648"/>
      <c r="AF37" s="543"/>
      <c r="BI37" s="553"/>
      <c r="BJ37" s="553"/>
      <c r="BK37" s="55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row>
    <row r="38" spans="1:133" s="552" customFormat="1" ht="20.100000000000001" customHeight="1" x14ac:dyDescent="0.25">
      <c r="A38" s="545" t="s">
        <v>18</v>
      </c>
      <c r="B38" s="546" t="str">
        <f>+IF(B34&lt;=2500,"BF",IF(AND(B34&gt;2500,B34&lt;=6000),"MF",IF(AND(B34&gt;6000,B34&lt;12000),"HF","THF")))</f>
        <v>BF</v>
      </c>
      <c r="C38" s="546" t="str">
        <f t="shared" ref="C38:AG38" si="28">+IF(C34&lt;=2500,"BF",IF(AND(C34&gt;2500,C34&lt;=6000),"MF",IF(AND(C34&gt;6000,C34&lt;12000),"HF","THF")))</f>
        <v>BF</v>
      </c>
      <c r="D38" s="546" t="str">
        <f t="shared" si="28"/>
        <v>BF</v>
      </c>
      <c r="E38" s="546" t="str">
        <f t="shared" si="28"/>
        <v>BF</v>
      </c>
      <c r="F38" s="546" t="str">
        <f t="shared" si="28"/>
        <v>BF</v>
      </c>
      <c r="G38" s="546" t="str">
        <f t="shared" si="28"/>
        <v>BF</v>
      </c>
      <c r="H38" s="546" t="str">
        <f t="shared" si="28"/>
        <v>BF</v>
      </c>
      <c r="I38" s="546" t="str">
        <f t="shared" si="28"/>
        <v>BF</v>
      </c>
      <c r="J38" s="546" t="str">
        <f t="shared" si="28"/>
        <v>BF</v>
      </c>
      <c r="K38" s="546" t="str">
        <f t="shared" si="28"/>
        <v>MF</v>
      </c>
      <c r="L38" s="546" t="str">
        <f t="shared" si="28"/>
        <v>MF</v>
      </c>
      <c r="M38" s="546" t="str">
        <f t="shared" si="28"/>
        <v>MF</v>
      </c>
      <c r="N38" s="546" t="str">
        <f t="shared" si="28"/>
        <v>MF</v>
      </c>
      <c r="O38" s="546" t="str">
        <f t="shared" si="28"/>
        <v>MF</v>
      </c>
      <c r="P38" s="546" t="str">
        <f t="shared" si="28"/>
        <v>MF</v>
      </c>
      <c r="Q38" s="546" t="str">
        <f t="shared" si="28"/>
        <v>MF</v>
      </c>
      <c r="R38" s="546" t="str">
        <f t="shared" si="28"/>
        <v>HF</v>
      </c>
      <c r="S38" s="546" t="str">
        <f t="shared" si="28"/>
        <v>HF</v>
      </c>
      <c r="T38" s="546" t="str">
        <f t="shared" si="28"/>
        <v>HF</v>
      </c>
      <c r="U38" s="546" t="str">
        <f t="shared" si="28"/>
        <v>HF</v>
      </c>
      <c r="V38" s="546" t="str">
        <f t="shared" si="28"/>
        <v>HF</v>
      </c>
      <c r="W38" s="546" t="str">
        <f t="shared" si="28"/>
        <v>HF</v>
      </c>
      <c r="X38" s="546" t="str">
        <f t="shared" si="28"/>
        <v>MF</v>
      </c>
      <c r="Y38" s="546" t="str">
        <f t="shared" si="28"/>
        <v>HF</v>
      </c>
      <c r="Z38" s="546" t="str">
        <f t="shared" si="28"/>
        <v>HF</v>
      </c>
      <c r="AA38" s="546" t="str">
        <f t="shared" si="28"/>
        <v>HF</v>
      </c>
      <c r="AB38" s="546" t="str">
        <f t="shared" si="28"/>
        <v>HF</v>
      </c>
      <c r="AC38" s="546" t="str">
        <f t="shared" si="28"/>
        <v>HF</v>
      </c>
      <c r="AD38" s="546" t="str">
        <f t="shared" ref="AD38" si="29">+IF(AD34&lt;=2500,"BF",IF(AND(AD34&gt;2500,AD34&lt;=6000),"MF",IF(AND(AD34&gt;6000,AD34&lt;12000),"HF","THF")))</f>
        <v>HF</v>
      </c>
      <c r="AE38" s="649"/>
      <c r="AF38" s="546"/>
      <c r="AG38" s="546" t="str">
        <f t="shared" si="28"/>
        <v>THF</v>
      </c>
      <c r="BJ38" s="553"/>
      <c r="BK38" s="553"/>
      <c r="BL38" s="553"/>
      <c r="BM38" s="553"/>
      <c r="BN38" s="553"/>
      <c r="BO38" s="553"/>
      <c r="BP38" s="553"/>
      <c r="BQ38" s="553"/>
      <c r="BR38" s="553"/>
      <c r="BS38" s="553"/>
      <c r="BT38" s="553"/>
      <c r="BU38" s="553"/>
      <c r="BV38" s="553"/>
      <c r="BW38" s="553"/>
      <c r="BX38" s="553"/>
      <c r="BY38" s="553"/>
      <c r="BZ38" s="553"/>
      <c r="CA38" s="553"/>
      <c r="CB38" s="553"/>
      <c r="CC38" s="553"/>
      <c r="CD38" s="553"/>
      <c r="CE38" s="553"/>
      <c r="CF38" s="553"/>
      <c r="CG38" s="553"/>
      <c r="CH38" s="553"/>
      <c r="CI38" s="553"/>
      <c r="CJ38" s="553"/>
      <c r="CK38" s="553"/>
      <c r="CL38" s="553"/>
      <c r="CM38" s="553"/>
      <c r="CN38" s="553"/>
      <c r="CO38" s="553"/>
      <c r="CP38" s="553"/>
      <c r="CQ38" s="553"/>
      <c r="CR38" s="553"/>
      <c r="CS38" s="553"/>
      <c r="CT38" s="553"/>
      <c r="CU38" s="553"/>
      <c r="CV38" s="553"/>
      <c r="CW38" s="553"/>
      <c r="CX38" s="553"/>
      <c r="CY38" s="553"/>
      <c r="CZ38" s="553"/>
      <c r="DA38" s="553"/>
      <c r="DB38" s="553"/>
      <c r="DC38" s="553"/>
      <c r="DD38" s="553"/>
      <c r="DE38" s="553"/>
      <c r="DF38" s="553"/>
      <c r="DG38" s="553"/>
      <c r="DH38" s="553"/>
      <c r="DI38" s="553"/>
      <c r="DJ38" s="553"/>
      <c r="DK38" s="553"/>
      <c r="DL38" s="553"/>
      <c r="DM38" s="553"/>
      <c r="DN38" s="553"/>
      <c r="DO38" s="553"/>
      <c r="DP38" s="553"/>
      <c r="DQ38" s="553"/>
      <c r="DR38" s="553"/>
      <c r="DS38" s="553"/>
      <c r="DT38" s="553"/>
      <c r="DU38" s="553"/>
      <c r="DV38" s="553"/>
      <c r="DW38" s="553"/>
      <c r="DX38" s="553"/>
      <c r="DY38" s="553"/>
      <c r="DZ38" s="553"/>
      <c r="EA38" s="553"/>
      <c r="EB38" s="553"/>
      <c r="EC38" s="553"/>
    </row>
    <row r="39" spans="1:133" s="42" customFormat="1" ht="3" customHeight="1" x14ac:dyDescent="0.25">
      <c r="A39" s="534"/>
      <c r="B39" s="536"/>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162"/>
      <c r="AF39" s="2"/>
    </row>
    <row r="40" spans="1:133" ht="17.25" customHeight="1" x14ac:dyDescent="0.25">
      <c r="A40" s="6"/>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spans="1:133" ht="15" hidden="1" customHeight="1" x14ac:dyDescent="0.25">
      <c r="A41" s="13"/>
      <c r="B41" s="482">
        <f>+B34-B30</f>
        <v>0</v>
      </c>
      <c r="C41" s="482">
        <f t="shared" ref="C41:AC41" si="30">+C34-C30</f>
        <v>0</v>
      </c>
      <c r="D41" s="482">
        <f t="shared" si="30"/>
        <v>0</v>
      </c>
      <c r="E41" s="482">
        <f t="shared" si="30"/>
        <v>0</v>
      </c>
      <c r="F41" s="482">
        <f t="shared" si="30"/>
        <v>0</v>
      </c>
      <c r="G41" s="482">
        <f t="shared" si="30"/>
        <v>0</v>
      </c>
      <c r="H41" s="482">
        <f t="shared" si="30"/>
        <v>0</v>
      </c>
      <c r="I41" s="482">
        <f t="shared" si="30"/>
        <v>0</v>
      </c>
      <c r="J41" s="482">
        <f t="shared" si="30"/>
        <v>0</v>
      </c>
      <c r="K41" s="482">
        <f t="shared" si="30"/>
        <v>4750</v>
      </c>
      <c r="L41" s="482">
        <f t="shared" si="30"/>
        <v>4430</v>
      </c>
      <c r="M41" s="482">
        <f t="shared" si="30"/>
        <v>3130</v>
      </c>
      <c r="N41" s="482">
        <f t="shared" si="30"/>
        <v>3830</v>
      </c>
      <c r="O41" s="482">
        <f t="shared" si="30"/>
        <v>3390</v>
      </c>
      <c r="P41" s="482">
        <f t="shared" si="30"/>
        <v>3750</v>
      </c>
      <c r="Q41" s="482">
        <f t="shared" si="30"/>
        <v>3600</v>
      </c>
      <c r="R41" s="482">
        <f t="shared" si="30"/>
        <v>8170</v>
      </c>
      <c r="S41" s="482">
        <f t="shared" si="30"/>
        <v>6810</v>
      </c>
      <c r="T41" s="482">
        <f t="shared" si="30"/>
        <v>6660</v>
      </c>
      <c r="U41" s="482">
        <f t="shared" si="30"/>
        <v>7570</v>
      </c>
      <c r="V41" s="482">
        <f t="shared" si="30"/>
        <v>7190</v>
      </c>
      <c r="W41" s="482">
        <f t="shared" si="30"/>
        <v>6200</v>
      </c>
      <c r="X41" s="482">
        <f t="shared" si="30"/>
        <v>5590</v>
      </c>
      <c r="Y41" s="482">
        <f t="shared" si="30"/>
        <v>8640</v>
      </c>
      <c r="Z41" s="482">
        <f t="shared" si="30"/>
        <v>7440</v>
      </c>
      <c r="AA41" s="482">
        <f t="shared" si="30"/>
        <v>7700</v>
      </c>
      <c r="AB41" s="482">
        <f t="shared" si="30"/>
        <v>8280</v>
      </c>
      <c r="AC41" s="482">
        <f t="shared" si="30"/>
        <v>6970</v>
      </c>
      <c r="AD41" s="482">
        <f t="shared" ref="AD41" si="31">+AD34-AD30</f>
        <v>6980</v>
      </c>
      <c r="AE41" s="650"/>
      <c r="AF41" s="1"/>
    </row>
    <row r="42" spans="1:133" ht="15" customHeight="1" x14ac:dyDescent="0.25">
      <c r="A42" s="13"/>
      <c r="B42" s="481">
        <f>+B32-B30</f>
        <v>0</v>
      </c>
      <c r="C42" s="481">
        <f t="shared" ref="C42:AC42" si="32">+C32-C30</f>
        <v>0</v>
      </c>
      <c r="D42" s="481">
        <f t="shared" si="32"/>
        <v>0</v>
      </c>
      <c r="E42" s="481">
        <f t="shared" si="32"/>
        <v>0</v>
      </c>
      <c r="F42" s="481">
        <f t="shared" si="32"/>
        <v>0</v>
      </c>
      <c r="G42" s="481">
        <f t="shared" si="32"/>
        <v>0</v>
      </c>
      <c r="H42" s="481">
        <f t="shared" si="32"/>
        <v>0</v>
      </c>
      <c r="I42" s="481">
        <f t="shared" si="32"/>
        <v>0</v>
      </c>
      <c r="J42" s="481">
        <f t="shared" si="32"/>
        <v>0</v>
      </c>
      <c r="K42" s="481">
        <f t="shared" si="32"/>
        <v>580</v>
      </c>
      <c r="L42" s="481">
        <f t="shared" si="32"/>
        <v>400</v>
      </c>
      <c r="M42" s="481">
        <f t="shared" si="32"/>
        <v>170</v>
      </c>
      <c r="N42" s="481">
        <f t="shared" si="32"/>
        <v>470</v>
      </c>
      <c r="O42" s="481">
        <f t="shared" si="32"/>
        <v>160</v>
      </c>
      <c r="P42" s="481">
        <f t="shared" si="32"/>
        <v>190</v>
      </c>
      <c r="Q42" s="481">
        <f t="shared" si="32"/>
        <v>470</v>
      </c>
      <c r="R42" s="481">
        <f t="shared" si="32"/>
        <v>460</v>
      </c>
      <c r="S42" s="481">
        <f t="shared" si="32"/>
        <v>370</v>
      </c>
      <c r="T42" s="481">
        <f t="shared" si="32"/>
        <v>420</v>
      </c>
      <c r="U42" s="481">
        <f t="shared" si="32"/>
        <v>230</v>
      </c>
      <c r="V42" s="481">
        <f t="shared" si="32"/>
        <v>580</v>
      </c>
      <c r="W42" s="481">
        <f t="shared" si="32"/>
        <v>310</v>
      </c>
      <c r="X42" s="481">
        <f t="shared" si="32"/>
        <v>840</v>
      </c>
      <c r="Y42" s="481">
        <f t="shared" si="32"/>
        <v>380</v>
      </c>
      <c r="Z42" s="481">
        <f t="shared" si="32"/>
        <v>340</v>
      </c>
      <c r="AA42" s="481">
        <f t="shared" si="32"/>
        <v>220</v>
      </c>
      <c r="AB42" s="481">
        <f t="shared" si="32"/>
        <v>420</v>
      </c>
      <c r="AC42" s="481">
        <f t="shared" si="32"/>
        <v>160</v>
      </c>
      <c r="AD42" s="481">
        <f t="shared" ref="AD42" si="33">+AD32-AD30</f>
        <v>510</v>
      </c>
      <c r="AE42" s="650"/>
      <c r="AF42" s="459"/>
    </row>
    <row r="43" spans="1:133"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row>
    <row r="44" spans="1:133" s="3" customFormat="1" ht="15" customHeight="1" x14ac:dyDescent="0.25">
      <c r="A44" s="22"/>
      <c r="B44" s="454">
        <f>IF(B9="",0,1)</f>
        <v>0</v>
      </c>
      <c r="C44" s="454">
        <f t="shared" ref="C44:AG44" si="34">IF(C9="",0,1)</f>
        <v>0</v>
      </c>
      <c r="D44" s="454">
        <f t="shared" si="34"/>
        <v>0</v>
      </c>
      <c r="E44" s="454">
        <f t="shared" si="34"/>
        <v>0</v>
      </c>
      <c r="F44" s="454">
        <f t="shared" si="34"/>
        <v>0</v>
      </c>
      <c r="G44" s="454">
        <f t="shared" si="34"/>
        <v>0</v>
      </c>
      <c r="H44" s="454">
        <f t="shared" si="34"/>
        <v>0</v>
      </c>
      <c r="I44" s="454">
        <f t="shared" si="34"/>
        <v>0</v>
      </c>
      <c r="J44" s="454">
        <f t="shared" si="34"/>
        <v>0</v>
      </c>
      <c r="K44" s="454">
        <f t="shared" si="34"/>
        <v>1</v>
      </c>
      <c r="L44" s="454">
        <f t="shared" si="34"/>
        <v>1</v>
      </c>
      <c r="M44" s="454">
        <f t="shared" si="34"/>
        <v>1</v>
      </c>
      <c r="N44" s="454">
        <f t="shared" si="34"/>
        <v>1</v>
      </c>
      <c r="O44" s="454">
        <f t="shared" si="34"/>
        <v>1</v>
      </c>
      <c r="P44" s="454">
        <f t="shared" si="34"/>
        <v>1</v>
      </c>
      <c r="Q44" s="454">
        <f t="shared" si="34"/>
        <v>1</v>
      </c>
      <c r="R44" s="454">
        <f t="shared" si="34"/>
        <v>1</v>
      </c>
      <c r="S44" s="454">
        <f t="shared" si="34"/>
        <v>1</v>
      </c>
      <c r="T44" s="454">
        <f t="shared" si="34"/>
        <v>1</v>
      </c>
      <c r="U44" s="454">
        <f t="shared" si="34"/>
        <v>1</v>
      </c>
      <c r="V44" s="454">
        <f t="shared" si="34"/>
        <v>1</v>
      </c>
      <c r="W44" s="454">
        <f t="shared" si="34"/>
        <v>1</v>
      </c>
      <c r="X44" s="454">
        <f t="shared" si="34"/>
        <v>1</v>
      </c>
      <c r="Y44" s="454">
        <f t="shared" si="34"/>
        <v>1</v>
      </c>
      <c r="Z44" s="454">
        <f t="shared" si="34"/>
        <v>1</v>
      </c>
      <c r="AA44" s="454">
        <f t="shared" si="34"/>
        <v>1</v>
      </c>
      <c r="AB44" s="454">
        <f t="shared" si="34"/>
        <v>1</v>
      </c>
      <c r="AC44" s="454">
        <f t="shared" si="34"/>
        <v>1</v>
      </c>
      <c r="AD44" s="454">
        <f t="shared" ref="AD44" si="35">IF(AD9="",0,1)</f>
        <v>1</v>
      </c>
      <c r="AE44" s="454">
        <f t="shared" si="34"/>
        <v>0</v>
      </c>
      <c r="AF44" s="454">
        <f>SUM(B44:AE44)</f>
        <v>20</v>
      </c>
      <c r="AG44" s="454">
        <f t="shared" si="34"/>
        <v>1</v>
      </c>
      <c r="AH44" s="563">
        <f>SUM(B44:AF44)</f>
        <v>40</v>
      </c>
    </row>
    <row r="45" spans="1:133" s="560"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644"/>
      <c r="AF45" s="562"/>
      <c r="AG45" s="562">
        <f t="shared" ref="AG45" si="36">AG46</f>
        <v>0</v>
      </c>
      <c r="AH45" s="562"/>
    </row>
    <row r="46" spans="1:133" ht="15" customHeight="1" x14ac:dyDescent="0.25">
      <c r="A46" s="23"/>
      <c r="B46" s="21"/>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row>
    <row r="47" spans="1:133" s="461" customFormat="1" ht="15" customHeight="1" x14ac:dyDescent="0.25">
      <c r="A47" s="464"/>
      <c r="B47" s="21"/>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17"/>
      <c r="AF47" s="2"/>
    </row>
    <row r="48" spans="1:133" ht="15" customHeight="1" x14ac:dyDescent="0.25">
      <c r="A48" s="2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row>
    <row r="49" spans="1:30" ht="15" customHeight="1" x14ac:dyDescent="0.25">
      <c r="A49" s="2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row>
    <row r="50" spans="1:30" ht="15" customHeight="1" x14ac:dyDescent="0.25">
      <c r="A50" s="2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row>
    <row r="51" spans="1:30"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row>
    <row r="52" spans="1:30"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row>
    <row r="53" spans="1:30"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row>
    <row r="54" spans="1:30"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row>
    <row r="55" spans="1:30"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row>
    <row r="56" spans="1:30"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8" spans="1:30"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row>
    <row r="59" spans="1:30"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row>
    <row r="60" spans="1:30"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row>
    <row r="61" spans="1:30"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row>
    <row r="62" spans="1:30"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row>
    <row r="63" spans="1:30"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row>
    <row r="64" spans="1:30"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row>
    <row r="65" spans="1:30"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row>
    <row r="66" spans="1:30"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row>
    <row r="67" spans="1:30" ht="18.600000000000001" x14ac:dyDescent="0.25">
      <c r="A67" s="23"/>
      <c r="B67" s="21"/>
    </row>
    <row r="68" spans="1:30" ht="18.600000000000001" x14ac:dyDescent="0.25">
      <c r="A68" s="23"/>
      <c r="B68" s="21"/>
    </row>
    <row r="69" spans="1:30" ht="18.600000000000001" x14ac:dyDescent="0.25">
      <c r="A69" s="23"/>
      <c r="B69" s="21"/>
    </row>
    <row r="70" spans="1:30" ht="18.600000000000001" x14ac:dyDescent="0.25">
      <c r="A70" s="23"/>
      <c r="B70" s="21"/>
    </row>
    <row r="71" spans="1:30" ht="18.600000000000001" x14ac:dyDescent="0.25">
      <c r="A71" s="23"/>
      <c r="B71" s="21"/>
    </row>
    <row r="72" spans="1:30" ht="18.600000000000001" x14ac:dyDescent="0.25">
      <c r="A72" s="23"/>
      <c r="B72" s="21"/>
    </row>
    <row r="73" spans="1:30" ht="18.600000000000001" x14ac:dyDescent="0.25">
      <c r="A73" s="23"/>
      <c r="B73" s="21"/>
    </row>
    <row r="74" spans="1:30" ht="18.600000000000001" x14ac:dyDescent="0.25">
      <c r="A74" s="23"/>
      <c r="B74" s="21"/>
    </row>
    <row r="75" spans="1:30" ht="18.600000000000001" x14ac:dyDescent="0.25">
      <c r="A75" s="23"/>
      <c r="B75" s="21"/>
    </row>
  </sheetData>
  <sheetProtection formatCells="0" formatColumns="0" formatRows="0"/>
  <customSheetViews>
    <customSheetView guid="{0CC54A28-7FC1-4543-ABB1-95D1AD8E8D9F}" scale="75" showGridLines="0" zeroValues="0" fitToPage="1" hiddenRows="1" hiddenColumns="1" showRuler="0">
      <pane xSplit="1" ySplit="20" topLeftCell="B21" activePane="bottomRight" state="frozen"/>
      <selection pane="bottomRight" activeCell="AH13" sqref="AH13"/>
      <pageMargins left="0" right="0" top="0" bottom="0.31496062992125984" header="0" footer="0"/>
      <printOptions horizontalCentered="1" verticalCentered="1"/>
      <pageSetup paperSize="9" scale="53"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N36" activePane="bottomRight" state="frozen"/>
      <selection pane="bottomRight" activeCell="AH13" sqref="AH13"/>
      <pageMargins left="0" right="0" top="0" bottom="0.31496062992125984" header="0" footer="0"/>
      <printOptions horizontalCentered="1" verticalCentered="1"/>
      <pageSetup paperSize="9" scale="53"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14:A34">
    <cfRule type="expression" dxfId="399" priority="56" stopIfTrue="1">
      <formula>$P14="ALERTE"</formula>
    </cfRule>
  </conditionalFormatting>
  <conditionalFormatting sqref="A45">
    <cfRule type="expression" dxfId="398" priority="4" stopIfTrue="1">
      <formula>$P45="ALERTE"</formula>
    </cfRule>
  </conditionalFormatting>
  <conditionalFormatting sqref="B10:J10">
    <cfRule type="expression" dxfId="397" priority="50" stopIfTrue="1">
      <formula>$BT10="ALERTE"</formula>
    </cfRule>
  </conditionalFormatting>
  <conditionalFormatting sqref="B45:J45">
    <cfRule type="expression" dxfId="396" priority="5" stopIfTrue="1">
      <formula>$BG45="ALERTE"</formula>
    </cfRule>
  </conditionalFormatting>
  <conditionalFormatting sqref="B6:AC6 AD6:AD7 B7:J9">
    <cfRule type="expression" dxfId="395" priority="81" stopIfTrue="1">
      <formula>$BG6="ALERTE"</formula>
    </cfRule>
  </conditionalFormatting>
  <conditionalFormatting sqref="B3:AD5 A3:A10 AE15 B35:AD35 B44:AG44 C67:AD157 B76:B157">
    <cfRule type="expression" dxfId="394" priority="80" stopIfTrue="1">
      <formula>$P3="ALERTE"</formula>
    </cfRule>
  </conditionalFormatting>
  <conditionalFormatting sqref="B15:AD21">
    <cfRule type="expression" dxfId="393" priority="23" stopIfTrue="1">
      <formula>$P15="ALERTE"</formula>
    </cfRule>
  </conditionalFormatting>
  <conditionalFormatting sqref="B36:AD37 B39:AD40 B43:AD43 B46:AD56 C58:AD64 B58:B75 B158:H158 I158:AD159">
    <cfRule type="cellIs" dxfId="392" priority="83" stopIfTrue="1" operator="equal">
      <formula>"THF"</formula>
    </cfRule>
    <cfRule type="cellIs" dxfId="391" priority="84" stopIfTrue="1" operator="equal">
      <formula>"HF"</formula>
    </cfRule>
    <cfRule type="cellIs" dxfId="390" priority="85" stopIfTrue="1" operator="equal">
      <formula>"MF"</formula>
    </cfRule>
  </conditionalFormatting>
  <conditionalFormatting sqref="B14:AF14">
    <cfRule type="expression" dxfId="389" priority="42" stopIfTrue="1">
      <formula>$BG14="ALERTE"</formula>
    </cfRule>
  </conditionalFormatting>
  <conditionalFormatting sqref="B38:AG38">
    <cfRule type="cellIs" dxfId="388" priority="46" stopIfTrue="1" operator="equal">
      <formula>"THF"</formula>
    </cfRule>
    <cfRule type="cellIs" dxfId="387" priority="47" stopIfTrue="1" operator="equal">
      <formula>"HF"</formula>
    </cfRule>
    <cfRule type="cellIs" dxfId="386" priority="48" stopIfTrue="1" operator="equal">
      <formula>"MF"</formula>
    </cfRule>
  </conditionalFormatting>
  <conditionalFormatting sqref="K7:AC7">
    <cfRule type="expression" dxfId="385" priority="34" stopIfTrue="1">
      <formula>$BG7="ALERTE"</formula>
    </cfRule>
  </conditionalFormatting>
  <conditionalFormatting sqref="K8:AD8">
    <cfRule type="expression" dxfId="384" priority="8" stopIfTrue="1">
      <formula>$BH8="ALERTE"</formula>
    </cfRule>
  </conditionalFormatting>
  <conditionalFormatting sqref="K9:AD9">
    <cfRule type="expression" dxfId="383" priority="6" stopIfTrue="1">
      <formula>$BJ9="ALERTE"</formula>
    </cfRule>
  </conditionalFormatting>
  <conditionalFormatting sqref="K10:AD10">
    <cfRule type="expression" dxfId="382" priority="7" stopIfTrue="1">
      <formula>$BS10="ALERTE"</formula>
    </cfRule>
  </conditionalFormatting>
  <conditionalFormatting sqref="K45:AD45">
    <cfRule type="expression" dxfId="381" priority="1" stopIfTrue="1">
      <formula>$BH45="ALERTE"</formula>
    </cfRule>
  </conditionalFormatting>
  <conditionalFormatting sqref="AE10:AF10">
    <cfRule type="expression" dxfId="380" priority="10" stopIfTrue="1">
      <formula>$BT10="ALERTE"</formula>
    </cfRule>
  </conditionalFormatting>
  <conditionalFormatting sqref="AE8:AG9">
    <cfRule type="expression" dxfId="379" priority="9" stopIfTrue="1">
      <formula>$BG8="ALERTE"</formula>
    </cfRule>
  </conditionalFormatting>
  <conditionalFormatting sqref="AE45:AH45">
    <cfRule type="expression" dxfId="378" priority="2" stopIfTrue="1">
      <formula>$BG45="ALERTE"</formula>
    </cfRule>
  </conditionalFormatting>
  <conditionalFormatting sqref="AF6:AF7">
    <cfRule type="expression" dxfId="377" priority="58" stopIfTrue="1">
      <formula>$BH6="ALERTE"</formula>
    </cfRule>
  </conditionalFormatting>
  <conditionalFormatting sqref="AF15:AF16">
    <cfRule type="expression" dxfId="376" priority="57" stopIfTrue="1">
      <formula>$P15="ALERTE"</formula>
    </cfRule>
  </conditionalFormatting>
  <conditionalFormatting sqref="AG10:AO10">
    <cfRule type="expression" dxfId="375" priority="151" stopIfTrue="1">
      <formula>$BV10="ALERTE"</formula>
    </cfRule>
  </conditionalFormatting>
  <conditionalFormatting sqref="AH8">
    <cfRule type="expression" dxfId="374" priority="52" stopIfTrue="1">
      <formula>$BG8="ALERTE"</formula>
    </cfRule>
  </conditionalFormatting>
  <conditionalFormatting sqref="AP10:AQ10 AS10">
    <cfRule type="expression" dxfId="373" priority="148" stopIfTrue="1">
      <formula>$BT10="ALERTE"</formula>
    </cfRule>
  </conditionalFormatting>
  <printOptions horizontalCentered="1" verticalCentered="1"/>
  <pageMargins left="0" right="0" top="0" bottom="0" header="0.51181102362204722" footer="0.51181102362204722"/>
  <pageSetup paperSize="9" scale="54" orientation="landscape" r:id="rId3"/>
  <headerFooter alignWithMargins="0">
    <oddFooter xml:space="preserve">&amp;Rimprimé le &amp;D à &amp;T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4111111111111111111211">
    <pageSetUpPr fitToPage="1"/>
  </sheetPr>
  <dimension ref="A1:EE75"/>
  <sheetViews>
    <sheetView showGridLines="0" showZeros="0" zoomScale="80" zoomScaleNormal="80" zoomScaleSheetLayoutView="75" workbookViewId="0">
      <pane xSplit="1" ySplit="20" topLeftCell="G32"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x14ac:dyDescent="0.25"/>
  <cols>
    <col min="1" max="1" width="26.33203125" style="10" customWidth="1"/>
    <col min="2" max="2" width="8.5546875" style="1" bestFit="1" customWidth="1"/>
    <col min="3"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505" customFormat="1" ht="42.75" customHeight="1" x14ac:dyDescent="0.25">
      <c r="A1" s="641">
        <v>45352</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33" t="s">
        <v>0</v>
      </c>
      <c r="B3" s="634">
        <f>+A1</f>
        <v>45352</v>
      </c>
      <c r="C3" s="634">
        <f t="shared" ref="C3:AF3" si="0">+B3+1</f>
        <v>45353</v>
      </c>
      <c r="D3" s="634">
        <f t="shared" si="0"/>
        <v>45354</v>
      </c>
      <c r="E3" s="634">
        <f t="shared" si="0"/>
        <v>45355</v>
      </c>
      <c r="F3" s="634">
        <f t="shared" si="0"/>
        <v>45356</v>
      </c>
      <c r="G3" s="634">
        <f t="shared" si="0"/>
        <v>45357</v>
      </c>
      <c r="H3" s="634">
        <f t="shared" si="0"/>
        <v>45358</v>
      </c>
      <c r="I3" s="634">
        <f t="shared" si="0"/>
        <v>45359</v>
      </c>
      <c r="J3" s="634">
        <f t="shared" si="0"/>
        <v>45360</v>
      </c>
      <c r="K3" s="634">
        <f t="shared" si="0"/>
        <v>45361</v>
      </c>
      <c r="L3" s="634">
        <f t="shared" si="0"/>
        <v>45362</v>
      </c>
      <c r="M3" s="634">
        <f t="shared" si="0"/>
        <v>45363</v>
      </c>
      <c r="N3" s="634">
        <f t="shared" si="0"/>
        <v>45364</v>
      </c>
      <c r="O3" s="634">
        <f t="shared" si="0"/>
        <v>45365</v>
      </c>
      <c r="P3" s="634">
        <f t="shared" si="0"/>
        <v>45366</v>
      </c>
      <c r="Q3" s="634">
        <f t="shared" si="0"/>
        <v>45367</v>
      </c>
      <c r="R3" s="634">
        <f t="shared" si="0"/>
        <v>45368</v>
      </c>
      <c r="S3" s="634">
        <f t="shared" si="0"/>
        <v>45369</v>
      </c>
      <c r="T3" s="634">
        <f t="shared" si="0"/>
        <v>45370</v>
      </c>
      <c r="U3" s="634">
        <f t="shared" si="0"/>
        <v>45371</v>
      </c>
      <c r="V3" s="634">
        <f t="shared" si="0"/>
        <v>45372</v>
      </c>
      <c r="W3" s="634">
        <f t="shared" si="0"/>
        <v>45373</v>
      </c>
      <c r="X3" s="634">
        <f t="shared" si="0"/>
        <v>45374</v>
      </c>
      <c r="Y3" s="634">
        <f t="shared" si="0"/>
        <v>45375</v>
      </c>
      <c r="Z3" s="634">
        <f t="shared" si="0"/>
        <v>45376</v>
      </c>
      <c r="AA3" s="634">
        <f t="shared" si="0"/>
        <v>45377</v>
      </c>
      <c r="AB3" s="634">
        <f t="shared" si="0"/>
        <v>45378</v>
      </c>
      <c r="AC3" s="634">
        <f t="shared" si="0"/>
        <v>45379</v>
      </c>
      <c r="AD3" s="634">
        <f t="shared" si="0"/>
        <v>45380</v>
      </c>
      <c r="AE3" s="634">
        <f t="shared" si="0"/>
        <v>45381</v>
      </c>
      <c r="AF3" s="634">
        <f t="shared" si="0"/>
        <v>45382</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27" t="s">
        <v>1</v>
      </c>
      <c r="B4" s="531">
        <f>+A1</f>
        <v>45352</v>
      </c>
      <c r="C4" s="531">
        <f t="shared" ref="C4:AF4" si="1">+B4+1</f>
        <v>45353</v>
      </c>
      <c r="D4" s="531">
        <f t="shared" si="1"/>
        <v>45354</v>
      </c>
      <c r="E4" s="531">
        <f t="shared" si="1"/>
        <v>45355</v>
      </c>
      <c r="F4" s="531">
        <f t="shared" si="1"/>
        <v>45356</v>
      </c>
      <c r="G4" s="531">
        <f t="shared" si="1"/>
        <v>45357</v>
      </c>
      <c r="H4" s="531">
        <f t="shared" si="1"/>
        <v>45358</v>
      </c>
      <c r="I4" s="531">
        <f t="shared" si="1"/>
        <v>45359</v>
      </c>
      <c r="J4" s="531">
        <f t="shared" si="1"/>
        <v>45360</v>
      </c>
      <c r="K4" s="531">
        <f t="shared" si="1"/>
        <v>45361</v>
      </c>
      <c r="L4" s="531">
        <f t="shared" si="1"/>
        <v>45362</v>
      </c>
      <c r="M4" s="531">
        <f t="shared" si="1"/>
        <v>45363</v>
      </c>
      <c r="N4" s="531">
        <f t="shared" si="1"/>
        <v>45364</v>
      </c>
      <c r="O4" s="531">
        <f t="shared" si="1"/>
        <v>45365</v>
      </c>
      <c r="P4" s="531">
        <f t="shared" si="1"/>
        <v>45366</v>
      </c>
      <c r="Q4" s="531">
        <f t="shared" si="1"/>
        <v>45367</v>
      </c>
      <c r="R4" s="531">
        <f t="shared" si="1"/>
        <v>45368</v>
      </c>
      <c r="S4" s="531">
        <f t="shared" si="1"/>
        <v>45369</v>
      </c>
      <c r="T4" s="531">
        <f t="shared" si="1"/>
        <v>45370</v>
      </c>
      <c r="U4" s="531">
        <f t="shared" si="1"/>
        <v>45371</v>
      </c>
      <c r="V4" s="531">
        <f t="shared" si="1"/>
        <v>45372</v>
      </c>
      <c r="W4" s="531">
        <f t="shared" si="1"/>
        <v>45373</v>
      </c>
      <c r="X4" s="531">
        <f t="shared" si="1"/>
        <v>45374</v>
      </c>
      <c r="Y4" s="531">
        <f t="shared" si="1"/>
        <v>45375</v>
      </c>
      <c r="Z4" s="531">
        <f t="shared" si="1"/>
        <v>45376</v>
      </c>
      <c r="AA4" s="531">
        <f t="shared" si="1"/>
        <v>45377</v>
      </c>
      <c r="AB4" s="531">
        <f t="shared" si="1"/>
        <v>45378</v>
      </c>
      <c r="AC4" s="531">
        <f t="shared" si="1"/>
        <v>45379</v>
      </c>
      <c r="AD4" s="531">
        <f t="shared" si="1"/>
        <v>45380</v>
      </c>
      <c r="AE4" s="531">
        <f t="shared" si="1"/>
        <v>45381</v>
      </c>
      <c r="AF4" s="531">
        <f t="shared" si="1"/>
        <v>45382</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1" customFormat="1" ht="9.9" customHeight="1" thickBot="1" x14ac:dyDescent="0.3">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135" s="467" customFormat="1" ht="20.100000000000001" customHeight="1" thickBot="1" x14ac:dyDescent="0.3">
      <c r="A6" s="529" t="s">
        <v>2</v>
      </c>
      <c r="B6" s="487"/>
      <c r="C6" s="487"/>
      <c r="D6" s="487"/>
      <c r="E6" s="487"/>
      <c r="F6" s="487"/>
      <c r="G6" s="488"/>
      <c r="H6" s="488"/>
      <c r="I6" s="487"/>
      <c r="J6" s="487"/>
      <c r="K6" s="487"/>
      <c r="L6" s="487"/>
      <c r="M6" s="488"/>
      <c r="N6" s="488"/>
      <c r="O6" s="488"/>
      <c r="P6" s="487"/>
      <c r="Q6" s="487"/>
      <c r="R6" s="487"/>
      <c r="S6" s="487"/>
      <c r="T6" s="488"/>
      <c r="U6" s="488"/>
      <c r="V6" s="488"/>
      <c r="W6" s="487"/>
      <c r="X6" s="690"/>
      <c r="Y6" s="690"/>
      <c r="Z6" s="487"/>
      <c r="AA6" s="487"/>
      <c r="AB6" s="487"/>
      <c r="AC6" s="487"/>
      <c r="AD6" s="487"/>
      <c r="AE6" s="487" t="s">
        <v>31</v>
      </c>
      <c r="AF6" s="487" t="s">
        <v>31</v>
      </c>
      <c r="AG6" s="487"/>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135" s="171" customFormat="1" x14ac:dyDescent="0.25">
      <c r="A7" s="530" t="s">
        <v>3</v>
      </c>
      <c r="B7" s="581" t="s">
        <v>137</v>
      </c>
      <c r="C7" s="581" t="s">
        <v>137</v>
      </c>
      <c r="D7" s="581" t="s">
        <v>137</v>
      </c>
      <c r="E7" s="577" t="s">
        <v>34</v>
      </c>
      <c r="F7" s="577" t="s">
        <v>34</v>
      </c>
      <c r="G7" s="577" t="s">
        <v>34</v>
      </c>
      <c r="H7" s="577" t="s">
        <v>34</v>
      </c>
      <c r="I7" s="577" t="s">
        <v>34</v>
      </c>
      <c r="J7" s="577" t="s">
        <v>34</v>
      </c>
      <c r="K7" s="577" t="s">
        <v>34</v>
      </c>
      <c r="L7" s="498"/>
      <c r="M7" s="498"/>
      <c r="N7" s="498"/>
      <c r="O7" s="498"/>
      <c r="P7" s="498"/>
      <c r="Q7" s="498"/>
      <c r="R7" s="173"/>
      <c r="S7" s="173"/>
      <c r="T7" s="173"/>
      <c r="U7" s="173"/>
      <c r="V7" s="173"/>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135" s="560" customFormat="1" ht="25.5" customHeight="1" x14ac:dyDescent="0.3">
      <c r="A8" s="559" t="s">
        <v>132</v>
      </c>
      <c r="B8" s="562">
        <v>0.40625</v>
      </c>
      <c r="C8" s="562">
        <v>0.40625</v>
      </c>
      <c r="D8" s="562">
        <v>0.40625</v>
      </c>
      <c r="E8" s="562">
        <v>0.40625</v>
      </c>
      <c r="F8" s="562">
        <v>0.40625</v>
      </c>
      <c r="G8" s="562">
        <v>0.40625</v>
      </c>
      <c r="H8" s="562">
        <v>0.40625</v>
      </c>
      <c r="I8" s="562">
        <v>0.40625</v>
      </c>
      <c r="J8" s="562">
        <v>0.40625</v>
      </c>
      <c r="K8" s="562">
        <v>0.40625</v>
      </c>
      <c r="L8" s="562">
        <v>0.41666666666666669</v>
      </c>
      <c r="M8" s="562">
        <v>0.41666666666666669</v>
      </c>
      <c r="N8" s="562">
        <v>0.41666666666666669</v>
      </c>
      <c r="O8" s="562">
        <v>0.41666666666666669</v>
      </c>
      <c r="P8" s="562">
        <v>0.41666666666666669</v>
      </c>
      <c r="Q8" s="562">
        <v>0.36458333333333331</v>
      </c>
      <c r="R8" s="562">
        <v>0.36458333333333331</v>
      </c>
      <c r="S8" s="562">
        <v>0.41666666666666669</v>
      </c>
      <c r="T8" s="562">
        <v>0.41666666666666669</v>
      </c>
      <c r="U8" s="562">
        <v>0.41666666666666669</v>
      </c>
      <c r="V8" s="562">
        <v>0.41666666666666669</v>
      </c>
      <c r="W8" s="562">
        <v>0.41666666666666669</v>
      </c>
      <c r="X8" s="562">
        <v>0.36458333333333331</v>
      </c>
      <c r="Y8" s="562">
        <v>0.36458333333333331</v>
      </c>
      <c r="Z8" s="562">
        <v>0.41666666666666669</v>
      </c>
      <c r="AA8" s="562">
        <v>0.41666666666666669</v>
      </c>
      <c r="AB8" s="562">
        <v>0.41666666666666669</v>
      </c>
      <c r="AC8" s="562">
        <v>0.41666666666666669</v>
      </c>
      <c r="AD8" s="562">
        <v>0.41666666666666669</v>
      </c>
      <c r="AE8" s="562">
        <v>0.34375</v>
      </c>
      <c r="AF8" s="562">
        <v>0.34375</v>
      </c>
      <c r="AH8" s="562"/>
    </row>
    <row r="9" spans="1:135" s="172" customFormat="1" ht="20.25" customHeight="1" x14ac:dyDescent="0.25">
      <c r="A9" s="519" t="s">
        <v>36</v>
      </c>
      <c r="B9" s="511">
        <v>0.39583333333333331</v>
      </c>
      <c r="C9" s="511">
        <v>0.39583333333333331</v>
      </c>
      <c r="D9" s="511">
        <v>0.39583333333333331</v>
      </c>
      <c r="E9" s="511">
        <v>0.39583333333333331</v>
      </c>
      <c r="F9" s="511">
        <v>0.39583333333333331</v>
      </c>
      <c r="G9" s="511">
        <v>0.39583333333333331</v>
      </c>
      <c r="H9" s="511">
        <v>0.39583333333333331</v>
      </c>
      <c r="I9" s="511">
        <v>0.39583333333333331</v>
      </c>
      <c r="J9" s="511">
        <v>0.39583333333333331</v>
      </c>
      <c r="K9" s="511">
        <v>0.39583333333333331</v>
      </c>
      <c r="L9" s="511">
        <v>0.40625</v>
      </c>
      <c r="M9" s="511">
        <v>0.40625</v>
      </c>
      <c r="N9" s="511">
        <v>0.40625</v>
      </c>
      <c r="O9" s="511">
        <v>0.40625</v>
      </c>
      <c r="P9" s="511">
        <v>0.40625</v>
      </c>
      <c r="Q9" s="511">
        <v>0.39583333333333331</v>
      </c>
      <c r="R9" s="511">
        <v>0.39583333333333331</v>
      </c>
      <c r="S9" s="511">
        <v>0.40625</v>
      </c>
      <c r="T9" s="511">
        <v>0.40625</v>
      </c>
      <c r="U9" s="511">
        <v>0.40625</v>
      </c>
      <c r="V9" s="511">
        <v>0.40625</v>
      </c>
      <c r="W9" s="511">
        <v>0.40625</v>
      </c>
      <c r="X9" s="511">
        <v>0.39583333333333331</v>
      </c>
      <c r="Y9" s="511">
        <v>0.39583333333333331</v>
      </c>
      <c r="Z9" s="511">
        <v>0.40625</v>
      </c>
      <c r="AA9" s="511">
        <v>0.40625</v>
      </c>
      <c r="AB9" s="511">
        <v>0.40625</v>
      </c>
      <c r="AC9" s="511">
        <v>0.40625</v>
      </c>
      <c r="AD9" s="511">
        <v>0.40625</v>
      </c>
      <c r="AE9" s="511">
        <v>0.375</v>
      </c>
      <c r="AF9" s="511">
        <v>0.375</v>
      </c>
      <c r="AH9" s="554"/>
    </row>
    <row r="10" spans="1:135" s="171" customFormat="1" ht="20.100000000000001" customHeight="1" x14ac:dyDescent="0.25">
      <c r="A10" s="520" t="s">
        <v>5</v>
      </c>
      <c r="B10" s="626">
        <v>0.40625</v>
      </c>
      <c r="C10" s="626">
        <v>0.40625</v>
      </c>
      <c r="D10" s="626">
        <v>0.40625</v>
      </c>
      <c r="E10" s="626">
        <v>0.40625</v>
      </c>
      <c r="F10" s="626">
        <v>0.40625</v>
      </c>
      <c r="G10" s="626">
        <v>0.40625</v>
      </c>
      <c r="H10" s="626">
        <v>0.40625</v>
      </c>
      <c r="I10" s="626">
        <v>0.40625</v>
      </c>
      <c r="J10" s="626">
        <v>0.40625</v>
      </c>
      <c r="K10" s="626">
        <v>0.40625</v>
      </c>
      <c r="L10" s="626">
        <v>0.41666666666666669</v>
      </c>
      <c r="M10" s="626">
        <v>0.41666666666666669</v>
      </c>
      <c r="N10" s="626">
        <v>0.41666666666666669</v>
      </c>
      <c r="O10" s="626">
        <v>0.41666666666666669</v>
      </c>
      <c r="P10" s="626">
        <v>0.41666666666666669</v>
      </c>
      <c r="Q10" s="626">
        <v>0.39583333333333331</v>
      </c>
      <c r="R10" s="626">
        <v>0.39583333333333331</v>
      </c>
      <c r="S10" s="626">
        <v>0.41666666666666669</v>
      </c>
      <c r="T10" s="626">
        <v>0.41666666666666669</v>
      </c>
      <c r="U10" s="626">
        <v>0.41666666666666669</v>
      </c>
      <c r="V10" s="626">
        <v>0.41666666666666669</v>
      </c>
      <c r="W10" s="626">
        <v>0.41666666666666669</v>
      </c>
      <c r="X10" s="626">
        <v>0.39583333333333331</v>
      </c>
      <c r="Y10" s="626">
        <v>0.39583333333333331</v>
      </c>
      <c r="Z10" s="626">
        <v>0.41666666666666669</v>
      </c>
      <c r="AA10" s="626">
        <v>0.41666666666666669</v>
      </c>
      <c r="AB10" s="626">
        <v>0.41666666666666669</v>
      </c>
      <c r="AC10" s="626">
        <v>0.41666666666666669</v>
      </c>
      <c r="AD10" s="626">
        <v>0.41666666666666669</v>
      </c>
      <c r="AE10" s="626">
        <v>0.375</v>
      </c>
      <c r="AF10" s="626">
        <v>0.375</v>
      </c>
      <c r="AH10" s="62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25">
      <c r="A11" s="520" t="s">
        <v>6</v>
      </c>
      <c r="B11" s="627">
        <f t="shared" ref="B11:F11" si="2">IF(B10="","",IF(B15=0,B14+"0:30",+B15+"0:30"))</f>
        <v>0.89583333333333337</v>
      </c>
      <c r="C11" s="627">
        <f t="shared" si="2"/>
        <v>0.89583333333333337</v>
      </c>
      <c r="D11" s="627">
        <f t="shared" si="2"/>
        <v>0.89583333333333337</v>
      </c>
      <c r="E11" s="627">
        <f t="shared" si="2"/>
        <v>0.89583333333333337</v>
      </c>
      <c r="F11" s="627">
        <f t="shared" si="2"/>
        <v>0.89583333333333337</v>
      </c>
      <c r="G11" s="627">
        <f t="shared" ref="G11:AF11" si="3">IF(G10="","",IF(G15=0,G14+"0:30",+G15+"0:30"))</f>
        <v>0.89583333333333337</v>
      </c>
      <c r="H11" s="627">
        <f t="shared" si="3"/>
        <v>0.89583333333333337</v>
      </c>
      <c r="I11" s="627">
        <f t="shared" si="3"/>
        <v>0.89583333333333337</v>
      </c>
      <c r="J11" s="627">
        <f t="shared" si="3"/>
        <v>0.89583333333333337</v>
      </c>
      <c r="K11" s="627">
        <f t="shared" si="3"/>
        <v>0.89583333333333337</v>
      </c>
      <c r="L11" s="627">
        <f t="shared" si="3"/>
        <v>0.875</v>
      </c>
      <c r="M11" s="627">
        <f t="shared" ref="M11:P11" si="4">IF(M10="","",IF(M15=0,M14+"0:30",+M15+"0:30"))</f>
        <v>0.875</v>
      </c>
      <c r="N11" s="627">
        <f t="shared" si="4"/>
        <v>0.875</v>
      </c>
      <c r="O11" s="627">
        <f t="shared" si="4"/>
        <v>0.875</v>
      </c>
      <c r="P11" s="627">
        <f t="shared" si="4"/>
        <v>0.875</v>
      </c>
      <c r="Q11" s="627">
        <f t="shared" si="3"/>
        <v>0.91666666666666674</v>
      </c>
      <c r="R11" s="627">
        <f t="shared" ref="R11" si="5">IF(R10="","",IF(R15=0,R14+"0:30",+R15+"0:30"))</f>
        <v>0.88541666666666674</v>
      </c>
      <c r="S11" s="627">
        <f t="shared" ref="S11:Y11" si="6">IF(S10="","",IF(S15=0,S14+"0:30",+S15+"0:30"))</f>
        <v>0.875</v>
      </c>
      <c r="T11" s="627">
        <f t="shared" si="6"/>
        <v>0.875</v>
      </c>
      <c r="U11" s="627">
        <f t="shared" si="6"/>
        <v>0.875</v>
      </c>
      <c r="V11" s="627">
        <f t="shared" si="6"/>
        <v>0.875</v>
      </c>
      <c r="W11" s="627">
        <f t="shared" si="6"/>
        <v>0.875</v>
      </c>
      <c r="X11" s="627">
        <f t="shared" si="6"/>
        <v>0.91666666666666674</v>
      </c>
      <c r="Y11" s="627">
        <f t="shared" si="6"/>
        <v>0.88541666666666674</v>
      </c>
      <c r="Z11" s="627">
        <f t="shared" ref="Z11:AD11" si="7">IF(Z10="","",IF(Z15=0,Z14+"0:30",+Z15+"0:30"))</f>
        <v>0.875</v>
      </c>
      <c r="AA11" s="627">
        <f t="shared" si="7"/>
        <v>0.875</v>
      </c>
      <c r="AB11" s="627">
        <f t="shared" si="7"/>
        <v>0.875</v>
      </c>
      <c r="AC11" s="627">
        <f t="shared" si="7"/>
        <v>0.875</v>
      </c>
      <c r="AD11" s="627">
        <f t="shared" si="7"/>
        <v>0.875</v>
      </c>
      <c r="AE11" s="627">
        <f t="shared" si="3"/>
        <v>0.94791666666666674</v>
      </c>
      <c r="AF11" s="627">
        <f t="shared" si="3"/>
        <v>0.94791666666666674</v>
      </c>
      <c r="AH11" s="62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171" customFormat="1" ht="20.100000000000001" customHeight="1" x14ac:dyDescent="0.25">
      <c r="A12" s="521" t="s">
        <v>7</v>
      </c>
      <c r="B12" s="623">
        <f t="shared" ref="B12:F12" si="8">+IF(B10="","",(B11-B10))</f>
        <v>0.48958333333333337</v>
      </c>
      <c r="C12" s="623">
        <f t="shared" si="8"/>
        <v>0.48958333333333337</v>
      </c>
      <c r="D12" s="623">
        <f t="shared" si="8"/>
        <v>0.48958333333333337</v>
      </c>
      <c r="E12" s="623">
        <f t="shared" si="8"/>
        <v>0.48958333333333337</v>
      </c>
      <c r="F12" s="623">
        <f t="shared" si="8"/>
        <v>0.48958333333333337</v>
      </c>
      <c r="G12" s="623">
        <f t="shared" ref="G12:AF12" si="9">+IF(G10="","",(G11-G10))</f>
        <v>0.48958333333333337</v>
      </c>
      <c r="H12" s="623">
        <f t="shared" si="9"/>
        <v>0.48958333333333337</v>
      </c>
      <c r="I12" s="623">
        <f t="shared" si="9"/>
        <v>0.48958333333333337</v>
      </c>
      <c r="J12" s="623">
        <f t="shared" si="9"/>
        <v>0.48958333333333337</v>
      </c>
      <c r="K12" s="623">
        <f t="shared" si="9"/>
        <v>0.48958333333333337</v>
      </c>
      <c r="L12" s="623">
        <f t="shared" si="9"/>
        <v>0.45833333333333331</v>
      </c>
      <c r="M12" s="623">
        <f t="shared" ref="M12:P12" si="10">+IF(M10="","",(M11-M10))</f>
        <v>0.45833333333333331</v>
      </c>
      <c r="N12" s="623">
        <f t="shared" si="10"/>
        <v>0.45833333333333331</v>
      </c>
      <c r="O12" s="623">
        <f t="shared" si="10"/>
        <v>0.45833333333333331</v>
      </c>
      <c r="P12" s="623">
        <f t="shared" si="10"/>
        <v>0.45833333333333331</v>
      </c>
      <c r="Q12" s="623">
        <f t="shared" si="9"/>
        <v>0.52083333333333348</v>
      </c>
      <c r="R12" s="623">
        <f t="shared" ref="R12" si="11">+IF(R10="","",(R11-R10))</f>
        <v>0.48958333333333343</v>
      </c>
      <c r="S12" s="623">
        <f t="shared" ref="S12:Y12" si="12">+IF(S10="","",(S11-S10))</f>
        <v>0.45833333333333331</v>
      </c>
      <c r="T12" s="623">
        <f t="shared" si="12"/>
        <v>0.45833333333333331</v>
      </c>
      <c r="U12" s="623">
        <f t="shared" si="12"/>
        <v>0.45833333333333331</v>
      </c>
      <c r="V12" s="623">
        <f t="shared" si="12"/>
        <v>0.45833333333333331</v>
      </c>
      <c r="W12" s="623">
        <f t="shared" si="12"/>
        <v>0.45833333333333331</v>
      </c>
      <c r="X12" s="623">
        <f t="shared" si="12"/>
        <v>0.52083333333333348</v>
      </c>
      <c r="Y12" s="623">
        <f t="shared" si="12"/>
        <v>0.48958333333333343</v>
      </c>
      <c r="Z12" s="623">
        <f t="shared" ref="Z12:AD12" si="13">+IF(Z10="","",(Z11-Z10))</f>
        <v>0.45833333333333331</v>
      </c>
      <c r="AA12" s="623">
        <f t="shared" si="13"/>
        <v>0.45833333333333331</v>
      </c>
      <c r="AB12" s="623">
        <f t="shared" si="13"/>
        <v>0.45833333333333331</v>
      </c>
      <c r="AC12" s="623">
        <f t="shared" si="13"/>
        <v>0.45833333333333331</v>
      </c>
      <c r="AD12" s="623">
        <f t="shared" si="13"/>
        <v>0.45833333333333331</v>
      </c>
      <c r="AE12" s="623">
        <f t="shared" si="9"/>
        <v>0.57291666666666674</v>
      </c>
      <c r="AF12" s="623">
        <f t="shared" si="9"/>
        <v>0.57291666666666674</v>
      </c>
      <c r="AG12" s="486"/>
      <c r="AH12" s="624">
        <f>SUM(B12:AF12)</f>
        <v>14.937500000000005</v>
      </c>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2"/>
      <c r="CU12" s="172"/>
      <c r="CV12" s="172"/>
      <c r="CW12" s="172"/>
      <c r="CX12" s="172"/>
      <c r="CY12" s="172"/>
      <c r="CZ12" s="172"/>
      <c r="DA12" s="172"/>
      <c r="DB12" s="172"/>
      <c r="DC12" s="172"/>
      <c r="DD12" s="172"/>
      <c r="DE12" s="172"/>
      <c r="DF12" s="172"/>
      <c r="DG12" s="172"/>
      <c r="DH12" s="172"/>
      <c r="DI12" s="172"/>
      <c r="DJ12" s="172"/>
      <c r="DK12" s="172"/>
      <c r="DL12" s="172"/>
      <c r="DM12" s="172"/>
      <c r="DN12" s="172"/>
      <c r="DO12" s="172"/>
      <c r="DP12" s="172"/>
      <c r="DQ12" s="172"/>
      <c r="DR12" s="172"/>
      <c r="DS12" s="172"/>
      <c r="DT12" s="172"/>
      <c r="DU12" s="172"/>
      <c r="DV12" s="172"/>
      <c r="DW12" s="172"/>
      <c r="DX12" s="172"/>
      <c r="DY12" s="172"/>
      <c r="DZ12" s="172"/>
      <c r="EA12" s="172"/>
      <c r="EB12" s="172"/>
      <c r="EC12" s="172"/>
      <c r="ED12" s="172"/>
      <c r="EE12" s="172"/>
    </row>
    <row r="13" spans="1:135" s="172" customFormat="1" ht="9.9" customHeight="1" x14ac:dyDescent="0.25">
      <c r="A13" s="166"/>
      <c r="B13" s="174"/>
      <c r="C13" s="174"/>
      <c r="D13" s="174"/>
      <c r="E13" s="174"/>
      <c r="F13" s="174"/>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486"/>
      <c r="AH13" s="174"/>
    </row>
    <row r="14" spans="1:135" s="171" customFormat="1" ht="20.100000000000001" customHeight="1" x14ac:dyDescent="0.25">
      <c r="A14" s="616" t="s">
        <v>8</v>
      </c>
      <c r="B14" s="176">
        <v>0.875</v>
      </c>
      <c r="C14" s="176">
        <v>0.875</v>
      </c>
      <c r="D14" s="176">
        <v>0.875</v>
      </c>
      <c r="E14" s="176">
        <v>0.875</v>
      </c>
      <c r="F14" s="176">
        <v>0.875</v>
      </c>
      <c r="G14" s="176">
        <v>0.875</v>
      </c>
      <c r="H14" s="176">
        <v>0.875</v>
      </c>
      <c r="I14" s="176">
        <v>0.875</v>
      </c>
      <c r="J14" s="176">
        <v>0.875</v>
      </c>
      <c r="K14" s="176">
        <v>0.875</v>
      </c>
      <c r="L14" s="176">
        <v>0.85416666666666663</v>
      </c>
      <c r="M14" s="176">
        <v>0.85416666666666663</v>
      </c>
      <c r="N14" s="176">
        <v>0.85416666666666663</v>
      </c>
      <c r="O14" s="176">
        <v>0.85416666666666663</v>
      </c>
      <c r="P14" s="176">
        <v>0.85416666666666663</v>
      </c>
      <c r="Q14" s="176">
        <v>0.89583333333333337</v>
      </c>
      <c r="R14" s="176">
        <v>0.86458333333333337</v>
      </c>
      <c r="S14" s="176">
        <v>0.85416666666666663</v>
      </c>
      <c r="T14" s="176">
        <v>0.85416666666666663</v>
      </c>
      <c r="U14" s="176">
        <v>0.85416666666666663</v>
      </c>
      <c r="V14" s="176">
        <v>0.85416666666666663</v>
      </c>
      <c r="W14" s="176">
        <v>0.85416666666666663</v>
      </c>
      <c r="X14" s="176">
        <v>0.86458333333333337</v>
      </c>
      <c r="Y14" s="176">
        <v>0.86458333333333337</v>
      </c>
      <c r="Z14" s="176">
        <v>0.85416666666666663</v>
      </c>
      <c r="AA14" s="176">
        <v>0.85416666666666663</v>
      </c>
      <c r="AB14" s="176">
        <v>0.85416666666666663</v>
      </c>
      <c r="AC14" s="176">
        <v>0.85416666666666663</v>
      </c>
      <c r="AD14" s="176">
        <v>0.85416666666666663</v>
      </c>
      <c r="AE14" s="176">
        <v>0.89583333333333337</v>
      </c>
      <c r="AF14" s="176">
        <v>0.89583333333333337</v>
      </c>
      <c r="AG14" s="486"/>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3">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v>0.89583333333333337</v>
      </c>
      <c r="Y15" s="575"/>
      <c r="Z15" s="575"/>
      <c r="AA15" s="575"/>
      <c r="AB15" s="575"/>
      <c r="AC15" s="575"/>
      <c r="AD15" s="575"/>
      <c r="AE15" s="575">
        <v>0.92708333333333337</v>
      </c>
      <c r="AF15" s="575">
        <v>0.92708333333333337</v>
      </c>
      <c r="AG15" s="486"/>
      <c r="AH15" s="555"/>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71" customFormat="1" hidden="1" thickBot="1" x14ac:dyDescent="0.3">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71" customFormat="1" ht="16.2" hidden="1" x14ac:dyDescent="0.25">
      <c r="A17" s="519" t="s">
        <v>10</v>
      </c>
      <c r="B17" s="179">
        <f>COUNTIF(B14,"&gt;0")</f>
        <v>1</v>
      </c>
      <c r="C17" s="179">
        <f t="shared" ref="C17:AF17" si="14">COUNTIF(C14,"&gt;0")</f>
        <v>1</v>
      </c>
      <c r="D17" s="179">
        <f t="shared" si="14"/>
        <v>1</v>
      </c>
      <c r="E17" s="179">
        <f t="shared" si="14"/>
        <v>1</v>
      </c>
      <c r="F17" s="179">
        <f t="shared" si="14"/>
        <v>1</v>
      </c>
      <c r="G17" s="179">
        <f t="shared" si="14"/>
        <v>1</v>
      </c>
      <c r="H17" s="179">
        <f t="shared" si="14"/>
        <v>1</v>
      </c>
      <c r="I17" s="179">
        <f t="shared" si="14"/>
        <v>1</v>
      </c>
      <c r="J17" s="179">
        <f t="shared" ref="J17:N17" si="15">COUNTIF(J14,"&gt;0")</f>
        <v>1</v>
      </c>
      <c r="K17" s="179">
        <f t="shared" si="15"/>
        <v>1</v>
      </c>
      <c r="L17" s="179">
        <f t="shared" si="15"/>
        <v>1</v>
      </c>
      <c r="M17" s="179">
        <f t="shared" si="15"/>
        <v>1</v>
      </c>
      <c r="N17" s="179">
        <f t="shared" si="15"/>
        <v>1</v>
      </c>
      <c r="O17" s="179">
        <f t="shared" si="14"/>
        <v>1</v>
      </c>
      <c r="P17" s="179">
        <f t="shared" si="14"/>
        <v>1</v>
      </c>
      <c r="Q17" s="179">
        <f t="shared" si="14"/>
        <v>1</v>
      </c>
      <c r="R17" s="179">
        <f t="shared" si="14"/>
        <v>1</v>
      </c>
      <c r="S17" s="179">
        <f t="shared" si="14"/>
        <v>1</v>
      </c>
      <c r="T17" s="179">
        <f t="shared" si="14"/>
        <v>1</v>
      </c>
      <c r="U17" s="179">
        <f t="shared" si="14"/>
        <v>1</v>
      </c>
      <c r="V17" s="179">
        <f t="shared" si="14"/>
        <v>1</v>
      </c>
      <c r="W17" s="179">
        <f t="shared" si="14"/>
        <v>1</v>
      </c>
      <c r="X17" s="179">
        <f t="shared" si="14"/>
        <v>1</v>
      </c>
      <c r="Y17" s="179">
        <f t="shared" si="14"/>
        <v>1</v>
      </c>
      <c r="Z17" s="179">
        <f t="shared" si="14"/>
        <v>1</v>
      </c>
      <c r="AA17" s="179">
        <f t="shared" si="14"/>
        <v>1</v>
      </c>
      <c r="AB17" s="179">
        <f t="shared" si="14"/>
        <v>1</v>
      </c>
      <c r="AC17" s="179">
        <f t="shared" si="14"/>
        <v>1</v>
      </c>
      <c r="AD17" s="179">
        <f t="shared" si="14"/>
        <v>1</v>
      </c>
      <c r="AE17" s="179">
        <f t="shared" si="14"/>
        <v>1</v>
      </c>
      <c r="AF17" s="179">
        <f t="shared" si="14"/>
        <v>1</v>
      </c>
      <c r="AH17" s="163"/>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c r="EE17" s="172"/>
    </row>
    <row r="18" spans="1:135" s="171" customFormat="1" ht="16.2" hidden="1" x14ac:dyDescent="0.25">
      <c r="A18" s="519" t="s">
        <v>11</v>
      </c>
      <c r="B18" s="179">
        <f>COUNTIF(B15,"&gt;0")</f>
        <v>0</v>
      </c>
      <c r="C18" s="179">
        <f t="shared" ref="C18:AF18" si="16">COUNTIF(C15,"&gt;0")</f>
        <v>0</v>
      </c>
      <c r="D18" s="179">
        <f t="shared" si="16"/>
        <v>0</v>
      </c>
      <c r="E18" s="179">
        <f t="shared" si="16"/>
        <v>0</v>
      </c>
      <c r="F18" s="179">
        <f t="shared" si="16"/>
        <v>0</v>
      </c>
      <c r="G18" s="179">
        <f t="shared" si="16"/>
        <v>0</v>
      </c>
      <c r="H18" s="179">
        <f t="shared" si="16"/>
        <v>0</v>
      </c>
      <c r="I18" s="179">
        <f t="shared" si="16"/>
        <v>0</v>
      </c>
      <c r="J18" s="179">
        <f t="shared" ref="J18:N18" si="17">COUNTIF(J15,"&gt;0")</f>
        <v>0</v>
      </c>
      <c r="K18" s="179">
        <f t="shared" si="17"/>
        <v>0</v>
      </c>
      <c r="L18" s="179">
        <f t="shared" si="17"/>
        <v>0</v>
      </c>
      <c r="M18" s="179">
        <f t="shared" si="17"/>
        <v>0</v>
      </c>
      <c r="N18" s="179">
        <f t="shared" si="17"/>
        <v>0</v>
      </c>
      <c r="O18" s="179">
        <f t="shared" si="16"/>
        <v>0</v>
      </c>
      <c r="P18" s="179">
        <f t="shared" si="16"/>
        <v>0</v>
      </c>
      <c r="Q18" s="179">
        <f t="shared" si="16"/>
        <v>0</v>
      </c>
      <c r="R18" s="179">
        <f t="shared" si="16"/>
        <v>0</v>
      </c>
      <c r="S18" s="179">
        <f t="shared" si="16"/>
        <v>0</v>
      </c>
      <c r="T18" s="179">
        <f t="shared" si="16"/>
        <v>0</v>
      </c>
      <c r="U18" s="179">
        <f t="shared" si="16"/>
        <v>0</v>
      </c>
      <c r="V18" s="179">
        <f t="shared" si="16"/>
        <v>0</v>
      </c>
      <c r="W18" s="179">
        <f t="shared" si="16"/>
        <v>0</v>
      </c>
      <c r="X18" s="179">
        <f t="shared" si="16"/>
        <v>1</v>
      </c>
      <c r="Y18" s="179">
        <f t="shared" si="16"/>
        <v>0</v>
      </c>
      <c r="Z18" s="179">
        <f t="shared" si="16"/>
        <v>0</v>
      </c>
      <c r="AA18" s="179">
        <f t="shared" si="16"/>
        <v>0</v>
      </c>
      <c r="AB18" s="179">
        <f t="shared" si="16"/>
        <v>0</v>
      </c>
      <c r="AC18" s="179">
        <f t="shared" si="16"/>
        <v>0</v>
      </c>
      <c r="AD18" s="179">
        <f t="shared" si="16"/>
        <v>0</v>
      </c>
      <c r="AE18" s="179">
        <f t="shared" si="16"/>
        <v>1</v>
      </c>
      <c r="AF18" s="179">
        <f t="shared" si="16"/>
        <v>1</v>
      </c>
      <c r="AH18" s="163"/>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c r="EE18" s="172"/>
    </row>
    <row r="19" spans="1:135" s="171" customFormat="1" hidden="1" thickBot="1" x14ac:dyDescent="0.3">
      <c r="A19" s="519" t="s">
        <v>20</v>
      </c>
      <c r="B19" s="179">
        <f>COUNTIF(B16,"&gt;0")</f>
        <v>0</v>
      </c>
      <c r="C19" s="179">
        <f t="shared" ref="C19:AF19" si="18">COUNTIF(C16,"&gt;0")</f>
        <v>0</v>
      </c>
      <c r="D19" s="179">
        <f t="shared" si="18"/>
        <v>0</v>
      </c>
      <c r="E19" s="179">
        <f t="shared" si="18"/>
        <v>0</v>
      </c>
      <c r="F19" s="179">
        <f t="shared" si="18"/>
        <v>0</v>
      </c>
      <c r="G19" s="179">
        <f t="shared" si="18"/>
        <v>0</v>
      </c>
      <c r="H19" s="179">
        <f t="shared" si="18"/>
        <v>0</v>
      </c>
      <c r="I19" s="179">
        <f t="shared" si="18"/>
        <v>0</v>
      </c>
      <c r="J19" s="179">
        <f t="shared" ref="J19:N19" si="19">COUNTIF(J16,"&gt;0")</f>
        <v>0</v>
      </c>
      <c r="K19" s="179">
        <f t="shared" si="19"/>
        <v>0</v>
      </c>
      <c r="L19" s="179">
        <f t="shared" si="19"/>
        <v>0</v>
      </c>
      <c r="M19" s="179">
        <f t="shared" si="19"/>
        <v>0</v>
      </c>
      <c r="N19" s="179">
        <f t="shared" si="19"/>
        <v>0</v>
      </c>
      <c r="O19" s="179">
        <f t="shared" si="18"/>
        <v>0</v>
      </c>
      <c r="P19" s="179">
        <f t="shared" si="18"/>
        <v>0</v>
      </c>
      <c r="Q19" s="179">
        <f t="shared" si="18"/>
        <v>0</v>
      </c>
      <c r="R19" s="179">
        <f t="shared" si="18"/>
        <v>0</v>
      </c>
      <c r="S19" s="179">
        <f t="shared" si="18"/>
        <v>0</v>
      </c>
      <c r="T19" s="179">
        <f t="shared" si="18"/>
        <v>0</v>
      </c>
      <c r="U19" s="179">
        <f t="shared" si="18"/>
        <v>0</v>
      </c>
      <c r="V19" s="179">
        <f t="shared" si="18"/>
        <v>0</v>
      </c>
      <c r="W19" s="179">
        <f t="shared" si="18"/>
        <v>0</v>
      </c>
      <c r="X19" s="179">
        <f t="shared" si="18"/>
        <v>0</v>
      </c>
      <c r="Y19" s="179">
        <f t="shared" si="18"/>
        <v>0</v>
      </c>
      <c r="Z19" s="179">
        <f t="shared" si="18"/>
        <v>0</v>
      </c>
      <c r="AA19" s="179">
        <f t="shared" si="18"/>
        <v>0</v>
      </c>
      <c r="AB19" s="179">
        <f t="shared" si="18"/>
        <v>0</v>
      </c>
      <c r="AC19" s="179">
        <f t="shared" si="18"/>
        <v>0</v>
      </c>
      <c r="AD19" s="179">
        <f t="shared" si="18"/>
        <v>0</v>
      </c>
      <c r="AE19" s="179">
        <f t="shared" si="18"/>
        <v>0</v>
      </c>
      <c r="AF19" s="179">
        <f t="shared" si="18"/>
        <v>0</v>
      </c>
      <c r="AH19" s="163"/>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c r="EE19" s="172"/>
    </row>
    <row r="20" spans="1:135" s="171" customFormat="1" ht="20.100000000000001" customHeight="1" thickBot="1" x14ac:dyDescent="0.3">
      <c r="A20" s="616" t="s">
        <v>12</v>
      </c>
      <c r="B20" s="618">
        <f>SUM(B17:B19)</f>
        <v>1</v>
      </c>
      <c r="C20" s="618">
        <f t="shared" ref="C20:AF20" si="20">SUM(C17:C19)</f>
        <v>1</v>
      </c>
      <c r="D20" s="618">
        <f t="shared" si="20"/>
        <v>1</v>
      </c>
      <c r="E20" s="618">
        <f t="shared" si="20"/>
        <v>1</v>
      </c>
      <c r="F20" s="618">
        <f t="shared" si="20"/>
        <v>1</v>
      </c>
      <c r="G20" s="618">
        <f t="shared" si="20"/>
        <v>1</v>
      </c>
      <c r="H20" s="618">
        <f t="shared" si="20"/>
        <v>1</v>
      </c>
      <c r="I20" s="618">
        <f t="shared" si="20"/>
        <v>1</v>
      </c>
      <c r="J20" s="618">
        <f t="shared" ref="J20:N20" si="21">SUM(J17:J19)</f>
        <v>1</v>
      </c>
      <c r="K20" s="618">
        <f t="shared" si="21"/>
        <v>1</v>
      </c>
      <c r="L20" s="618">
        <f t="shared" si="21"/>
        <v>1</v>
      </c>
      <c r="M20" s="618">
        <f t="shared" si="21"/>
        <v>1</v>
      </c>
      <c r="N20" s="618">
        <f t="shared" si="21"/>
        <v>1</v>
      </c>
      <c r="O20" s="618">
        <f t="shared" si="20"/>
        <v>1</v>
      </c>
      <c r="P20" s="618">
        <f t="shared" si="20"/>
        <v>1</v>
      </c>
      <c r="Q20" s="618">
        <f t="shared" si="20"/>
        <v>1</v>
      </c>
      <c r="R20" s="618">
        <f t="shared" si="20"/>
        <v>1</v>
      </c>
      <c r="S20" s="618">
        <f t="shared" si="20"/>
        <v>1</v>
      </c>
      <c r="T20" s="618">
        <f t="shared" si="20"/>
        <v>1</v>
      </c>
      <c r="U20" s="618">
        <f t="shared" si="20"/>
        <v>1</v>
      </c>
      <c r="V20" s="618">
        <f t="shared" si="20"/>
        <v>1</v>
      </c>
      <c r="W20" s="618">
        <f t="shared" si="20"/>
        <v>1</v>
      </c>
      <c r="X20" s="618">
        <f t="shared" si="20"/>
        <v>2</v>
      </c>
      <c r="Y20" s="618">
        <f t="shared" si="20"/>
        <v>1</v>
      </c>
      <c r="Z20" s="618">
        <f t="shared" si="20"/>
        <v>1</v>
      </c>
      <c r="AA20" s="618">
        <f t="shared" si="20"/>
        <v>1</v>
      </c>
      <c r="AB20" s="618">
        <f t="shared" si="20"/>
        <v>1</v>
      </c>
      <c r="AC20" s="618">
        <f t="shared" si="20"/>
        <v>1</v>
      </c>
      <c r="AD20" s="618">
        <f t="shared" si="20"/>
        <v>1</v>
      </c>
      <c r="AE20" s="618">
        <f t="shared" si="20"/>
        <v>2</v>
      </c>
      <c r="AF20" s="618">
        <f t="shared" si="20"/>
        <v>2</v>
      </c>
      <c r="AH20" s="619">
        <f>SUM(B20:AF20)</f>
        <v>34</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8" t="s">
        <v>21</v>
      </c>
      <c r="B22" s="601">
        <v>800</v>
      </c>
      <c r="C22" s="601">
        <v>1500</v>
      </c>
      <c r="D22" s="601">
        <v>900</v>
      </c>
      <c r="E22" s="601">
        <v>1000</v>
      </c>
      <c r="F22" s="601">
        <v>1200</v>
      </c>
      <c r="G22" s="601">
        <v>900</v>
      </c>
      <c r="H22" s="601">
        <v>900</v>
      </c>
      <c r="I22" s="601">
        <v>900</v>
      </c>
      <c r="J22" s="601">
        <v>1500</v>
      </c>
      <c r="K22" s="601">
        <v>1300</v>
      </c>
      <c r="L22" s="601">
        <v>200</v>
      </c>
      <c r="M22" s="601">
        <v>200</v>
      </c>
      <c r="N22" s="601">
        <v>200</v>
      </c>
      <c r="O22" s="601">
        <v>200</v>
      </c>
      <c r="P22" s="601">
        <v>200</v>
      </c>
      <c r="Q22" s="601">
        <v>1700</v>
      </c>
      <c r="R22" s="601">
        <v>1400</v>
      </c>
      <c r="S22" s="601">
        <v>200</v>
      </c>
      <c r="T22" s="601">
        <v>200</v>
      </c>
      <c r="U22" s="601">
        <v>200</v>
      </c>
      <c r="V22" s="601">
        <v>200</v>
      </c>
      <c r="W22" s="601">
        <v>200</v>
      </c>
      <c r="X22" s="601">
        <v>2700</v>
      </c>
      <c r="Y22" s="601">
        <v>1800</v>
      </c>
      <c r="Z22" s="601">
        <v>200</v>
      </c>
      <c r="AA22" s="601">
        <v>200</v>
      </c>
      <c r="AB22" s="601">
        <v>200</v>
      </c>
      <c r="AC22" s="601">
        <v>200</v>
      </c>
      <c r="AD22" s="601">
        <v>400</v>
      </c>
      <c r="AE22" s="601">
        <v>2300</v>
      </c>
      <c r="AF22" s="601">
        <v>2200</v>
      </c>
      <c r="AG22" s="522"/>
      <c r="AH22" s="594">
        <f>SUM(B22:AG22)</f>
        <v>26200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90" t="s">
        <v>22</v>
      </c>
      <c r="B23" s="602">
        <v>4000</v>
      </c>
      <c r="C23" s="602">
        <v>5400</v>
      </c>
      <c r="D23" s="602">
        <v>3800</v>
      </c>
      <c r="E23" s="602">
        <v>4200</v>
      </c>
      <c r="F23" s="602">
        <v>5200</v>
      </c>
      <c r="G23" s="602">
        <v>4600</v>
      </c>
      <c r="H23" s="602">
        <v>4300</v>
      </c>
      <c r="I23" s="602">
        <v>3600</v>
      </c>
      <c r="J23" s="602">
        <v>5000</v>
      </c>
      <c r="K23" s="602">
        <v>3100</v>
      </c>
      <c r="L23" s="602">
        <v>900</v>
      </c>
      <c r="M23" s="602">
        <v>800</v>
      </c>
      <c r="N23" s="602">
        <v>550</v>
      </c>
      <c r="O23" s="602">
        <v>600</v>
      </c>
      <c r="P23" s="602">
        <v>1200</v>
      </c>
      <c r="Q23" s="602">
        <v>5200</v>
      </c>
      <c r="R23" s="602">
        <v>3700</v>
      </c>
      <c r="S23" s="602">
        <v>800</v>
      </c>
      <c r="T23" s="602">
        <v>700</v>
      </c>
      <c r="U23" s="602">
        <v>550</v>
      </c>
      <c r="V23" s="602">
        <v>600</v>
      </c>
      <c r="W23" s="602">
        <v>1100</v>
      </c>
      <c r="X23" s="602">
        <v>5800</v>
      </c>
      <c r="Y23" s="602">
        <v>3800</v>
      </c>
      <c r="Z23" s="602">
        <v>1200</v>
      </c>
      <c r="AA23" s="602">
        <v>1100</v>
      </c>
      <c r="AB23" s="602">
        <v>800</v>
      </c>
      <c r="AC23" s="602">
        <v>1200</v>
      </c>
      <c r="AD23" s="602">
        <v>2500</v>
      </c>
      <c r="AE23" s="602">
        <v>5500</v>
      </c>
      <c r="AF23" s="602">
        <v>5500</v>
      </c>
      <c r="AG23" s="522"/>
      <c r="AH23" s="595">
        <f t="shared" ref="AH23:AH32" si="22">SUM(B23:AG23)</f>
        <v>87300</v>
      </c>
    </row>
    <row r="24" spans="1:135" s="514" customFormat="1" ht="33.9" customHeight="1" x14ac:dyDescent="0.25">
      <c r="A24" s="592" t="s">
        <v>29</v>
      </c>
      <c r="B24" s="603">
        <v>4800</v>
      </c>
      <c r="C24" s="603">
        <v>6900</v>
      </c>
      <c r="D24" s="603">
        <v>4700</v>
      </c>
      <c r="E24" s="603">
        <v>5200</v>
      </c>
      <c r="F24" s="603">
        <v>6400</v>
      </c>
      <c r="G24" s="603">
        <v>5500</v>
      </c>
      <c r="H24" s="603">
        <v>5200</v>
      </c>
      <c r="I24" s="603">
        <v>4500</v>
      </c>
      <c r="J24" s="603">
        <v>6500</v>
      </c>
      <c r="K24" s="603">
        <v>4400</v>
      </c>
      <c r="L24" s="603">
        <v>1100</v>
      </c>
      <c r="M24" s="603">
        <v>1000</v>
      </c>
      <c r="N24" s="603">
        <v>750</v>
      </c>
      <c r="O24" s="603">
        <v>800</v>
      </c>
      <c r="P24" s="603">
        <v>1400</v>
      </c>
      <c r="Q24" s="603">
        <v>6900</v>
      </c>
      <c r="R24" s="603">
        <v>5100</v>
      </c>
      <c r="S24" s="603">
        <v>1000</v>
      </c>
      <c r="T24" s="603">
        <v>900</v>
      </c>
      <c r="U24" s="603">
        <v>750</v>
      </c>
      <c r="V24" s="603">
        <v>800</v>
      </c>
      <c r="W24" s="603">
        <v>1300</v>
      </c>
      <c r="X24" s="603">
        <v>8500</v>
      </c>
      <c r="Y24" s="603">
        <v>5600</v>
      </c>
      <c r="Z24" s="603">
        <v>1400</v>
      </c>
      <c r="AA24" s="603">
        <v>1300</v>
      </c>
      <c r="AB24" s="603">
        <v>1000</v>
      </c>
      <c r="AC24" s="603">
        <v>1400</v>
      </c>
      <c r="AD24" s="603">
        <v>2900</v>
      </c>
      <c r="AE24" s="603">
        <v>7800</v>
      </c>
      <c r="AF24" s="603">
        <v>7700</v>
      </c>
      <c r="AG24" s="513"/>
      <c r="AH24" s="596">
        <f t="shared" si="22"/>
        <v>113500</v>
      </c>
    </row>
    <row r="25" spans="1:135" ht="33.9" customHeight="1" x14ac:dyDescent="0.25">
      <c r="A25" s="588" t="s">
        <v>43</v>
      </c>
      <c r="B25" s="601">
        <v>0</v>
      </c>
      <c r="C25" s="601">
        <v>1080</v>
      </c>
      <c r="D25" s="601">
        <v>1080</v>
      </c>
      <c r="E25" s="601">
        <v>50</v>
      </c>
      <c r="F25" s="601">
        <v>60</v>
      </c>
      <c r="G25" s="601">
        <v>50</v>
      </c>
      <c r="H25" s="601">
        <v>0</v>
      </c>
      <c r="I25" s="601">
        <v>30</v>
      </c>
      <c r="J25" s="601">
        <v>720</v>
      </c>
      <c r="K25" s="601">
        <v>640</v>
      </c>
      <c r="L25" s="601">
        <v>0</v>
      </c>
      <c r="M25" s="601">
        <v>0</v>
      </c>
      <c r="N25" s="601">
        <v>20</v>
      </c>
      <c r="O25" s="601">
        <v>130</v>
      </c>
      <c r="P25" s="601">
        <v>50</v>
      </c>
      <c r="Q25" s="601">
        <v>1200</v>
      </c>
      <c r="R25" s="601">
        <v>820</v>
      </c>
      <c r="S25" s="601">
        <v>30</v>
      </c>
      <c r="T25" s="601">
        <v>30</v>
      </c>
      <c r="U25" s="601">
        <v>30</v>
      </c>
      <c r="V25" s="601">
        <v>50</v>
      </c>
      <c r="W25" s="601">
        <v>50</v>
      </c>
      <c r="X25" s="601">
        <v>1800</v>
      </c>
      <c r="Y25" s="601">
        <v>1400</v>
      </c>
      <c r="Z25" s="601">
        <v>0</v>
      </c>
      <c r="AA25" s="601">
        <v>0</v>
      </c>
      <c r="AB25" s="601">
        <v>0</v>
      </c>
      <c r="AC25" s="601">
        <v>110</v>
      </c>
      <c r="AD25" s="601">
        <v>90</v>
      </c>
      <c r="AE25" s="601">
        <v>260</v>
      </c>
      <c r="AF25" s="601">
        <v>300</v>
      </c>
      <c r="AG25" s="522"/>
      <c r="AH25" s="594">
        <f t="shared" si="22"/>
        <v>10080</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90" t="s">
        <v>44</v>
      </c>
      <c r="B26" s="602">
        <v>140</v>
      </c>
      <c r="C26" s="602">
        <v>0</v>
      </c>
      <c r="D26" s="602">
        <v>0</v>
      </c>
      <c r="E26" s="602">
        <v>130</v>
      </c>
      <c r="F26" s="602">
        <v>130</v>
      </c>
      <c r="G26" s="602">
        <v>140</v>
      </c>
      <c r="H26" s="602">
        <v>660</v>
      </c>
      <c r="I26" s="602">
        <v>680</v>
      </c>
      <c r="J26" s="602">
        <v>100</v>
      </c>
      <c r="K26" s="602">
        <v>50</v>
      </c>
      <c r="L26" s="602">
        <v>130</v>
      </c>
      <c r="M26" s="602">
        <v>450</v>
      </c>
      <c r="N26" s="602">
        <v>590</v>
      </c>
      <c r="O26" s="602">
        <v>1100</v>
      </c>
      <c r="P26" s="602">
        <v>1440</v>
      </c>
      <c r="Q26" s="602">
        <v>440</v>
      </c>
      <c r="R26" s="602">
        <v>190</v>
      </c>
      <c r="S26" s="602">
        <v>810</v>
      </c>
      <c r="T26" s="602">
        <v>590</v>
      </c>
      <c r="U26" s="602">
        <v>1130</v>
      </c>
      <c r="V26" s="602">
        <v>1530</v>
      </c>
      <c r="W26" s="602">
        <v>1180</v>
      </c>
      <c r="X26" s="602">
        <v>110</v>
      </c>
      <c r="Y26" s="602">
        <v>420</v>
      </c>
      <c r="Z26" s="602">
        <v>540</v>
      </c>
      <c r="AA26" s="602">
        <v>650</v>
      </c>
      <c r="AB26" s="602">
        <v>640</v>
      </c>
      <c r="AC26" s="602">
        <v>1280</v>
      </c>
      <c r="AD26" s="602">
        <v>950</v>
      </c>
      <c r="AE26" s="602">
        <v>0</v>
      </c>
      <c r="AF26" s="602">
        <v>0</v>
      </c>
      <c r="AG26" s="522"/>
      <c r="AH26" s="595">
        <f t="shared" si="22"/>
        <v>16200</v>
      </c>
    </row>
    <row r="27" spans="1:135" s="514" customFormat="1" ht="33.9" customHeight="1" x14ac:dyDescent="0.25">
      <c r="A27" s="592" t="s">
        <v>14</v>
      </c>
      <c r="B27" s="603">
        <v>140</v>
      </c>
      <c r="C27" s="603">
        <v>1080</v>
      </c>
      <c r="D27" s="603">
        <v>1080</v>
      </c>
      <c r="E27" s="603">
        <v>180</v>
      </c>
      <c r="F27" s="603">
        <v>190</v>
      </c>
      <c r="G27" s="603">
        <v>190</v>
      </c>
      <c r="H27" s="603">
        <v>660</v>
      </c>
      <c r="I27" s="603">
        <v>710</v>
      </c>
      <c r="J27" s="603">
        <v>820</v>
      </c>
      <c r="K27" s="603">
        <v>690</v>
      </c>
      <c r="L27" s="603">
        <v>130</v>
      </c>
      <c r="M27" s="603">
        <v>450</v>
      </c>
      <c r="N27" s="603">
        <v>610</v>
      </c>
      <c r="O27" s="603">
        <v>1230</v>
      </c>
      <c r="P27" s="603">
        <v>1490</v>
      </c>
      <c r="Q27" s="603">
        <v>1640</v>
      </c>
      <c r="R27" s="603">
        <v>1010</v>
      </c>
      <c r="S27" s="603">
        <v>840</v>
      </c>
      <c r="T27" s="603">
        <v>620</v>
      </c>
      <c r="U27" s="603">
        <v>1160</v>
      </c>
      <c r="V27" s="603">
        <v>1580</v>
      </c>
      <c r="W27" s="603">
        <v>1230</v>
      </c>
      <c r="X27" s="603">
        <v>1910</v>
      </c>
      <c r="Y27" s="603">
        <v>1820</v>
      </c>
      <c r="Z27" s="603">
        <v>540</v>
      </c>
      <c r="AA27" s="603">
        <v>650</v>
      </c>
      <c r="AB27" s="603">
        <v>640</v>
      </c>
      <c r="AC27" s="603">
        <v>1390</v>
      </c>
      <c r="AD27" s="603">
        <v>1040</v>
      </c>
      <c r="AE27" s="603">
        <v>260</v>
      </c>
      <c r="AF27" s="603">
        <v>300</v>
      </c>
      <c r="AG27" s="513"/>
      <c r="AH27" s="596">
        <f t="shared" si="22"/>
        <v>26280</v>
      </c>
    </row>
    <row r="28" spans="1:135" ht="33.9" customHeight="1" x14ac:dyDescent="0.25">
      <c r="A28" s="588" t="s">
        <v>23</v>
      </c>
      <c r="B28" s="601">
        <v>10</v>
      </c>
      <c r="C28" s="601">
        <v>40</v>
      </c>
      <c r="D28" s="601">
        <v>50</v>
      </c>
      <c r="E28" s="601">
        <v>10</v>
      </c>
      <c r="F28" s="601">
        <v>20</v>
      </c>
      <c r="G28" s="601">
        <v>20</v>
      </c>
      <c r="H28" s="601">
        <v>20</v>
      </c>
      <c r="I28" s="601">
        <v>20</v>
      </c>
      <c r="J28" s="601">
        <v>50</v>
      </c>
      <c r="K28" s="601">
        <v>50</v>
      </c>
      <c r="L28" s="601">
        <v>10</v>
      </c>
      <c r="M28" s="601">
        <v>20</v>
      </c>
      <c r="N28" s="601">
        <v>20</v>
      </c>
      <c r="O28" s="601">
        <v>10</v>
      </c>
      <c r="P28" s="601">
        <v>10</v>
      </c>
      <c r="Q28" s="601">
        <v>50</v>
      </c>
      <c r="R28" s="601">
        <v>60</v>
      </c>
      <c r="S28" s="601">
        <v>10</v>
      </c>
      <c r="T28" s="601">
        <v>10</v>
      </c>
      <c r="U28" s="601">
        <v>20</v>
      </c>
      <c r="V28" s="601">
        <v>20</v>
      </c>
      <c r="W28" s="601">
        <v>20</v>
      </c>
      <c r="X28" s="601">
        <v>40</v>
      </c>
      <c r="Y28" s="601">
        <v>50</v>
      </c>
      <c r="Z28" s="601">
        <v>20</v>
      </c>
      <c r="AA28" s="601">
        <v>20</v>
      </c>
      <c r="AB28" s="601">
        <v>20</v>
      </c>
      <c r="AC28" s="601">
        <v>20</v>
      </c>
      <c r="AD28" s="601">
        <v>20</v>
      </c>
      <c r="AE28" s="601">
        <v>70</v>
      </c>
      <c r="AF28" s="601">
        <v>130</v>
      </c>
      <c r="AG28" s="522"/>
      <c r="AH28" s="594">
        <f t="shared" si="22"/>
        <v>940</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90" t="s">
        <v>26</v>
      </c>
      <c r="B29" s="602">
        <v>40</v>
      </c>
      <c r="C29" s="602">
        <v>140</v>
      </c>
      <c r="D29" s="602">
        <v>180</v>
      </c>
      <c r="E29" s="602">
        <v>40</v>
      </c>
      <c r="F29" s="602">
        <v>60</v>
      </c>
      <c r="G29" s="602">
        <v>80</v>
      </c>
      <c r="H29" s="602">
        <v>60</v>
      </c>
      <c r="I29" s="602">
        <v>80</v>
      </c>
      <c r="J29" s="602">
        <v>140</v>
      </c>
      <c r="K29" s="602">
        <v>200</v>
      </c>
      <c r="L29" s="602">
        <v>20</v>
      </c>
      <c r="M29" s="602">
        <v>40</v>
      </c>
      <c r="N29" s="602">
        <v>40</v>
      </c>
      <c r="O29" s="602">
        <v>20</v>
      </c>
      <c r="P29" s="602">
        <v>20</v>
      </c>
      <c r="Q29" s="602">
        <v>90</v>
      </c>
      <c r="R29" s="602">
        <v>110</v>
      </c>
      <c r="S29" s="602">
        <v>20</v>
      </c>
      <c r="T29" s="602">
        <v>20</v>
      </c>
      <c r="U29" s="602">
        <v>40</v>
      </c>
      <c r="V29" s="602">
        <v>30</v>
      </c>
      <c r="W29" s="602">
        <v>40</v>
      </c>
      <c r="X29" s="602">
        <v>80</v>
      </c>
      <c r="Y29" s="602">
        <v>90</v>
      </c>
      <c r="Z29" s="602">
        <v>30</v>
      </c>
      <c r="AA29" s="602">
        <v>30</v>
      </c>
      <c r="AB29" s="602">
        <v>40</v>
      </c>
      <c r="AC29" s="602">
        <v>30</v>
      </c>
      <c r="AD29" s="602">
        <v>40</v>
      </c>
      <c r="AE29" s="602">
        <v>140</v>
      </c>
      <c r="AF29" s="602">
        <v>250</v>
      </c>
      <c r="AG29" s="522"/>
      <c r="AH29" s="595">
        <f t="shared" si="22"/>
        <v>2240</v>
      </c>
    </row>
    <row r="30" spans="1:135" ht="33.9" customHeight="1" x14ac:dyDescent="0.25">
      <c r="A30" s="588" t="s">
        <v>24</v>
      </c>
      <c r="B30" s="601">
        <v>0</v>
      </c>
      <c r="C30" s="601">
        <v>0</v>
      </c>
      <c r="D30" s="601">
        <v>0</v>
      </c>
      <c r="E30" s="601">
        <v>0</v>
      </c>
      <c r="F30" s="601">
        <v>0</v>
      </c>
      <c r="G30" s="601">
        <v>150</v>
      </c>
      <c r="H30" s="601">
        <v>0</v>
      </c>
      <c r="I30" s="601">
        <v>0</v>
      </c>
      <c r="J30" s="601">
        <v>0</v>
      </c>
      <c r="K30" s="601">
        <v>0</v>
      </c>
      <c r="L30" s="601">
        <v>0</v>
      </c>
      <c r="M30" s="601">
        <v>38</v>
      </c>
      <c r="N30" s="601">
        <v>50</v>
      </c>
      <c r="O30" s="601">
        <v>0</v>
      </c>
      <c r="P30" s="601">
        <v>0</v>
      </c>
      <c r="Q30" s="601">
        <v>580</v>
      </c>
      <c r="R30" s="601">
        <v>45</v>
      </c>
      <c r="S30" s="601">
        <v>0</v>
      </c>
      <c r="T30" s="601">
        <v>20</v>
      </c>
      <c r="U30" s="601">
        <v>30</v>
      </c>
      <c r="V30" s="601">
        <v>16</v>
      </c>
      <c r="W30" s="601">
        <v>16</v>
      </c>
      <c r="X30" s="601">
        <v>0</v>
      </c>
      <c r="Y30" s="601">
        <v>0</v>
      </c>
      <c r="Z30" s="601">
        <v>12</v>
      </c>
      <c r="AA30" s="601">
        <v>27</v>
      </c>
      <c r="AB30" s="601">
        <v>74</v>
      </c>
      <c r="AC30" s="601">
        <v>230</v>
      </c>
      <c r="AD30" s="601">
        <v>0</v>
      </c>
      <c r="AE30" s="601">
        <v>0</v>
      </c>
      <c r="AF30" s="601">
        <v>0</v>
      </c>
      <c r="AG30" s="522"/>
      <c r="AH30" s="594">
        <f t="shared" si="22"/>
        <v>1288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1.5" customHeight="1" x14ac:dyDescent="0.25">
      <c r="A31" s="590" t="s">
        <v>25</v>
      </c>
      <c r="B31" s="602">
        <v>360</v>
      </c>
      <c r="C31" s="602">
        <v>150</v>
      </c>
      <c r="D31" s="602">
        <v>120</v>
      </c>
      <c r="E31" s="602">
        <v>80</v>
      </c>
      <c r="F31" s="602">
        <v>90</v>
      </c>
      <c r="G31" s="602">
        <v>400</v>
      </c>
      <c r="H31" s="602">
        <v>100</v>
      </c>
      <c r="I31" s="602">
        <v>400</v>
      </c>
      <c r="J31" s="602">
        <v>90</v>
      </c>
      <c r="K31" s="602">
        <v>90</v>
      </c>
      <c r="L31" s="602">
        <v>120</v>
      </c>
      <c r="M31" s="602">
        <v>40</v>
      </c>
      <c r="N31" s="602">
        <v>80</v>
      </c>
      <c r="O31" s="602">
        <v>60</v>
      </c>
      <c r="P31" s="602">
        <v>50</v>
      </c>
      <c r="Q31" s="602">
        <v>400</v>
      </c>
      <c r="R31" s="602">
        <v>250</v>
      </c>
      <c r="S31" s="602">
        <v>50</v>
      </c>
      <c r="T31" s="602">
        <v>20</v>
      </c>
      <c r="U31" s="602">
        <v>30</v>
      </c>
      <c r="V31" s="602">
        <v>80</v>
      </c>
      <c r="W31" s="602">
        <v>70</v>
      </c>
      <c r="X31" s="602">
        <v>330</v>
      </c>
      <c r="Y31" s="602">
        <v>200</v>
      </c>
      <c r="Z31" s="602">
        <v>60</v>
      </c>
      <c r="AA31" s="602">
        <v>60</v>
      </c>
      <c r="AB31" s="602">
        <v>40</v>
      </c>
      <c r="AC31" s="602">
        <v>80</v>
      </c>
      <c r="AD31" s="602">
        <v>60</v>
      </c>
      <c r="AE31" s="602">
        <v>250</v>
      </c>
      <c r="AF31" s="602">
        <v>400</v>
      </c>
      <c r="AG31" s="522"/>
      <c r="AH31" s="595">
        <f t="shared" si="22"/>
        <v>4610</v>
      </c>
    </row>
    <row r="32" spans="1:135" s="514" customFormat="1" ht="33.9" customHeight="1" x14ac:dyDescent="0.25">
      <c r="A32" s="592" t="s">
        <v>30</v>
      </c>
      <c r="B32" s="603">
        <v>410</v>
      </c>
      <c r="C32" s="603">
        <v>330</v>
      </c>
      <c r="D32" s="603">
        <v>350</v>
      </c>
      <c r="E32" s="603">
        <v>130</v>
      </c>
      <c r="F32" s="603">
        <v>170</v>
      </c>
      <c r="G32" s="603">
        <v>650</v>
      </c>
      <c r="H32" s="603">
        <v>180</v>
      </c>
      <c r="I32" s="603">
        <v>500</v>
      </c>
      <c r="J32" s="603">
        <v>280</v>
      </c>
      <c r="K32" s="603">
        <v>340</v>
      </c>
      <c r="L32" s="603">
        <v>150</v>
      </c>
      <c r="M32" s="603">
        <v>138</v>
      </c>
      <c r="N32" s="603">
        <v>190</v>
      </c>
      <c r="O32" s="603">
        <v>90</v>
      </c>
      <c r="P32" s="603">
        <v>80</v>
      </c>
      <c r="Q32" s="603">
        <v>1120</v>
      </c>
      <c r="R32" s="603">
        <v>465</v>
      </c>
      <c r="S32" s="603">
        <v>80</v>
      </c>
      <c r="T32" s="603">
        <v>70</v>
      </c>
      <c r="U32" s="603">
        <v>120</v>
      </c>
      <c r="V32" s="603">
        <v>146</v>
      </c>
      <c r="W32" s="603">
        <v>146</v>
      </c>
      <c r="X32" s="603">
        <v>450</v>
      </c>
      <c r="Y32" s="603">
        <v>340</v>
      </c>
      <c r="Z32" s="603">
        <v>122</v>
      </c>
      <c r="AA32" s="603">
        <v>137</v>
      </c>
      <c r="AB32" s="603">
        <v>174</v>
      </c>
      <c r="AC32" s="603">
        <v>360</v>
      </c>
      <c r="AD32" s="603">
        <v>120</v>
      </c>
      <c r="AE32" s="603">
        <v>460</v>
      </c>
      <c r="AF32" s="603">
        <v>780</v>
      </c>
      <c r="AG32" s="513"/>
      <c r="AH32" s="596">
        <f t="shared" si="22"/>
        <v>9078</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7" customFormat="1" ht="66.75" customHeight="1" x14ac:dyDescent="0.4">
      <c r="A34" s="598" t="s">
        <v>16</v>
      </c>
      <c r="B34" s="599">
        <f>+B32+B27+B24</f>
        <v>5350</v>
      </c>
      <c r="C34" s="599">
        <f t="shared" ref="C34:AF34" si="23">+C32+C27+C24</f>
        <v>8310</v>
      </c>
      <c r="D34" s="599">
        <f t="shared" si="23"/>
        <v>6130</v>
      </c>
      <c r="E34" s="599">
        <f t="shared" si="23"/>
        <v>5510</v>
      </c>
      <c r="F34" s="599">
        <f t="shared" si="23"/>
        <v>6760</v>
      </c>
      <c r="G34" s="599">
        <f t="shared" si="23"/>
        <v>6340</v>
      </c>
      <c r="H34" s="599">
        <f t="shared" si="23"/>
        <v>6040</v>
      </c>
      <c r="I34" s="599">
        <f t="shared" si="23"/>
        <v>5710</v>
      </c>
      <c r="J34" s="599">
        <f t="shared" si="23"/>
        <v>7600</v>
      </c>
      <c r="K34" s="599">
        <f t="shared" si="23"/>
        <v>5430</v>
      </c>
      <c r="L34" s="599">
        <f t="shared" si="23"/>
        <v>1380</v>
      </c>
      <c r="M34" s="599">
        <f t="shared" si="23"/>
        <v>1588</v>
      </c>
      <c r="N34" s="599">
        <f t="shared" si="23"/>
        <v>1550</v>
      </c>
      <c r="O34" s="599">
        <f t="shared" si="23"/>
        <v>2120</v>
      </c>
      <c r="P34" s="599">
        <f t="shared" si="23"/>
        <v>2970</v>
      </c>
      <c r="Q34" s="599">
        <f t="shared" si="23"/>
        <v>9660</v>
      </c>
      <c r="R34" s="599">
        <f t="shared" si="23"/>
        <v>6575</v>
      </c>
      <c r="S34" s="599">
        <f t="shared" si="23"/>
        <v>1920</v>
      </c>
      <c r="T34" s="599">
        <f t="shared" si="23"/>
        <v>1590</v>
      </c>
      <c r="U34" s="599">
        <f t="shared" si="23"/>
        <v>2030</v>
      </c>
      <c r="V34" s="599">
        <f t="shared" si="23"/>
        <v>2526</v>
      </c>
      <c r="W34" s="599">
        <f t="shared" si="23"/>
        <v>2676</v>
      </c>
      <c r="X34" s="599">
        <f t="shared" si="23"/>
        <v>10860</v>
      </c>
      <c r="Y34" s="599">
        <f t="shared" si="23"/>
        <v>7760</v>
      </c>
      <c r="Z34" s="599">
        <f t="shared" si="23"/>
        <v>2062</v>
      </c>
      <c r="AA34" s="599">
        <f t="shared" si="23"/>
        <v>2087</v>
      </c>
      <c r="AB34" s="599">
        <f t="shared" si="23"/>
        <v>1814</v>
      </c>
      <c r="AC34" s="599">
        <f t="shared" si="23"/>
        <v>3150</v>
      </c>
      <c r="AD34" s="599">
        <f t="shared" si="23"/>
        <v>4060</v>
      </c>
      <c r="AE34" s="599">
        <f t="shared" si="23"/>
        <v>8520</v>
      </c>
      <c r="AF34" s="599">
        <f t="shared" si="23"/>
        <v>8780</v>
      </c>
      <c r="AG34" s="586"/>
      <c r="AH34" s="597">
        <f>SUM(B34:AF34)</f>
        <v>148858</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8"/>
      <c r="AB35" s="17"/>
      <c r="AC35" s="17"/>
      <c r="AD35" s="17"/>
      <c r="AE35" s="17"/>
      <c r="AF35" s="17"/>
      <c r="AG35"/>
      <c r="AH35" s="38"/>
    </row>
    <row r="36" spans="1:135" s="42" customFormat="1" ht="3" customHeight="1" x14ac:dyDescent="0.25">
      <c r="A36" s="534"/>
      <c r="B36" s="536"/>
      <c r="C36" s="536"/>
      <c r="D36" s="536"/>
      <c r="E36" s="536"/>
      <c r="F36" s="536"/>
      <c r="G36" s="536"/>
      <c r="H36" s="536"/>
      <c r="I36" s="536"/>
      <c r="J36" s="536"/>
      <c r="K36" s="536"/>
      <c r="L36" s="536"/>
      <c r="M36" s="536"/>
      <c r="N36" s="536"/>
      <c r="O36" s="536"/>
      <c r="P36" s="536"/>
      <c r="Q36" s="536"/>
      <c r="R36" s="536"/>
      <c r="S36" s="536"/>
      <c r="T36" s="536"/>
      <c r="U36" s="536"/>
      <c r="V36" s="536"/>
      <c r="W36" s="536"/>
      <c r="X36" s="536"/>
      <c r="Y36" s="536"/>
      <c r="Z36" s="536"/>
      <c r="AA36" s="536"/>
      <c r="AB36" s="536"/>
      <c r="AC36" s="536"/>
      <c r="AD36" s="536"/>
      <c r="AE36" s="536"/>
      <c r="AF36" s="536"/>
      <c r="AG36"/>
      <c r="AH36" s="2"/>
    </row>
    <row r="37" spans="1:135" s="549" customFormat="1" ht="16.2" x14ac:dyDescent="0.25">
      <c r="A37" s="540" t="s">
        <v>17</v>
      </c>
      <c r="B37" s="541">
        <v>0.80208333333333337</v>
      </c>
      <c r="C37" s="541">
        <v>0.8027777777777777</v>
      </c>
      <c r="D37" s="541">
        <v>0.8041666666666667</v>
      </c>
      <c r="E37" s="541">
        <v>0.80486111111111114</v>
      </c>
      <c r="F37" s="541">
        <v>0.80555555555555547</v>
      </c>
      <c r="G37" s="541">
        <v>0.80694444444444446</v>
      </c>
      <c r="H37" s="541">
        <v>0.80763888888888891</v>
      </c>
      <c r="I37" s="541">
        <v>0.80902777777777779</v>
      </c>
      <c r="J37" s="541">
        <v>0.80972222222222223</v>
      </c>
      <c r="K37" s="541">
        <v>0.81041666666666667</v>
      </c>
      <c r="L37" s="541">
        <v>0.81180555555555556</v>
      </c>
      <c r="M37" s="541">
        <v>0.8125</v>
      </c>
      <c r="N37" s="541" t="s">
        <v>136</v>
      </c>
      <c r="O37" s="541">
        <v>0.81458333333333333</v>
      </c>
      <c r="P37" s="541">
        <v>0.81527777777777777</v>
      </c>
      <c r="Q37" s="541">
        <v>0.81666666666666676</v>
      </c>
      <c r="R37" s="541">
        <v>0.81736111111111109</v>
      </c>
      <c r="S37" s="541">
        <v>0.81874999999999998</v>
      </c>
      <c r="T37" s="541">
        <v>0.81944444444444453</v>
      </c>
      <c r="U37" s="541">
        <v>0.82013888888888886</v>
      </c>
      <c r="V37" s="541">
        <v>0.82152777777777775</v>
      </c>
      <c r="W37" s="541">
        <v>0.8222222222222223</v>
      </c>
      <c r="X37" s="541">
        <v>0.82361111111111107</v>
      </c>
      <c r="Y37" s="541">
        <v>0.82430555555555562</v>
      </c>
      <c r="Z37" s="541">
        <v>0.82500000000000007</v>
      </c>
      <c r="AA37" s="541">
        <v>0.82638888888888884</v>
      </c>
      <c r="AB37" s="21">
        <v>0.82708333333333339</v>
      </c>
      <c r="AC37" s="541">
        <v>0.82847222222222217</v>
      </c>
      <c r="AD37" s="541">
        <v>0.82916666666666661</v>
      </c>
      <c r="AE37" s="541">
        <v>0.82986111111111116</v>
      </c>
      <c r="AF37" s="655">
        <v>0.87291666666666667</v>
      </c>
      <c r="AG37" s="547"/>
      <c r="AH37" s="543"/>
      <c r="BL37" s="542"/>
      <c r="BM37" s="542"/>
      <c r="BN37" s="542"/>
      <c r="BO37" s="542"/>
      <c r="BP37" s="542"/>
      <c r="BQ37" s="542"/>
      <c r="BR37" s="542"/>
      <c r="BS37" s="542"/>
      <c r="BT37" s="542"/>
      <c r="BU37" s="542"/>
      <c r="BV37" s="542"/>
      <c r="BW37" s="542"/>
      <c r="BX37" s="542"/>
      <c r="BY37" s="542"/>
      <c r="BZ37" s="542"/>
      <c r="CA37" s="542"/>
      <c r="CB37" s="542"/>
      <c r="CC37" s="542"/>
      <c r="CD37" s="542"/>
      <c r="CE37" s="542"/>
      <c r="CF37" s="542"/>
      <c r="CG37" s="542"/>
      <c r="CH37" s="542"/>
      <c r="CI37" s="542"/>
      <c r="CJ37" s="542"/>
      <c r="CK37" s="542"/>
      <c r="CL37" s="542"/>
      <c r="CM37" s="542"/>
      <c r="CN37" s="542"/>
      <c r="CO37" s="542"/>
      <c r="CP37" s="542"/>
      <c r="CQ37" s="542"/>
      <c r="CR37" s="542"/>
      <c r="CS37" s="542"/>
      <c r="CT37" s="542"/>
      <c r="CU37" s="542"/>
      <c r="CV37" s="542"/>
      <c r="CW37" s="542"/>
      <c r="CX37" s="542"/>
      <c r="CY37" s="542"/>
      <c r="CZ37" s="542"/>
      <c r="DA37" s="542"/>
      <c r="DB37" s="542"/>
      <c r="DC37" s="542"/>
      <c r="DD37" s="542"/>
      <c r="DE37" s="542"/>
      <c r="DF37" s="542"/>
      <c r="DG37" s="542"/>
      <c r="DH37" s="542"/>
      <c r="DI37" s="542"/>
      <c r="DJ37" s="542"/>
      <c r="DK37" s="542"/>
      <c r="DL37" s="542"/>
      <c r="DM37" s="542"/>
      <c r="DN37" s="542"/>
      <c r="DO37" s="542"/>
      <c r="DP37" s="542"/>
      <c r="DQ37" s="542"/>
      <c r="DR37" s="542"/>
      <c r="DS37" s="542"/>
      <c r="DT37" s="542"/>
      <c r="DU37" s="542"/>
      <c r="DV37" s="542"/>
      <c r="DW37" s="542"/>
      <c r="DX37" s="542"/>
      <c r="DY37" s="542"/>
      <c r="DZ37" s="542"/>
      <c r="EA37" s="542"/>
      <c r="EB37" s="542"/>
      <c r="EC37" s="542"/>
      <c r="ED37" s="542"/>
      <c r="EE37" s="542"/>
    </row>
    <row r="38" spans="1:135" s="549" customFormat="1" ht="20.100000000000001" customHeight="1" x14ac:dyDescent="0.25">
      <c r="A38" s="545" t="s">
        <v>18</v>
      </c>
      <c r="B38" s="546" t="str">
        <f>+IF(B34&lt;=2500,"BF",IF(AND(B34&gt;2500,B34&lt;=6000),"MF",IF(AND(B34&gt;6000,B34&lt;12000),"HF","THF")))</f>
        <v>MF</v>
      </c>
      <c r="C38" s="546" t="str">
        <f t="shared" ref="C38:AF38" si="24">+IF(C34&lt;=2500,"BF",IF(AND(C34&gt;2500,C34&lt;=6000),"MF",IF(AND(C34&gt;6000,C34&lt;12000),"HF","THF")))</f>
        <v>HF</v>
      </c>
      <c r="D38" s="546" t="str">
        <f t="shared" si="24"/>
        <v>HF</v>
      </c>
      <c r="E38" s="546" t="str">
        <f t="shared" si="24"/>
        <v>MF</v>
      </c>
      <c r="F38" s="546" t="str">
        <f t="shared" si="24"/>
        <v>HF</v>
      </c>
      <c r="G38" s="546" t="str">
        <f t="shared" si="24"/>
        <v>HF</v>
      </c>
      <c r="H38" s="546" t="str">
        <f t="shared" si="24"/>
        <v>HF</v>
      </c>
      <c r="I38" s="546" t="str">
        <f t="shared" si="24"/>
        <v>MF</v>
      </c>
      <c r="J38" s="546" t="str">
        <f t="shared" si="24"/>
        <v>HF</v>
      </c>
      <c r="K38" s="546" t="str">
        <f t="shared" si="24"/>
        <v>MF</v>
      </c>
      <c r="L38" s="546" t="str">
        <f t="shared" si="24"/>
        <v>BF</v>
      </c>
      <c r="M38" s="546" t="str">
        <f t="shared" si="24"/>
        <v>BF</v>
      </c>
      <c r="N38" s="546" t="str">
        <f t="shared" si="24"/>
        <v>BF</v>
      </c>
      <c r="O38" s="546" t="str">
        <f t="shared" si="24"/>
        <v>BF</v>
      </c>
      <c r="P38" s="546" t="str">
        <f t="shared" si="24"/>
        <v>MF</v>
      </c>
      <c r="Q38" s="546" t="str">
        <f t="shared" si="24"/>
        <v>HF</v>
      </c>
      <c r="R38" s="546" t="str">
        <f t="shared" si="24"/>
        <v>HF</v>
      </c>
      <c r="S38" s="546" t="str">
        <f t="shared" si="24"/>
        <v>BF</v>
      </c>
      <c r="T38" s="546" t="str">
        <f t="shared" si="24"/>
        <v>BF</v>
      </c>
      <c r="U38" s="546" t="str">
        <f t="shared" si="24"/>
        <v>BF</v>
      </c>
      <c r="V38" s="546" t="str">
        <f t="shared" si="24"/>
        <v>MF</v>
      </c>
      <c r="W38" s="546" t="str">
        <f t="shared" si="24"/>
        <v>MF</v>
      </c>
      <c r="X38" s="546" t="str">
        <f t="shared" si="24"/>
        <v>HF</v>
      </c>
      <c r="Y38" s="546" t="str">
        <f t="shared" si="24"/>
        <v>HF</v>
      </c>
      <c r="Z38" s="546" t="str">
        <f t="shared" si="24"/>
        <v>BF</v>
      </c>
      <c r="AA38" s="546" t="str">
        <f t="shared" si="24"/>
        <v>BF</v>
      </c>
      <c r="AB38" s="546" t="str">
        <f t="shared" si="24"/>
        <v>BF</v>
      </c>
      <c r="AC38" s="546" t="str">
        <f t="shared" si="24"/>
        <v>MF</v>
      </c>
      <c r="AD38" s="546" t="str">
        <f t="shared" si="24"/>
        <v>MF</v>
      </c>
      <c r="AE38" s="546" t="str">
        <f t="shared" si="24"/>
        <v>HF</v>
      </c>
      <c r="AF38" s="546" t="str">
        <f t="shared" si="24"/>
        <v>HF</v>
      </c>
      <c r="AG38" s="547"/>
      <c r="AH38" s="543"/>
      <c r="BL38" s="542"/>
      <c r="BM38" s="542"/>
      <c r="BN38" s="542"/>
      <c r="BO38" s="542"/>
      <c r="BP38" s="542"/>
      <c r="BQ38" s="542"/>
      <c r="BR38" s="542"/>
      <c r="BS38" s="542"/>
      <c r="BT38" s="542"/>
      <c r="BU38" s="542"/>
      <c r="BV38" s="542"/>
      <c r="BW38" s="542"/>
      <c r="BX38" s="542"/>
      <c r="BY38" s="542"/>
      <c r="BZ38" s="542"/>
      <c r="CA38" s="542"/>
      <c r="CB38" s="542"/>
      <c r="CC38" s="542"/>
      <c r="CD38" s="542"/>
      <c r="CE38" s="542"/>
      <c r="CF38" s="542"/>
      <c r="CG38" s="542"/>
      <c r="CH38" s="542"/>
      <c r="CI38" s="542"/>
      <c r="CJ38" s="542"/>
      <c r="CK38" s="542"/>
      <c r="CL38" s="542"/>
      <c r="CM38" s="542"/>
      <c r="CN38" s="542"/>
      <c r="CO38" s="542"/>
      <c r="CP38" s="542"/>
      <c r="CQ38" s="542"/>
      <c r="CR38" s="542"/>
      <c r="CS38" s="542"/>
      <c r="CT38" s="542"/>
      <c r="CU38" s="542"/>
      <c r="CV38" s="542"/>
      <c r="CW38" s="542"/>
      <c r="CX38" s="542"/>
      <c r="CY38" s="542"/>
      <c r="CZ38" s="542"/>
      <c r="DA38" s="542"/>
      <c r="DB38" s="542"/>
      <c r="DC38" s="542"/>
      <c r="DD38" s="542"/>
      <c r="DE38" s="542"/>
      <c r="DF38" s="542"/>
      <c r="DG38" s="542"/>
      <c r="DH38" s="542"/>
      <c r="DI38" s="542"/>
      <c r="DJ38" s="542"/>
      <c r="DK38" s="542"/>
      <c r="DL38" s="542"/>
      <c r="DM38" s="542"/>
      <c r="DN38" s="542"/>
      <c r="DO38" s="542"/>
      <c r="DP38" s="542"/>
      <c r="DQ38" s="542"/>
      <c r="DR38" s="542"/>
      <c r="DS38" s="542"/>
      <c r="DT38" s="542"/>
      <c r="DU38" s="542"/>
      <c r="DV38" s="542"/>
      <c r="DW38" s="542"/>
      <c r="DX38" s="542"/>
      <c r="DY38" s="542"/>
      <c r="DZ38" s="542"/>
      <c r="EA38" s="542"/>
      <c r="EB38" s="542"/>
      <c r="EC38" s="542"/>
      <c r="ED38" s="542"/>
      <c r="EE38" s="542"/>
    </row>
    <row r="39" spans="1:135" s="42" customFormat="1" ht="3" customHeight="1" x14ac:dyDescent="0.25">
      <c r="A39" s="534"/>
      <c r="B39" s="536"/>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c r="AH39" s="2"/>
    </row>
    <row r="40" spans="1:135" ht="19.8"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row>
    <row r="41" spans="1:135" ht="19.8" hidden="1" x14ac:dyDescent="0.25">
      <c r="A41" s="13"/>
      <c r="B41" s="480">
        <f>+B34-B30</f>
        <v>5350</v>
      </c>
      <c r="C41" s="480">
        <f t="shared" ref="C41:AF41" si="25">+C34-C30</f>
        <v>8310</v>
      </c>
      <c r="D41" s="480">
        <f t="shared" si="25"/>
        <v>6130</v>
      </c>
      <c r="E41" s="480">
        <f t="shared" si="25"/>
        <v>5510</v>
      </c>
      <c r="F41" s="480">
        <f t="shared" si="25"/>
        <v>6760</v>
      </c>
      <c r="G41" s="480">
        <f t="shared" si="25"/>
        <v>6190</v>
      </c>
      <c r="H41" s="480">
        <f t="shared" si="25"/>
        <v>6040</v>
      </c>
      <c r="I41" s="480">
        <f t="shared" si="25"/>
        <v>5710</v>
      </c>
      <c r="J41" s="480">
        <f t="shared" si="25"/>
        <v>7600</v>
      </c>
      <c r="K41" s="480">
        <f t="shared" si="25"/>
        <v>5430</v>
      </c>
      <c r="L41" s="480">
        <f t="shared" si="25"/>
        <v>1380</v>
      </c>
      <c r="M41" s="480">
        <f t="shared" si="25"/>
        <v>1550</v>
      </c>
      <c r="N41" s="480">
        <f t="shared" si="25"/>
        <v>1500</v>
      </c>
      <c r="O41" s="480">
        <f t="shared" si="25"/>
        <v>2120</v>
      </c>
      <c r="P41" s="480">
        <f t="shared" si="25"/>
        <v>2970</v>
      </c>
      <c r="Q41" s="480">
        <f t="shared" si="25"/>
        <v>9080</v>
      </c>
      <c r="R41" s="480">
        <f t="shared" si="25"/>
        <v>6530</v>
      </c>
      <c r="S41" s="480">
        <f t="shared" si="25"/>
        <v>1920</v>
      </c>
      <c r="T41" s="480">
        <f t="shared" si="25"/>
        <v>1570</v>
      </c>
      <c r="U41" s="480">
        <f t="shared" si="25"/>
        <v>2000</v>
      </c>
      <c r="V41" s="480">
        <f t="shared" si="25"/>
        <v>2510</v>
      </c>
      <c r="W41" s="480">
        <f t="shared" si="25"/>
        <v>2660</v>
      </c>
      <c r="X41" s="480">
        <f t="shared" si="25"/>
        <v>10860</v>
      </c>
      <c r="Y41" s="480">
        <f t="shared" si="25"/>
        <v>7760</v>
      </c>
      <c r="Z41" s="480">
        <f t="shared" si="25"/>
        <v>2050</v>
      </c>
      <c r="AA41" s="480">
        <f t="shared" si="25"/>
        <v>2060</v>
      </c>
      <c r="AB41" s="480">
        <f t="shared" si="25"/>
        <v>1740</v>
      </c>
      <c r="AC41" s="480">
        <f t="shared" si="25"/>
        <v>2920</v>
      </c>
      <c r="AD41" s="480">
        <f t="shared" si="25"/>
        <v>4060</v>
      </c>
      <c r="AE41" s="480">
        <f t="shared" si="25"/>
        <v>8520</v>
      </c>
      <c r="AF41" s="480">
        <f t="shared" si="25"/>
        <v>8780</v>
      </c>
      <c r="AG41"/>
      <c r="AH41" s="1"/>
    </row>
    <row r="42" spans="1:135" ht="19.8" x14ac:dyDescent="0.25">
      <c r="A42" s="13"/>
      <c r="B42" s="481">
        <f>+B32-B30</f>
        <v>410</v>
      </c>
      <c r="C42" s="481">
        <f t="shared" ref="C42:AF42" si="26">+C32-C30</f>
        <v>330</v>
      </c>
      <c r="D42" s="481">
        <f t="shared" si="26"/>
        <v>350</v>
      </c>
      <c r="E42" s="481">
        <f t="shared" si="26"/>
        <v>130</v>
      </c>
      <c r="F42" s="481">
        <f t="shared" si="26"/>
        <v>170</v>
      </c>
      <c r="G42" s="481">
        <f t="shared" si="26"/>
        <v>500</v>
      </c>
      <c r="H42" s="481">
        <f t="shared" si="26"/>
        <v>180</v>
      </c>
      <c r="I42" s="481">
        <f t="shared" si="26"/>
        <v>500</v>
      </c>
      <c r="J42" s="481">
        <f t="shared" si="26"/>
        <v>280</v>
      </c>
      <c r="K42" s="481">
        <f t="shared" si="26"/>
        <v>340</v>
      </c>
      <c r="L42" s="481">
        <f t="shared" si="26"/>
        <v>150</v>
      </c>
      <c r="M42" s="481">
        <f t="shared" si="26"/>
        <v>100</v>
      </c>
      <c r="N42" s="481">
        <f t="shared" si="26"/>
        <v>140</v>
      </c>
      <c r="O42" s="481">
        <f t="shared" si="26"/>
        <v>90</v>
      </c>
      <c r="P42" s="481">
        <f t="shared" si="26"/>
        <v>80</v>
      </c>
      <c r="Q42" s="481">
        <f t="shared" si="26"/>
        <v>540</v>
      </c>
      <c r="R42" s="481">
        <f t="shared" si="26"/>
        <v>420</v>
      </c>
      <c r="S42" s="481">
        <f t="shared" si="26"/>
        <v>80</v>
      </c>
      <c r="T42" s="481">
        <f t="shared" si="26"/>
        <v>50</v>
      </c>
      <c r="U42" s="481">
        <f t="shared" si="26"/>
        <v>90</v>
      </c>
      <c r="V42" s="481">
        <f t="shared" si="26"/>
        <v>130</v>
      </c>
      <c r="W42" s="481">
        <f t="shared" si="26"/>
        <v>130</v>
      </c>
      <c r="X42" s="481">
        <f t="shared" si="26"/>
        <v>450</v>
      </c>
      <c r="Y42" s="481">
        <f t="shared" si="26"/>
        <v>340</v>
      </c>
      <c r="Z42" s="481">
        <f t="shared" si="26"/>
        <v>110</v>
      </c>
      <c r="AA42" s="481">
        <f t="shared" si="26"/>
        <v>110</v>
      </c>
      <c r="AB42" s="481">
        <f t="shared" si="26"/>
        <v>100</v>
      </c>
      <c r="AC42" s="481">
        <f t="shared" si="26"/>
        <v>130</v>
      </c>
      <c r="AD42" s="481">
        <f t="shared" si="26"/>
        <v>120</v>
      </c>
      <c r="AE42" s="481">
        <f t="shared" si="26"/>
        <v>460</v>
      </c>
      <c r="AF42" s="481">
        <f t="shared" si="26"/>
        <v>780</v>
      </c>
      <c r="AG42"/>
      <c r="AH42" s="459"/>
    </row>
    <row r="43" spans="1:135" ht="15" customHeight="1" x14ac:dyDescent="0.4">
      <c r="A43" s="13"/>
      <c r="B43" s="19"/>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spans="1:135" s="3" customFormat="1" ht="15" customHeight="1" x14ac:dyDescent="0.25">
      <c r="A44" s="22"/>
      <c r="B44" s="454">
        <f>IF(B9="",0,1)</f>
        <v>1</v>
      </c>
      <c r="C44" s="454">
        <f t="shared" ref="C44:AF44" si="27">IF(C9="",0,1)</f>
        <v>1</v>
      </c>
      <c r="D44" s="454">
        <f t="shared" si="27"/>
        <v>1</v>
      </c>
      <c r="E44" s="454">
        <f t="shared" si="27"/>
        <v>1</v>
      </c>
      <c r="F44" s="454">
        <f t="shared" si="27"/>
        <v>1</v>
      </c>
      <c r="G44" s="454">
        <f t="shared" si="27"/>
        <v>1</v>
      </c>
      <c r="H44" s="454">
        <f t="shared" si="27"/>
        <v>1</v>
      </c>
      <c r="I44" s="454">
        <f t="shared" si="27"/>
        <v>1</v>
      </c>
      <c r="J44" s="454">
        <f t="shared" si="27"/>
        <v>1</v>
      </c>
      <c r="K44" s="454">
        <f t="shared" si="27"/>
        <v>1</v>
      </c>
      <c r="L44" s="454">
        <f t="shared" si="27"/>
        <v>1</v>
      </c>
      <c r="M44" s="454">
        <f t="shared" si="27"/>
        <v>1</v>
      </c>
      <c r="N44" s="454">
        <f t="shared" si="27"/>
        <v>1</v>
      </c>
      <c r="O44" s="454">
        <f t="shared" si="27"/>
        <v>1</v>
      </c>
      <c r="P44" s="454">
        <f t="shared" si="27"/>
        <v>1</v>
      </c>
      <c r="Q44" s="454">
        <f t="shared" si="27"/>
        <v>1</v>
      </c>
      <c r="R44" s="454">
        <f t="shared" si="27"/>
        <v>1</v>
      </c>
      <c r="S44" s="454">
        <f t="shared" si="27"/>
        <v>1</v>
      </c>
      <c r="T44" s="454">
        <f t="shared" si="27"/>
        <v>1</v>
      </c>
      <c r="U44" s="454">
        <f t="shared" si="27"/>
        <v>1</v>
      </c>
      <c r="V44" s="454">
        <f t="shared" si="27"/>
        <v>1</v>
      </c>
      <c r="W44" s="454">
        <f t="shared" si="27"/>
        <v>1</v>
      </c>
      <c r="X44" s="454">
        <f t="shared" si="27"/>
        <v>1</v>
      </c>
      <c r="Y44" s="454">
        <f t="shared" si="27"/>
        <v>1</v>
      </c>
      <c r="Z44" s="454">
        <f t="shared" si="27"/>
        <v>1</v>
      </c>
      <c r="AA44" s="454">
        <f t="shared" si="27"/>
        <v>1</v>
      </c>
      <c r="AB44" s="454">
        <f t="shared" si="27"/>
        <v>1</v>
      </c>
      <c r="AC44" s="454">
        <f t="shared" si="27"/>
        <v>1</v>
      </c>
      <c r="AD44" s="454">
        <f t="shared" si="27"/>
        <v>1</v>
      </c>
      <c r="AE44" s="454">
        <f t="shared" si="27"/>
        <v>1</v>
      </c>
      <c r="AF44" s="454">
        <f t="shared" si="27"/>
        <v>1</v>
      </c>
      <c r="AG44" s="1"/>
      <c r="AH44" s="563">
        <f>SUM(B44:AF44)</f>
        <v>31</v>
      </c>
    </row>
    <row r="45" spans="1:135" s="560"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H45" s="562"/>
    </row>
    <row r="46" spans="1:135" ht="15" customHeight="1" x14ac:dyDescent="0.4">
      <c r="A46" s="23"/>
      <c r="B46" s="19"/>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135" s="461" customFormat="1" ht="15" customHeight="1" x14ac:dyDescent="0.4">
      <c r="A47" s="464"/>
      <c r="B47" s="24"/>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465"/>
      <c r="AF47" s="465"/>
      <c r="AH47" s="2"/>
    </row>
    <row r="48" spans="1:135" ht="15" customHeight="1" x14ac:dyDescent="0.4">
      <c r="A48" s="23"/>
      <c r="B48" s="19"/>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4">
      <c r="A49" s="23"/>
      <c r="B49" s="1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4">
      <c r="A50" s="23"/>
      <c r="B50" s="19"/>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4">
      <c r="A51" s="23"/>
      <c r="B51" s="19"/>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4">
      <c r="A52" s="23"/>
      <c r="B52" s="19"/>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4">
      <c r="A53" s="23"/>
      <c r="B53" s="19"/>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4">
      <c r="A54" s="23"/>
      <c r="B54" s="19"/>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4">
      <c r="A55" s="23"/>
      <c r="B55" s="19"/>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4">
      <c r="A56" s="23"/>
      <c r="B56" s="19"/>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4">
      <c r="A58" s="23"/>
      <c r="B58" s="19"/>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4">
      <c r="A59" s="23"/>
      <c r="B59" s="19"/>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4">
      <c r="A60" s="23"/>
      <c r="B60" s="19"/>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4">
      <c r="A61" s="23"/>
      <c r="B61" s="19"/>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4">
      <c r="A62" s="23"/>
      <c r="B62" s="19"/>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4">
      <c r="A63" s="23"/>
      <c r="B63" s="19"/>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4">
      <c r="A64" s="23"/>
      <c r="B64" s="19"/>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4">
      <c r="A65" s="23"/>
      <c r="B65" s="19"/>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4">
      <c r="A66" s="23"/>
      <c r="B66" s="19"/>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8.600000000000001" x14ac:dyDescent="0.4">
      <c r="A67" s="23"/>
      <c r="B67" s="19"/>
    </row>
    <row r="68" spans="1:32" ht="18.600000000000001" x14ac:dyDescent="0.4">
      <c r="A68" s="23"/>
      <c r="B68" s="19"/>
    </row>
    <row r="69" spans="1:32" ht="18.600000000000001" x14ac:dyDescent="0.4">
      <c r="A69" s="23"/>
      <c r="B69" s="19"/>
    </row>
    <row r="70" spans="1:32" ht="18.600000000000001" x14ac:dyDescent="0.4">
      <c r="A70" s="23"/>
      <c r="B70" s="19"/>
    </row>
    <row r="71" spans="1:32" ht="18.600000000000001" x14ac:dyDescent="0.25">
      <c r="A71" s="23"/>
    </row>
    <row r="72" spans="1:32" ht="18.600000000000001" x14ac:dyDescent="0.25">
      <c r="A72" s="23"/>
    </row>
    <row r="73" spans="1:32" ht="18.600000000000001" x14ac:dyDescent="0.25">
      <c r="A73" s="23"/>
    </row>
    <row r="74" spans="1:32" ht="18.600000000000001" x14ac:dyDescent="0.25">
      <c r="A74" s="23"/>
    </row>
    <row r="75" spans="1:32" ht="18.600000000000001" x14ac:dyDescent="0.25">
      <c r="A75" s="23"/>
    </row>
  </sheetData>
  <sheetProtection formatCells="0" formatColumns="0" formatRows="0"/>
  <customSheetViews>
    <customSheetView guid="{0CC54A28-7FC1-4543-ABB1-95D1AD8E8D9F}"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45244E67-D811-4150-BEA1-A7A1C54045A9}" scale="70" showGridLines="0" zeroValues="0" fitToPage="1" hiddenRows="1" hiddenColumns="1" showRuler="0">
      <pane xSplit="1" ySplit="20" topLeftCell="I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2">
    <mergeCell ref="X6:Y6"/>
    <mergeCell ref="B1:U1"/>
  </mergeCells>
  <phoneticPr fontId="8" type="noConversion"/>
  <conditionalFormatting sqref="A14:A34">
    <cfRule type="expression" dxfId="372" priority="267" stopIfTrue="1">
      <formula>$P14="ALERTE"</formula>
    </cfRule>
  </conditionalFormatting>
  <conditionalFormatting sqref="A45">
    <cfRule type="expression" dxfId="371" priority="9" stopIfTrue="1">
      <formula>$P45="ALERTE"</formula>
    </cfRule>
  </conditionalFormatting>
  <conditionalFormatting sqref="B7:D7">
    <cfRule type="expression" dxfId="370" priority="38" stopIfTrue="1">
      <formula>$BG7="ALERTE"</formula>
    </cfRule>
  </conditionalFormatting>
  <conditionalFormatting sqref="B8:K8">
    <cfRule type="expression" dxfId="369" priority="33" stopIfTrue="1">
      <formula>$BH8="ALERTE"</formula>
    </cfRule>
  </conditionalFormatting>
  <conditionalFormatting sqref="B9:K9">
    <cfRule type="expression" dxfId="368" priority="31" stopIfTrue="1">
      <formula>$BJ9="ALERTE"</formula>
    </cfRule>
  </conditionalFormatting>
  <conditionalFormatting sqref="B14:K14">
    <cfRule type="expression" dxfId="367" priority="90" stopIfTrue="1">
      <formula>$BG14="ALERTE"</formula>
    </cfRule>
  </conditionalFormatting>
  <conditionalFormatting sqref="B45:K45">
    <cfRule type="expression" dxfId="366" priority="6" stopIfTrue="1">
      <formula>$BH45="ALERTE"</formula>
    </cfRule>
  </conditionalFormatting>
  <conditionalFormatting sqref="B10:P10">
    <cfRule type="expression" dxfId="365" priority="27" stopIfTrue="1">
      <formula>$BS10="ALERTE"</formula>
    </cfRule>
  </conditionalFormatting>
  <conditionalFormatting sqref="B6:AD6">
    <cfRule type="expression" dxfId="364" priority="294" stopIfTrue="1">
      <formula>$BI6="ALERTE"</formula>
    </cfRule>
  </conditionalFormatting>
  <conditionalFormatting sqref="B3:AF5 A3:A10 B35:AF35 C67:AF157 B71:B157">
    <cfRule type="expression" dxfId="363" priority="293" stopIfTrue="1">
      <formula>$P3="ALERTE"</formula>
    </cfRule>
  </conditionalFormatting>
  <conditionalFormatting sqref="B15:AF21">
    <cfRule type="expression" dxfId="362" priority="145" stopIfTrue="1">
      <formula>$P15="ALERTE"</formula>
    </cfRule>
  </conditionalFormatting>
  <conditionalFormatting sqref="B36:AF40">
    <cfRule type="cellIs" dxfId="361" priority="249" stopIfTrue="1" operator="equal">
      <formula>"THF"</formula>
    </cfRule>
    <cfRule type="cellIs" dxfId="360" priority="250" stopIfTrue="1" operator="equal">
      <formula>"HF"</formula>
    </cfRule>
    <cfRule type="cellIs" dxfId="359" priority="251" stopIfTrue="1" operator="equal">
      <formula>"MF"</formula>
    </cfRule>
  </conditionalFormatting>
  <conditionalFormatting sqref="B44:AF44">
    <cfRule type="expression" dxfId="358" priority="262" stopIfTrue="1">
      <formula>$P44="ALERTE"</formula>
    </cfRule>
  </conditionalFormatting>
  <conditionalFormatting sqref="C43:AF43 C46:AF56 C58:AF64">
    <cfRule type="cellIs" dxfId="357" priority="297" stopIfTrue="1" operator="equal">
      <formula>"THF"</formula>
    </cfRule>
    <cfRule type="cellIs" dxfId="356" priority="298" stopIfTrue="1" operator="equal">
      <formula>"HF"</formula>
    </cfRule>
    <cfRule type="cellIs" dxfId="355" priority="299" stopIfTrue="1" operator="equal">
      <formula>"MF"</formula>
    </cfRule>
  </conditionalFormatting>
  <conditionalFormatting sqref="E7:K7">
    <cfRule type="expression" dxfId="354" priority="215" stopIfTrue="1">
      <formula>$BF7="ALERTE"</formula>
    </cfRule>
  </conditionalFormatting>
  <conditionalFormatting sqref="L8:P8">
    <cfRule type="expression" dxfId="353" priority="29" stopIfTrue="1">
      <formula>$BI8="ALERTE"</formula>
    </cfRule>
  </conditionalFormatting>
  <conditionalFormatting sqref="L9:P9">
    <cfRule type="expression" dxfId="352" priority="28" stopIfTrue="1">
      <formula>$BF9="ALERTE"</formula>
    </cfRule>
  </conditionalFormatting>
  <conditionalFormatting sqref="L45:P45">
    <cfRule type="expression" dxfId="351" priority="5" stopIfTrue="1">
      <formula>$BI45="ALERTE"</formula>
    </cfRule>
  </conditionalFormatting>
  <conditionalFormatting sqref="L7:Q7">
    <cfRule type="expression" dxfId="350" priority="307" stopIfTrue="1">
      <formula>$AX7="ALERTE"</formula>
    </cfRule>
  </conditionalFormatting>
  <conditionalFormatting sqref="L14:AF14">
    <cfRule type="expression" dxfId="349" priority="12" stopIfTrue="1">
      <formula>$BF14="ALERTE"</formula>
    </cfRule>
  </conditionalFormatting>
  <conditionalFormatting sqref="Q8:R9">
    <cfRule type="expression" dxfId="348" priority="13" stopIfTrue="1">
      <formula>$BG8="ALERTE"</formula>
    </cfRule>
  </conditionalFormatting>
  <conditionalFormatting sqref="Q10:R10">
    <cfRule type="expression" dxfId="347" priority="14" stopIfTrue="1">
      <formula>$BT10="ALERTE"</formula>
    </cfRule>
  </conditionalFormatting>
  <conditionalFormatting sqref="Q45:R45">
    <cfRule type="expression" dxfId="346" priority="2" stopIfTrue="1">
      <formula>$BG45="ALERTE"</formula>
    </cfRule>
  </conditionalFormatting>
  <conditionalFormatting sqref="R7:AF7">
    <cfRule type="expression" dxfId="345" priority="296" stopIfTrue="1">
      <formula>$AY7="ALERTE"</formula>
    </cfRule>
  </conditionalFormatting>
  <conditionalFormatting sqref="S8:W8">
    <cfRule type="expression" dxfId="344" priority="25" stopIfTrue="1">
      <formula>$BI8="ALERTE"</formula>
    </cfRule>
  </conditionalFormatting>
  <conditionalFormatting sqref="S9:W9">
    <cfRule type="expression" dxfId="343" priority="24" stopIfTrue="1">
      <formula>$BF9="ALERTE"</formula>
    </cfRule>
  </conditionalFormatting>
  <conditionalFormatting sqref="S10:W10">
    <cfRule type="expression" dxfId="342" priority="23" stopIfTrue="1">
      <formula>$BS10="ALERTE"</formula>
    </cfRule>
  </conditionalFormatting>
  <conditionalFormatting sqref="S45:W45">
    <cfRule type="expression" dxfId="341" priority="4" stopIfTrue="1">
      <formula>$BI45="ALERTE"</formula>
    </cfRule>
  </conditionalFormatting>
  <conditionalFormatting sqref="X8:Y9">
    <cfRule type="expression" dxfId="340" priority="10" stopIfTrue="1">
      <formula>$BG8="ALERTE"</formula>
    </cfRule>
  </conditionalFormatting>
  <conditionalFormatting sqref="X10:Y10">
    <cfRule type="expression" dxfId="339" priority="11" stopIfTrue="1">
      <formula>$BT10="ALERTE"</formula>
    </cfRule>
  </conditionalFormatting>
  <conditionalFormatting sqref="X45:Y45">
    <cfRule type="expression" dxfId="338" priority="1" stopIfTrue="1">
      <formula>$BG45="ALERTE"</formula>
    </cfRule>
  </conditionalFormatting>
  <conditionalFormatting sqref="Z8:AD8">
    <cfRule type="expression" dxfId="337" priority="21" stopIfTrue="1">
      <formula>$BI8="ALERTE"</formula>
    </cfRule>
  </conditionalFormatting>
  <conditionalFormatting sqref="Z9:AD9">
    <cfRule type="expression" dxfId="336" priority="20" stopIfTrue="1">
      <formula>$BF9="ALERTE"</formula>
    </cfRule>
  </conditionalFormatting>
  <conditionalFormatting sqref="Z10:AD10">
    <cfRule type="expression" dxfId="335" priority="19" stopIfTrue="1">
      <formula>$BS10="ALERTE"</formula>
    </cfRule>
  </conditionalFormatting>
  <conditionalFormatting sqref="Z45:AD45">
    <cfRule type="expression" dxfId="334" priority="3" stopIfTrue="1">
      <formula>$BI45="ALERTE"</formula>
    </cfRule>
  </conditionalFormatting>
  <conditionalFormatting sqref="AE6:AF6">
    <cfRule type="expression" dxfId="333" priority="84" stopIfTrue="1">
      <formula>$BH6="ALERTE"</formula>
    </cfRule>
  </conditionalFormatting>
  <conditionalFormatting sqref="AE8:AF8">
    <cfRule type="expression" dxfId="332" priority="83" stopIfTrue="1">
      <formula>$BH8="ALERTE"</formula>
    </cfRule>
  </conditionalFormatting>
  <conditionalFormatting sqref="AE9:AF10">
    <cfRule type="expression" dxfId="331" priority="81" stopIfTrue="1">
      <formula>$BJ9="ALERTE"</formula>
    </cfRule>
  </conditionalFormatting>
  <conditionalFormatting sqref="AE45:AF45">
    <cfRule type="expression" dxfId="330" priority="7" stopIfTrue="1">
      <formula>$BH45="ALERTE"</formula>
    </cfRule>
  </conditionalFormatting>
  <conditionalFormatting sqref="AG6">
    <cfRule type="expression" dxfId="329" priority="226" stopIfTrue="1">
      <formula>$BI6="ALERTE"</formula>
    </cfRule>
  </conditionalFormatting>
  <conditionalFormatting sqref="AH6:AH10">
    <cfRule type="expression" dxfId="328" priority="263" stopIfTrue="1">
      <formula>$BI6="ALERTE"</formula>
    </cfRule>
  </conditionalFormatting>
  <conditionalFormatting sqref="AH14">
    <cfRule type="expression" dxfId="327" priority="269" stopIfTrue="1">
      <formula>$BI14="ALERTE"</formula>
    </cfRule>
  </conditionalFormatting>
  <conditionalFormatting sqref="AH15:AH16">
    <cfRule type="expression" dxfId="326" priority="268" stopIfTrue="1">
      <formula>$P15="ALERTE"</formula>
    </cfRule>
  </conditionalFormatting>
  <conditionalFormatting sqref="AH45">
    <cfRule type="expression" dxfId="325" priority="8" stopIfTrue="1">
      <formula>$BI45="ALERTE"</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41111111111111111112111">
    <pageSetUpPr fitToPage="1"/>
  </sheetPr>
  <dimension ref="A1:JA80"/>
  <sheetViews>
    <sheetView showGridLines="0" showZeros="0" zoomScale="80" zoomScaleNormal="80" workbookViewId="0">
      <pane xSplit="1" ySplit="20" topLeftCell="D21" activePane="bottomRight" state="frozen"/>
      <selection activeCell="P31" sqref="P31"/>
      <selection pane="topRight" activeCell="P31" sqref="P31"/>
      <selection pane="bottomLeft" activeCell="P31" sqref="P31"/>
      <selection pane="bottomRight" activeCell="P31" sqref="P31"/>
    </sheetView>
  </sheetViews>
  <sheetFormatPr baseColWidth="10" defaultColWidth="0.44140625" defaultRowHeight="16.8" x14ac:dyDescent="0.25"/>
  <cols>
    <col min="1" max="1" width="26.33203125" style="10" customWidth="1"/>
    <col min="2" max="2" width="8.5546875" style="1" bestFit="1" customWidth="1"/>
    <col min="3" max="31" width="8" style="1" customWidth="1"/>
    <col min="32" max="32" width="2.6640625" style="1" customWidth="1"/>
    <col min="33" max="33" width="16.88671875" style="2" customWidth="1"/>
    <col min="34" max="62" width="0" style="1" hidden="1" customWidth="1"/>
    <col min="63" max="134" width="0" style="3" hidden="1" customWidth="1"/>
    <col min="135" max="254" width="0" style="1" hidden="1" customWidth="1"/>
    <col min="255" max="16384" width="0.44140625" style="1"/>
  </cols>
  <sheetData>
    <row r="1" spans="1:261" s="484" customFormat="1" ht="42.75" customHeight="1" x14ac:dyDescent="0.25">
      <c r="A1" s="641">
        <v>45383</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158"/>
      <c r="AG1" s="630"/>
      <c r="AH1" s="631"/>
      <c r="BK1" s="485"/>
      <c r="BL1" s="485"/>
      <c r="BM1" s="485"/>
      <c r="BN1" s="485"/>
      <c r="BO1" s="485"/>
      <c r="BP1" s="485"/>
      <c r="BQ1" s="485"/>
      <c r="BR1" s="485"/>
      <c r="BS1" s="485"/>
      <c r="BT1" s="485"/>
      <c r="BU1" s="485"/>
      <c r="BV1" s="485"/>
      <c r="BW1" s="485"/>
      <c r="BX1" s="485"/>
      <c r="BY1" s="485"/>
      <c r="BZ1" s="485"/>
      <c r="CA1" s="485"/>
      <c r="CB1" s="485"/>
      <c r="CC1" s="485"/>
      <c r="CD1" s="485"/>
      <c r="CE1" s="485"/>
      <c r="CF1" s="485"/>
      <c r="CG1" s="485"/>
      <c r="CH1" s="485"/>
      <c r="CI1" s="485"/>
      <c r="CJ1" s="485"/>
      <c r="CK1" s="485"/>
      <c r="CL1" s="485"/>
      <c r="CM1" s="485"/>
      <c r="CN1" s="485"/>
      <c r="CO1" s="485"/>
      <c r="CP1" s="485"/>
      <c r="CQ1" s="485"/>
      <c r="CR1" s="485"/>
      <c r="CS1" s="485"/>
      <c r="CT1" s="485"/>
      <c r="CU1" s="485"/>
      <c r="CV1" s="485"/>
      <c r="CW1" s="485"/>
      <c r="CX1" s="485"/>
      <c r="CY1" s="485"/>
      <c r="CZ1" s="485"/>
      <c r="DA1" s="485"/>
      <c r="DB1" s="485"/>
      <c r="DC1" s="485"/>
      <c r="DD1" s="485"/>
      <c r="DE1" s="485"/>
      <c r="DF1" s="485"/>
      <c r="DG1" s="485"/>
      <c r="DH1" s="485"/>
      <c r="DI1" s="485"/>
      <c r="DJ1" s="485"/>
      <c r="DK1" s="485"/>
      <c r="DL1" s="485"/>
      <c r="DM1" s="485"/>
      <c r="DN1" s="485"/>
      <c r="DO1" s="485"/>
      <c r="DP1" s="485"/>
      <c r="DQ1" s="485"/>
      <c r="DR1" s="485"/>
      <c r="DS1" s="485"/>
      <c r="DT1" s="485"/>
      <c r="DU1" s="485"/>
      <c r="DV1" s="485"/>
      <c r="DW1" s="485"/>
      <c r="DX1" s="485"/>
      <c r="DY1" s="485"/>
      <c r="DZ1" s="485"/>
      <c r="EA1" s="485"/>
      <c r="EB1" s="485"/>
      <c r="EC1" s="485"/>
      <c r="ED1" s="485"/>
    </row>
    <row r="2" spans="1:261"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158"/>
      <c r="AG2" s="639"/>
      <c r="AH2" s="640"/>
      <c r="BK2" s="156"/>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row>
    <row r="3" spans="1:261" s="158" customFormat="1" ht="20.100000000000001" customHeight="1" x14ac:dyDescent="0.25">
      <c r="A3" s="633" t="s">
        <v>0</v>
      </c>
      <c r="B3" s="634">
        <f>+A1</f>
        <v>45383</v>
      </c>
      <c r="C3" s="634">
        <f t="shared" ref="C3:AE3" si="0">+B3+1</f>
        <v>45384</v>
      </c>
      <c r="D3" s="634">
        <f t="shared" si="0"/>
        <v>45385</v>
      </c>
      <c r="E3" s="634">
        <f t="shared" ref="E3:H4" si="1">+D3+1</f>
        <v>45386</v>
      </c>
      <c r="F3" s="634">
        <f t="shared" si="1"/>
        <v>45387</v>
      </c>
      <c r="G3" s="634">
        <f t="shared" si="1"/>
        <v>45388</v>
      </c>
      <c r="H3" s="634">
        <f t="shared" si="1"/>
        <v>45389</v>
      </c>
      <c r="I3" s="634">
        <f t="shared" si="0"/>
        <v>45390</v>
      </c>
      <c r="J3" s="634">
        <f t="shared" si="0"/>
        <v>45391</v>
      </c>
      <c r="K3" s="634">
        <f t="shared" si="0"/>
        <v>45392</v>
      </c>
      <c r="L3" s="634">
        <f t="shared" si="0"/>
        <v>45393</v>
      </c>
      <c r="M3" s="634">
        <f t="shared" si="0"/>
        <v>45394</v>
      </c>
      <c r="N3" s="634">
        <f t="shared" si="0"/>
        <v>45395</v>
      </c>
      <c r="O3" s="634">
        <f t="shared" si="0"/>
        <v>45396</v>
      </c>
      <c r="P3" s="634">
        <f t="shared" si="0"/>
        <v>45397</v>
      </c>
      <c r="Q3" s="634">
        <f t="shared" si="0"/>
        <v>45398</v>
      </c>
      <c r="R3" s="634">
        <f t="shared" si="0"/>
        <v>45399</v>
      </c>
      <c r="S3" s="634">
        <f t="shared" si="0"/>
        <v>45400</v>
      </c>
      <c r="T3" s="634">
        <f t="shared" si="0"/>
        <v>45401</v>
      </c>
      <c r="U3" s="634">
        <f t="shared" ref="U3:U4" si="2">+T3+1</f>
        <v>45402</v>
      </c>
      <c r="V3" s="634">
        <f t="shared" ref="V3:V4" si="3">+U3+1</f>
        <v>45403</v>
      </c>
      <c r="W3" s="634">
        <f t="shared" ref="W3:W4" si="4">+V3+1</f>
        <v>45404</v>
      </c>
      <c r="X3" s="634">
        <f t="shared" si="0"/>
        <v>45405</v>
      </c>
      <c r="Y3" s="634">
        <f t="shared" si="0"/>
        <v>45406</v>
      </c>
      <c r="Z3" s="634">
        <f t="shared" si="0"/>
        <v>45407</v>
      </c>
      <c r="AA3" s="634">
        <f t="shared" si="0"/>
        <v>45408</v>
      </c>
      <c r="AB3" s="634">
        <f t="shared" si="0"/>
        <v>45409</v>
      </c>
      <c r="AC3" s="634">
        <f t="shared" si="0"/>
        <v>45410</v>
      </c>
      <c r="AD3" s="634">
        <f t="shared" si="0"/>
        <v>45411</v>
      </c>
      <c r="AE3" s="634">
        <f t="shared" si="0"/>
        <v>45412</v>
      </c>
      <c r="BK3" s="159"/>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row>
    <row r="4" spans="1:261" s="158" customFormat="1" ht="20.100000000000001" customHeight="1" x14ac:dyDescent="0.25">
      <c r="A4" s="527" t="s">
        <v>1</v>
      </c>
      <c r="B4" s="531">
        <f>+A1</f>
        <v>45383</v>
      </c>
      <c r="C4" s="531">
        <f t="shared" ref="C4:AE4" si="5">+B4+1</f>
        <v>45384</v>
      </c>
      <c r="D4" s="531">
        <f t="shared" si="5"/>
        <v>45385</v>
      </c>
      <c r="E4" s="531">
        <f t="shared" si="1"/>
        <v>45386</v>
      </c>
      <c r="F4" s="531">
        <f t="shared" si="1"/>
        <v>45387</v>
      </c>
      <c r="G4" s="531">
        <f t="shared" si="1"/>
        <v>45388</v>
      </c>
      <c r="H4" s="531">
        <f t="shared" si="1"/>
        <v>45389</v>
      </c>
      <c r="I4" s="531">
        <f t="shared" si="5"/>
        <v>45390</v>
      </c>
      <c r="J4" s="531">
        <f t="shared" si="5"/>
        <v>45391</v>
      </c>
      <c r="K4" s="531">
        <f t="shared" si="5"/>
        <v>45392</v>
      </c>
      <c r="L4" s="531">
        <f t="shared" si="5"/>
        <v>45393</v>
      </c>
      <c r="M4" s="531">
        <f t="shared" si="5"/>
        <v>45394</v>
      </c>
      <c r="N4" s="531">
        <f t="shared" si="5"/>
        <v>45395</v>
      </c>
      <c r="O4" s="531">
        <f t="shared" si="5"/>
        <v>45396</v>
      </c>
      <c r="P4" s="531">
        <f t="shared" si="5"/>
        <v>45397</v>
      </c>
      <c r="Q4" s="531">
        <f t="shared" si="5"/>
        <v>45398</v>
      </c>
      <c r="R4" s="531">
        <f t="shared" si="5"/>
        <v>45399</v>
      </c>
      <c r="S4" s="531">
        <f t="shared" si="5"/>
        <v>45400</v>
      </c>
      <c r="T4" s="531">
        <f t="shared" si="5"/>
        <v>45401</v>
      </c>
      <c r="U4" s="531">
        <f t="shared" si="2"/>
        <v>45402</v>
      </c>
      <c r="V4" s="531">
        <f t="shared" si="3"/>
        <v>45403</v>
      </c>
      <c r="W4" s="531">
        <f t="shared" si="4"/>
        <v>45404</v>
      </c>
      <c r="X4" s="531">
        <f t="shared" si="5"/>
        <v>45405</v>
      </c>
      <c r="Y4" s="531">
        <f t="shared" si="5"/>
        <v>45406</v>
      </c>
      <c r="Z4" s="531">
        <f t="shared" si="5"/>
        <v>45407</v>
      </c>
      <c r="AA4" s="531">
        <f t="shared" si="5"/>
        <v>45408</v>
      </c>
      <c r="AB4" s="531">
        <f t="shared" si="5"/>
        <v>45409</v>
      </c>
      <c r="AC4" s="531">
        <f t="shared" si="5"/>
        <v>45410</v>
      </c>
      <c r="AD4" s="531">
        <f t="shared" si="5"/>
        <v>45411</v>
      </c>
      <c r="AE4" s="531">
        <f t="shared" si="5"/>
        <v>45412</v>
      </c>
      <c r="BK4" s="159"/>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row>
    <row r="5" spans="1:261" s="171" customFormat="1" ht="9.9" customHeight="1" thickBot="1" x14ac:dyDescent="0.3">
      <c r="A5" s="528"/>
      <c r="B5" s="169"/>
      <c r="C5" s="169"/>
      <c r="D5" s="170"/>
      <c r="E5" s="509"/>
      <c r="F5" s="509"/>
      <c r="G5" s="509"/>
      <c r="H5" s="170"/>
      <c r="I5" s="169"/>
      <c r="J5" s="169"/>
      <c r="K5" s="170"/>
      <c r="L5" s="170"/>
      <c r="M5" s="170"/>
      <c r="N5" s="170"/>
      <c r="O5" s="170"/>
      <c r="P5" s="169"/>
      <c r="Q5" s="169"/>
      <c r="R5" s="170"/>
      <c r="S5" s="170"/>
      <c r="T5" s="170"/>
      <c r="U5" s="170"/>
      <c r="V5" s="170"/>
      <c r="W5" s="169"/>
      <c r="X5" s="169"/>
      <c r="Y5" s="170"/>
      <c r="Z5" s="170"/>
      <c r="AA5" s="170"/>
      <c r="AB5" s="170"/>
      <c r="AC5" s="170"/>
      <c r="AD5" s="169"/>
      <c r="AE5" s="169"/>
      <c r="AF5" s="158"/>
      <c r="AG5" s="163"/>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row>
    <row r="6" spans="1:261" s="467" customFormat="1" ht="20.100000000000001" customHeight="1" thickBot="1" x14ac:dyDescent="0.3">
      <c r="A6" s="529" t="s">
        <v>2</v>
      </c>
      <c r="B6" s="487" t="s">
        <v>31</v>
      </c>
      <c r="C6" s="487"/>
      <c r="D6" s="487"/>
      <c r="E6" s="487"/>
      <c r="F6" s="487"/>
      <c r="G6" s="487"/>
      <c r="H6" s="487"/>
      <c r="I6" s="487"/>
      <c r="J6" s="487"/>
      <c r="K6" s="487"/>
      <c r="L6" s="487"/>
      <c r="M6" s="487"/>
      <c r="N6" s="487"/>
      <c r="O6" s="487"/>
      <c r="P6" s="487"/>
      <c r="Q6" s="487"/>
      <c r="R6" s="487"/>
      <c r="S6" s="487"/>
      <c r="T6" s="487"/>
      <c r="U6" s="487"/>
      <c r="V6" s="487"/>
      <c r="W6" s="487"/>
      <c r="X6" s="487"/>
      <c r="Y6" s="579"/>
      <c r="Z6" s="579"/>
      <c r="AA6" s="488"/>
      <c r="AB6" s="579"/>
      <c r="AC6" s="579"/>
      <c r="AD6" s="579"/>
      <c r="AE6" s="579"/>
      <c r="AF6" s="158"/>
      <c r="AG6" s="470"/>
      <c r="BK6" s="468"/>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row>
    <row r="7" spans="1:261" s="171" customFormat="1" ht="16.2" x14ac:dyDescent="0.25">
      <c r="A7" s="530" t="s">
        <v>3</v>
      </c>
      <c r="B7" s="498"/>
      <c r="C7" s="498"/>
      <c r="D7" s="498"/>
      <c r="E7" s="498"/>
      <c r="F7" s="498"/>
      <c r="G7" s="576" t="s">
        <v>35</v>
      </c>
      <c r="H7" s="576" t="s">
        <v>35</v>
      </c>
      <c r="I7" s="576" t="s">
        <v>35</v>
      </c>
      <c r="J7" s="576" t="s">
        <v>35</v>
      </c>
      <c r="K7" s="576" t="s">
        <v>35</v>
      </c>
      <c r="L7" s="576" t="s">
        <v>35</v>
      </c>
      <c r="M7" s="576" t="s">
        <v>35</v>
      </c>
      <c r="N7" s="576" t="s">
        <v>33</v>
      </c>
      <c r="O7" s="576" t="s">
        <v>33</v>
      </c>
      <c r="P7" s="576" t="s">
        <v>33</v>
      </c>
      <c r="Q7" s="576" t="s">
        <v>33</v>
      </c>
      <c r="R7" s="576" t="s">
        <v>33</v>
      </c>
      <c r="S7" s="576" t="s">
        <v>33</v>
      </c>
      <c r="T7" s="576" t="s">
        <v>33</v>
      </c>
      <c r="U7" s="580" t="s">
        <v>4</v>
      </c>
      <c r="V7" s="580" t="s">
        <v>4</v>
      </c>
      <c r="W7" s="497" t="s">
        <v>137</v>
      </c>
      <c r="X7" s="497" t="s">
        <v>137</v>
      </c>
      <c r="Y7" s="497" t="s">
        <v>137</v>
      </c>
      <c r="Z7" s="497" t="s">
        <v>137</v>
      </c>
      <c r="AA7" s="497" t="s">
        <v>137</v>
      </c>
      <c r="AB7" s="581" t="s">
        <v>34</v>
      </c>
      <c r="AC7" s="581" t="s">
        <v>34</v>
      </c>
      <c r="AD7" s="581" t="s">
        <v>34</v>
      </c>
      <c r="AE7" s="581" t="s">
        <v>34</v>
      </c>
      <c r="AF7" s="158"/>
      <c r="AG7" s="165"/>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row>
    <row r="8" spans="1:261" s="560" customFormat="1" ht="25.5" customHeight="1" x14ac:dyDescent="0.3">
      <c r="A8" s="559" t="s">
        <v>132</v>
      </c>
      <c r="B8" s="562">
        <v>0.375</v>
      </c>
      <c r="C8" s="562">
        <v>0.41666666666666669</v>
      </c>
      <c r="D8" s="562">
        <v>0.41666666666666669</v>
      </c>
      <c r="E8" s="562">
        <v>0.41666666666666669</v>
      </c>
      <c r="F8" s="562">
        <v>0.41666666666666669</v>
      </c>
      <c r="G8" s="562">
        <v>0.38541666666666669</v>
      </c>
      <c r="H8" s="562">
        <v>0.38541666666666669</v>
      </c>
      <c r="I8" s="562">
        <v>0.38541666666666669</v>
      </c>
      <c r="J8" s="562">
        <v>0.38541666666666669</v>
      </c>
      <c r="K8" s="562">
        <v>0.38541666666666669</v>
      </c>
      <c r="L8" s="562">
        <v>0.38541666666666669</v>
      </c>
      <c r="M8" s="562">
        <v>0.38541666666666669</v>
      </c>
      <c r="N8" s="562">
        <v>0.38541666666666669</v>
      </c>
      <c r="O8" s="562">
        <v>0.38541666666666669</v>
      </c>
      <c r="P8" s="562">
        <v>0.38541666666666669</v>
      </c>
      <c r="Q8" s="562">
        <v>0.38541666666666669</v>
      </c>
      <c r="R8" s="562">
        <v>0.38541666666666669</v>
      </c>
      <c r="S8" s="562">
        <v>0.38541666666666669</v>
      </c>
      <c r="T8" s="562">
        <v>0.38541666666666669</v>
      </c>
      <c r="U8" s="562">
        <v>0.38541666666666669</v>
      </c>
      <c r="V8" s="562">
        <v>0.38541666666666669</v>
      </c>
      <c r="W8" s="562">
        <v>0.38541666666666669</v>
      </c>
      <c r="X8" s="562">
        <v>0.38541666666666669</v>
      </c>
      <c r="Y8" s="562">
        <v>0.38541666666666669</v>
      </c>
      <c r="Z8" s="562">
        <v>0.38541666666666669</v>
      </c>
      <c r="AA8" s="562">
        <v>0.38541666666666669</v>
      </c>
      <c r="AB8" s="562">
        <v>0.38541666666666669</v>
      </c>
      <c r="AC8" s="562">
        <v>0.38541666666666669</v>
      </c>
      <c r="AD8" s="562">
        <v>0.38541666666666669</v>
      </c>
      <c r="AE8" s="562">
        <v>0.38541666666666669</v>
      </c>
      <c r="AF8" s="158"/>
      <c r="AG8" s="562"/>
      <c r="AH8" s="562"/>
    </row>
    <row r="9" spans="1:261" s="172" customFormat="1" ht="20.25" customHeight="1" x14ac:dyDescent="0.25">
      <c r="A9" s="519" t="s">
        <v>36</v>
      </c>
      <c r="B9" s="511">
        <v>0.375</v>
      </c>
      <c r="C9" s="511">
        <v>0.40625</v>
      </c>
      <c r="D9" s="511">
        <v>0.40625</v>
      </c>
      <c r="E9" s="511">
        <v>0.40625</v>
      </c>
      <c r="F9" s="511">
        <v>0.40625</v>
      </c>
      <c r="G9" s="511">
        <v>0.375</v>
      </c>
      <c r="H9" s="511">
        <v>0.375</v>
      </c>
      <c r="I9" s="511">
        <v>0.375</v>
      </c>
      <c r="J9" s="511">
        <v>0.375</v>
      </c>
      <c r="K9" s="511">
        <v>0.375</v>
      </c>
      <c r="L9" s="511">
        <v>0.375</v>
      </c>
      <c r="M9" s="511">
        <v>0.375</v>
      </c>
      <c r="N9" s="511">
        <v>0.375</v>
      </c>
      <c r="O9" s="511">
        <v>0.375</v>
      </c>
      <c r="P9" s="511">
        <v>0.375</v>
      </c>
      <c r="Q9" s="511">
        <v>0.375</v>
      </c>
      <c r="R9" s="511">
        <v>0.375</v>
      </c>
      <c r="S9" s="511">
        <v>0.375</v>
      </c>
      <c r="T9" s="511">
        <v>0.375</v>
      </c>
      <c r="U9" s="511">
        <v>0.375</v>
      </c>
      <c r="V9" s="511">
        <v>0.375</v>
      </c>
      <c r="W9" s="511">
        <v>0.375</v>
      </c>
      <c r="X9" s="511">
        <v>0.375</v>
      </c>
      <c r="Y9" s="511">
        <v>0.375</v>
      </c>
      <c r="Z9" s="511">
        <v>0.375</v>
      </c>
      <c r="AA9" s="511">
        <v>0.375</v>
      </c>
      <c r="AB9" s="511">
        <v>0.375</v>
      </c>
      <c r="AC9" s="511">
        <v>0.375</v>
      </c>
      <c r="AD9" s="511">
        <v>0.375</v>
      </c>
      <c r="AE9" s="511">
        <v>0.375</v>
      </c>
      <c r="AF9" s="158"/>
      <c r="AG9" s="554"/>
    </row>
    <row r="10" spans="1:261" s="171" customFormat="1" ht="20.100000000000001" customHeight="1" x14ac:dyDescent="0.25">
      <c r="A10" s="520" t="s">
        <v>5</v>
      </c>
      <c r="B10" s="626">
        <v>0.375</v>
      </c>
      <c r="C10" s="626">
        <v>0.41666666666666669</v>
      </c>
      <c r="D10" s="626">
        <v>0.41666666666666669</v>
      </c>
      <c r="E10" s="626">
        <v>0.41666666666666669</v>
      </c>
      <c r="F10" s="626">
        <v>0.41666666666666669</v>
      </c>
      <c r="G10" s="626">
        <v>0.38541666666666669</v>
      </c>
      <c r="H10" s="626">
        <v>0.38541666666666669</v>
      </c>
      <c r="I10" s="626">
        <v>0.38541666666666669</v>
      </c>
      <c r="J10" s="626">
        <v>0.38541666666666669</v>
      </c>
      <c r="K10" s="626">
        <v>0.38541666666666669</v>
      </c>
      <c r="L10" s="626">
        <v>0.38541666666666669</v>
      </c>
      <c r="M10" s="626">
        <v>0.38541666666666669</v>
      </c>
      <c r="N10" s="626">
        <v>0.38541666666666669</v>
      </c>
      <c r="O10" s="626">
        <v>0.38541666666666669</v>
      </c>
      <c r="P10" s="626">
        <v>0.38541666666666669</v>
      </c>
      <c r="Q10" s="626">
        <v>0.38541666666666669</v>
      </c>
      <c r="R10" s="626">
        <v>0.38541666666666669</v>
      </c>
      <c r="S10" s="626">
        <v>0.38541666666666669</v>
      </c>
      <c r="T10" s="626">
        <v>0.38541666666666669</v>
      </c>
      <c r="U10" s="626">
        <v>0.38541666666666669</v>
      </c>
      <c r="V10" s="626">
        <v>0.38541666666666669</v>
      </c>
      <c r="W10" s="626">
        <v>0.38541666666666669</v>
      </c>
      <c r="X10" s="626">
        <v>0.38541666666666669</v>
      </c>
      <c r="Y10" s="626">
        <v>0.38541666666666669</v>
      </c>
      <c r="Z10" s="626">
        <v>0.38541666666666669</v>
      </c>
      <c r="AA10" s="626">
        <v>0.38541666666666669</v>
      </c>
      <c r="AB10" s="626">
        <v>0.38541666666666669</v>
      </c>
      <c r="AC10" s="626">
        <v>0.38541666666666669</v>
      </c>
      <c r="AD10" s="626">
        <v>0.38541666666666669</v>
      </c>
      <c r="AE10" s="626">
        <v>0.38541666666666669</v>
      </c>
      <c r="AF10" s="158"/>
      <c r="AG10" s="626"/>
      <c r="AH10" s="628"/>
      <c r="BK10" s="172"/>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row>
    <row r="11" spans="1:261" s="171" customFormat="1" ht="20.100000000000001" customHeight="1" x14ac:dyDescent="0.25">
      <c r="A11" s="520" t="s">
        <v>6</v>
      </c>
      <c r="B11" s="627">
        <f t="shared" ref="B11:G11" si="6">IF(B10="","",IF(B15=0,B14+"0:30",+B15+"0:30"))</f>
        <v>0.90625</v>
      </c>
      <c r="C11" s="627">
        <f t="shared" si="6"/>
        <v>0.90625</v>
      </c>
      <c r="D11" s="627">
        <f t="shared" ref="D11:F11" si="7">IF(D10="","",IF(D15=0,D14+"0:30",+D15+"0:30"))</f>
        <v>0.90625</v>
      </c>
      <c r="E11" s="627">
        <f t="shared" si="7"/>
        <v>0.90625</v>
      </c>
      <c r="F11" s="627">
        <f t="shared" si="7"/>
        <v>0.90625</v>
      </c>
      <c r="G11" s="627">
        <f t="shared" si="6"/>
        <v>0.9375</v>
      </c>
      <c r="H11" s="627">
        <f t="shared" ref="H11:AE11" si="8">IF(H10="","",IF(H15=0,H14+"0:30",+H15+"0:30"))</f>
        <v>0.9375</v>
      </c>
      <c r="I11" s="627">
        <f t="shared" si="8"/>
        <v>0.9375</v>
      </c>
      <c r="J11" s="627">
        <f t="shared" si="8"/>
        <v>0.9375</v>
      </c>
      <c r="K11" s="627">
        <f t="shared" si="8"/>
        <v>0.9375</v>
      </c>
      <c r="L11" s="627">
        <f t="shared" si="8"/>
        <v>0.9375</v>
      </c>
      <c r="M11" s="627">
        <f t="shared" si="8"/>
        <v>0.9375</v>
      </c>
      <c r="N11" s="627">
        <f t="shared" si="8"/>
        <v>0.9375</v>
      </c>
      <c r="O11" s="627">
        <f t="shared" si="8"/>
        <v>0.9375</v>
      </c>
      <c r="P11" s="627">
        <f t="shared" si="8"/>
        <v>0.9375</v>
      </c>
      <c r="Q11" s="627">
        <f t="shared" si="8"/>
        <v>0.9375</v>
      </c>
      <c r="R11" s="627">
        <f t="shared" si="8"/>
        <v>0.9375</v>
      </c>
      <c r="S11" s="627">
        <f t="shared" si="8"/>
        <v>0.9375</v>
      </c>
      <c r="T11" s="627">
        <f t="shared" si="8"/>
        <v>0.9375</v>
      </c>
      <c r="U11" s="627">
        <f t="shared" si="8"/>
        <v>0.9375</v>
      </c>
      <c r="V11" s="627">
        <f t="shared" si="8"/>
        <v>0.9375</v>
      </c>
      <c r="W11" s="627">
        <f t="shared" si="8"/>
        <v>0.9375</v>
      </c>
      <c r="X11" s="627">
        <f t="shared" si="8"/>
        <v>0.9375</v>
      </c>
      <c r="Y11" s="627">
        <f t="shared" si="8"/>
        <v>0.9375</v>
      </c>
      <c r="Z11" s="627">
        <f t="shared" si="8"/>
        <v>0.9375</v>
      </c>
      <c r="AA11" s="627">
        <f t="shared" si="8"/>
        <v>0.9375</v>
      </c>
      <c r="AB11" s="627">
        <f t="shared" si="8"/>
        <v>0.9375</v>
      </c>
      <c r="AC11" s="627">
        <f t="shared" si="8"/>
        <v>0.9375</v>
      </c>
      <c r="AD11" s="627">
        <f t="shared" si="8"/>
        <v>0.9375</v>
      </c>
      <c r="AE11" s="627">
        <f t="shared" si="8"/>
        <v>0.9375</v>
      </c>
      <c r="AF11" s="158"/>
      <c r="AG11" s="626"/>
      <c r="AH11" s="628"/>
      <c r="BK11" s="172"/>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row>
    <row r="12" spans="1:261" s="171" customFormat="1" ht="20.100000000000001" customHeight="1" x14ac:dyDescent="0.25">
      <c r="A12" s="521" t="s">
        <v>7</v>
      </c>
      <c r="B12" s="623">
        <f t="shared" ref="B12:G12" si="9">+IF(B10="","",(B11-B10))</f>
        <v>0.53125</v>
      </c>
      <c r="C12" s="623">
        <f t="shared" si="9"/>
        <v>0.48958333333333331</v>
      </c>
      <c r="D12" s="623">
        <f t="shared" ref="D12:F12" si="10">+IF(D10="","",(D11-D10))</f>
        <v>0.48958333333333331</v>
      </c>
      <c r="E12" s="623">
        <f t="shared" si="10"/>
        <v>0.48958333333333331</v>
      </c>
      <c r="F12" s="623">
        <f t="shared" si="10"/>
        <v>0.48958333333333331</v>
      </c>
      <c r="G12" s="623">
        <f t="shared" si="9"/>
        <v>0.55208333333333326</v>
      </c>
      <c r="H12" s="623">
        <f t="shared" ref="H12:AE12" si="11">+IF(H10="","",(H11-H10))</f>
        <v>0.55208333333333326</v>
      </c>
      <c r="I12" s="623">
        <f t="shared" si="11"/>
        <v>0.55208333333333326</v>
      </c>
      <c r="J12" s="623">
        <f t="shared" si="11"/>
        <v>0.55208333333333326</v>
      </c>
      <c r="K12" s="623">
        <f t="shared" si="11"/>
        <v>0.55208333333333326</v>
      </c>
      <c r="L12" s="623">
        <f t="shared" si="11"/>
        <v>0.55208333333333326</v>
      </c>
      <c r="M12" s="623">
        <f t="shared" si="11"/>
        <v>0.55208333333333326</v>
      </c>
      <c r="N12" s="623">
        <f t="shared" si="11"/>
        <v>0.55208333333333326</v>
      </c>
      <c r="O12" s="623">
        <f t="shared" si="11"/>
        <v>0.55208333333333326</v>
      </c>
      <c r="P12" s="623">
        <f t="shared" si="11"/>
        <v>0.55208333333333326</v>
      </c>
      <c r="Q12" s="623">
        <f t="shared" si="11"/>
        <v>0.55208333333333326</v>
      </c>
      <c r="R12" s="623">
        <f t="shared" si="11"/>
        <v>0.55208333333333326</v>
      </c>
      <c r="S12" s="623">
        <f t="shared" si="11"/>
        <v>0.55208333333333326</v>
      </c>
      <c r="T12" s="623">
        <f t="shared" si="11"/>
        <v>0.55208333333333326</v>
      </c>
      <c r="U12" s="623">
        <f t="shared" si="11"/>
        <v>0.55208333333333326</v>
      </c>
      <c r="V12" s="623">
        <f t="shared" si="11"/>
        <v>0.55208333333333326</v>
      </c>
      <c r="W12" s="623">
        <f t="shared" si="11"/>
        <v>0.55208333333333326</v>
      </c>
      <c r="X12" s="623">
        <f t="shared" si="11"/>
        <v>0.55208333333333326</v>
      </c>
      <c r="Y12" s="623">
        <f t="shared" si="11"/>
        <v>0.55208333333333326</v>
      </c>
      <c r="Z12" s="623">
        <f t="shared" si="11"/>
        <v>0.55208333333333326</v>
      </c>
      <c r="AA12" s="623">
        <f t="shared" si="11"/>
        <v>0.55208333333333326</v>
      </c>
      <c r="AB12" s="623">
        <f t="shared" si="11"/>
        <v>0.55208333333333326</v>
      </c>
      <c r="AC12" s="623">
        <f t="shared" si="11"/>
        <v>0.55208333333333326</v>
      </c>
      <c r="AD12" s="623">
        <f t="shared" si="11"/>
        <v>0.55208333333333326</v>
      </c>
      <c r="AE12" s="623">
        <f t="shared" si="11"/>
        <v>0.55208333333333326</v>
      </c>
      <c r="AF12" s="158"/>
      <c r="AG12" s="624">
        <f>SUM(B12:AE12)</f>
        <v>16.291666666666671</v>
      </c>
      <c r="AH12" s="625"/>
      <c r="AI12" s="506"/>
      <c r="AJ12" s="506"/>
      <c r="AK12" s="506"/>
      <c r="AL12" s="506"/>
      <c r="AM12" s="506"/>
      <c r="AN12" s="506"/>
      <c r="AO12" s="506"/>
      <c r="AP12" s="506"/>
      <c r="AQ12" s="506"/>
      <c r="AR12" s="506"/>
      <c r="AS12" s="506"/>
      <c r="AT12" s="506"/>
      <c r="AU12" s="506"/>
      <c r="AV12" s="506"/>
      <c r="AW12" s="506"/>
      <c r="AX12" s="506"/>
      <c r="AY12" s="506"/>
      <c r="AZ12" s="506"/>
      <c r="BA12" s="506"/>
      <c r="BB12" s="506"/>
      <c r="BC12" s="506"/>
      <c r="BD12" s="506"/>
      <c r="BE12" s="506"/>
      <c r="BF12" s="506"/>
      <c r="BG12" s="506"/>
      <c r="BH12" s="506"/>
      <c r="BI12" s="506"/>
      <c r="BJ12" s="506"/>
      <c r="BK12" s="506"/>
      <c r="BL12" s="506"/>
      <c r="BM12" s="506"/>
      <c r="BN12" s="506"/>
      <c r="BO12" s="506"/>
      <c r="BP12" s="506"/>
      <c r="BQ12" s="506"/>
      <c r="BR12" s="506"/>
      <c r="BS12" s="506"/>
      <c r="BT12" s="506"/>
      <c r="BU12" s="506"/>
      <c r="BV12" s="506"/>
      <c r="BW12" s="506"/>
      <c r="BX12" s="506"/>
      <c r="BY12" s="506"/>
      <c r="BZ12" s="506"/>
      <c r="CA12" s="506"/>
      <c r="CB12" s="506"/>
      <c r="CC12" s="506"/>
      <c r="CD12" s="506"/>
      <c r="CE12" s="506"/>
      <c r="CF12" s="506"/>
      <c r="CG12" s="506"/>
      <c r="CH12" s="506"/>
      <c r="CI12" s="506"/>
      <c r="CJ12" s="506"/>
      <c r="CK12" s="506"/>
      <c r="CL12" s="506"/>
      <c r="CM12" s="506"/>
      <c r="CN12" s="506"/>
      <c r="CO12" s="506"/>
      <c r="CP12" s="506"/>
      <c r="CQ12" s="506"/>
      <c r="CR12" s="506"/>
      <c r="CS12" s="506"/>
      <c r="CT12" s="506"/>
      <c r="CU12" s="506"/>
      <c r="CV12" s="506"/>
      <c r="CW12" s="506"/>
      <c r="CX12" s="506"/>
      <c r="CY12" s="506"/>
      <c r="CZ12" s="506"/>
      <c r="DA12" s="506"/>
      <c r="DB12" s="506"/>
      <c r="DC12" s="506"/>
      <c r="DD12" s="506"/>
      <c r="DE12" s="506"/>
      <c r="DF12" s="506"/>
      <c r="DG12" s="506"/>
      <c r="DH12" s="506"/>
      <c r="DI12" s="506"/>
      <c r="DJ12" s="506"/>
      <c r="DK12" s="506"/>
      <c r="DL12" s="506"/>
      <c r="DM12" s="506"/>
      <c r="DN12" s="506"/>
      <c r="DO12" s="506"/>
      <c r="DP12" s="506"/>
      <c r="DQ12" s="506"/>
      <c r="DR12" s="506"/>
      <c r="DS12" s="506"/>
      <c r="DT12" s="506"/>
      <c r="DU12" s="506"/>
      <c r="DV12" s="506"/>
      <c r="DW12" s="506"/>
      <c r="DX12" s="506"/>
      <c r="DY12" s="506"/>
      <c r="DZ12" s="506"/>
      <c r="EA12" s="506"/>
      <c r="EB12" s="506"/>
      <c r="EC12" s="506"/>
      <c r="ED12" s="506"/>
      <c r="EE12" s="506"/>
      <c r="EF12" s="506"/>
      <c r="EG12" s="506"/>
      <c r="EH12" s="506"/>
      <c r="EI12" s="506"/>
      <c r="EJ12" s="506"/>
      <c r="EK12" s="506"/>
      <c r="EL12" s="506"/>
      <c r="EM12" s="506"/>
      <c r="EN12" s="506"/>
      <c r="EO12" s="506"/>
      <c r="EP12" s="506"/>
      <c r="EQ12" s="506"/>
      <c r="ER12" s="506"/>
      <c r="ES12" s="506"/>
      <c r="ET12" s="506"/>
      <c r="EU12" s="506"/>
      <c r="EV12" s="506"/>
      <c r="EW12" s="506"/>
      <c r="EX12" s="506"/>
      <c r="EY12" s="506"/>
      <c r="EZ12" s="506"/>
      <c r="FA12" s="506"/>
      <c r="FB12" s="506"/>
      <c r="FC12" s="506"/>
      <c r="FD12" s="506"/>
      <c r="FE12" s="506"/>
      <c r="FF12" s="506"/>
      <c r="FG12" s="506"/>
      <c r="FH12" s="506"/>
      <c r="FI12" s="506"/>
      <c r="FJ12" s="506"/>
      <c r="FK12" s="506"/>
      <c r="FL12" s="506"/>
      <c r="FM12" s="506"/>
      <c r="FN12" s="506"/>
      <c r="FO12" s="506"/>
      <c r="FP12" s="506"/>
      <c r="FQ12" s="506"/>
      <c r="FR12" s="506"/>
      <c r="FS12" s="506"/>
      <c r="FT12" s="506"/>
      <c r="FU12" s="506"/>
      <c r="FV12" s="506"/>
      <c r="FW12" s="506"/>
      <c r="FX12" s="506"/>
      <c r="FY12" s="506"/>
      <c r="FZ12" s="506"/>
      <c r="GA12" s="506"/>
      <c r="GB12" s="506"/>
      <c r="GC12" s="506"/>
      <c r="GD12" s="506"/>
      <c r="GE12" s="506"/>
      <c r="GF12" s="506"/>
      <c r="GG12" s="506"/>
      <c r="GH12" s="506"/>
      <c r="GI12" s="506"/>
      <c r="GJ12" s="506"/>
      <c r="GK12" s="506"/>
      <c r="GL12" s="506"/>
      <c r="GM12" s="506"/>
      <c r="GN12" s="506"/>
      <c r="GO12" s="506"/>
      <c r="GP12" s="506"/>
      <c r="GQ12" s="506"/>
      <c r="GR12" s="506"/>
      <c r="GS12" s="506"/>
      <c r="GT12" s="506"/>
      <c r="GU12" s="506"/>
      <c r="GV12" s="506"/>
      <c r="GW12" s="506"/>
      <c r="GX12" s="506"/>
      <c r="GY12" s="506"/>
      <c r="GZ12" s="506"/>
      <c r="HA12" s="506"/>
      <c r="HB12" s="506"/>
      <c r="HC12" s="506"/>
      <c r="HD12" s="506"/>
      <c r="HE12" s="506"/>
      <c r="HF12" s="506"/>
      <c r="HG12" s="506"/>
      <c r="HH12" s="506"/>
      <c r="HI12" s="506"/>
      <c r="HJ12" s="506"/>
      <c r="HK12" s="506"/>
      <c r="HL12" s="506"/>
      <c r="HM12" s="506"/>
      <c r="HN12" s="506"/>
      <c r="HO12" s="506"/>
      <c r="HP12" s="506"/>
      <c r="HQ12" s="506"/>
      <c r="HR12" s="506"/>
      <c r="HS12" s="506"/>
      <c r="HT12" s="506"/>
      <c r="HU12" s="506"/>
      <c r="HV12" s="506"/>
      <c r="HW12" s="506"/>
      <c r="HX12" s="506"/>
      <c r="HY12" s="506"/>
      <c r="HZ12" s="506"/>
      <c r="IA12" s="506"/>
      <c r="IB12" s="506"/>
      <c r="IC12" s="506"/>
      <c r="ID12" s="506"/>
      <c r="IE12" s="506"/>
      <c r="IF12" s="506"/>
      <c r="IG12" s="506"/>
      <c r="IH12" s="506"/>
      <c r="II12" s="506"/>
      <c r="IJ12" s="506"/>
      <c r="IK12" s="506"/>
      <c r="IL12" s="506"/>
      <c r="IM12" s="506"/>
      <c r="IN12" s="506"/>
      <c r="IO12" s="506"/>
      <c r="IP12" s="506"/>
      <c r="IQ12" s="506"/>
      <c r="IR12" s="506"/>
      <c r="IS12" s="506"/>
      <c r="IT12" s="506"/>
    </row>
    <row r="13" spans="1:261" s="172" customFormat="1" ht="9.9" customHeight="1" x14ac:dyDescent="0.25">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58"/>
      <c r="AG13" s="174"/>
      <c r="IU13" s="171"/>
      <c r="IV13" s="171"/>
      <c r="IW13" s="171"/>
      <c r="IX13" s="171"/>
      <c r="IY13" s="171"/>
      <c r="IZ13" s="171"/>
      <c r="JA13" s="171"/>
    </row>
    <row r="14" spans="1:261" s="171" customFormat="1" ht="20.100000000000001" customHeight="1" x14ac:dyDescent="0.25">
      <c r="A14" s="616" t="s">
        <v>8</v>
      </c>
      <c r="B14" s="176">
        <v>0.88541666666666663</v>
      </c>
      <c r="C14" s="176">
        <v>0.88541666666666663</v>
      </c>
      <c r="D14" s="176">
        <v>0.88541666666666663</v>
      </c>
      <c r="E14" s="176">
        <v>0.88541666666666663</v>
      </c>
      <c r="F14" s="176">
        <v>0.88541666666666663</v>
      </c>
      <c r="G14" s="176">
        <v>0.91666666666666663</v>
      </c>
      <c r="H14" s="176">
        <v>0.91666666666666663</v>
      </c>
      <c r="I14" s="176">
        <v>0.91666666666666663</v>
      </c>
      <c r="J14" s="176">
        <v>0.91666666666666663</v>
      </c>
      <c r="K14" s="176">
        <v>0.91666666666666663</v>
      </c>
      <c r="L14" s="176">
        <v>0.91666666666666663</v>
      </c>
      <c r="M14" s="176">
        <v>0.91666666666666663</v>
      </c>
      <c r="N14" s="176">
        <v>0.91666666666666663</v>
      </c>
      <c r="O14" s="176">
        <v>0.91666666666666663</v>
      </c>
      <c r="P14" s="176">
        <v>0.91666666666666663</v>
      </c>
      <c r="Q14" s="176">
        <v>0.91666666666666663</v>
      </c>
      <c r="R14" s="176">
        <v>0.91666666666666663</v>
      </c>
      <c r="S14" s="176">
        <v>0.91666666666666663</v>
      </c>
      <c r="T14" s="176">
        <v>0.91666666666666663</v>
      </c>
      <c r="U14" s="176">
        <v>0.91666666666666663</v>
      </c>
      <c r="V14" s="176">
        <v>0.91666666666666663</v>
      </c>
      <c r="W14" s="176">
        <v>0.91666666666666663</v>
      </c>
      <c r="X14" s="176">
        <v>0.91666666666666663</v>
      </c>
      <c r="Y14" s="176">
        <v>0.91666666666666663</v>
      </c>
      <c r="Z14" s="176">
        <v>0.91666666666666663</v>
      </c>
      <c r="AA14" s="176">
        <v>0.91666666666666663</v>
      </c>
      <c r="AB14" s="176">
        <v>0.91666666666666663</v>
      </c>
      <c r="AC14" s="176">
        <v>0.91666666666666663</v>
      </c>
      <c r="AD14" s="176">
        <v>0.91666666666666663</v>
      </c>
      <c r="AE14" s="176">
        <v>0.91666666666666663</v>
      </c>
      <c r="AF14" s="158"/>
      <c r="AG14" s="176"/>
      <c r="BK14" s="172"/>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row>
    <row r="15" spans="1:261" s="171" customFormat="1" ht="20.100000000000001" customHeight="1" thickBot="1" x14ac:dyDescent="0.3">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158"/>
      <c r="AG15" s="555"/>
      <c r="BK15" s="172"/>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row>
    <row r="16" spans="1:261" s="171" customFormat="1" hidden="1" thickBot="1" x14ac:dyDescent="0.3">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58"/>
      <c r="AG16" s="167"/>
      <c r="BK16" s="172"/>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row>
    <row r="17" spans="1:134" s="171" customFormat="1" hidden="1" thickBot="1" x14ac:dyDescent="0.3">
      <c r="A17" s="519" t="s">
        <v>10</v>
      </c>
      <c r="B17" s="179">
        <f>COUNTIF(B14,"&gt;0")</f>
        <v>1</v>
      </c>
      <c r="C17" s="179">
        <f t="shared" ref="C17:AE17" si="12">COUNTIF(C14,"&gt;0")</f>
        <v>1</v>
      </c>
      <c r="D17" s="179">
        <f t="shared" si="12"/>
        <v>1</v>
      </c>
      <c r="E17" s="179">
        <f t="shared" ref="E17:F17" si="13">COUNTIF(E14,"&gt;0")</f>
        <v>1</v>
      </c>
      <c r="F17" s="179">
        <f t="shared" si="13"/>
        <v>1</v>
      </c>
      <c r="G17" s="179">
        <f t="shared" si="12"/>
        <v>1</v>
      </c>
      <c r="H17" s="179">
        <f t="shared" si="12"/>
        <v>1</v>
      </c>
      <c r="I17" s="179">
        <f t="shared" si="12"/>
        <v>1</v>
      </c>
      <c r="J17" s="179">
        <f t="shared" si="12"/>
        <v>1</v>
      </c>
      <c r="K17" s="179">
        <f t="shared" si="12"/>
        <v>1</v>
      </c>
      <c r="L17" s="179">
        <f t="shared" si="12"/>
        <v>1</v>
      </c>
      <c r="M17" s="179">
        <f t="shared" si="12"/>
        <v>1</v>
      </c>
      <c r="N17" s="179">
        <f t="shared" si="12"/>
        <v>1</v>
      </c>
      <c r="O17" s="179">
        <f t="shared" si="12"/>
        <v>1</v>
      </c>
      <c r="P17" s="179">
        <f t="shared" si="12"/>
        <v>1</v>
      </c>
      <c r="Q17" s="179">
        <f t="shared" si="12"/>
        <v>1</v>
      </c>
      <c r="R17" s="179">
        <f t="shared" si="12"/>
        <v>1</v>
      </c>
      <c r="S17" s="179">
        <f t="shared" si="12"/>
        <v>1</v>
      </c>
      <c r="T17" s="179">
        <f t="shared" si="12"/>
        <v>1</v>
      </c>
      <c r="U17" s="179">
        <f t="shared" si="12"/>
        <v>1</v>
      </c>
      <c r="V17" s="179">
        <f t="shared" si="12"/>
        <v>1</v>
      </c>
      <c r="W17" s="179">
        <f t="shared" si="12"/>
        <v>1</v>
      </c>
      <c r="X17" s="179">
        <f t="shared" si="12"/>
        <v>1</v>
      </c>
      <c r="Y17" s="179">
        <f t="shared" si="12"/>
        <v>1</v>
      </c>
      <c r="Z17" s="179">
        <f t="shared" si="12"/>
        <v>1</v>
      </c>
      <c r="AA17" s="179">
        <f t="shared" si="12"/>
        <v>1</v>
      </c>
      <c r="AB17" s="179">
        <f t="shared" si="12"/>
        <v>1</v>
      </c>
      <c r="AC17" s="179">
        <f t="shared" si="12"/>
        <v>1</v>
      </c>
      <c r="AD17" s="179">
        <f t="shared" si="12"/>
        <v>1</v>
      </c>
      <c r="AE17" s="179">
        <f t="shared" si="12"/>
        <v>1</v>
      </c>
      <c r="AF17" s="158"/>
      <c r="AG17" s="163"/>
      <c r="BK17" s="172"/>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row>
    <row r="18" spans="1:134" s="171" customFormat="1" hidden="1" thickBot="1" x14ac:dyDescent="0.3">
      <c r="A18" s="519" t="s">
        <v>11</v>
      </c>
      <c r="B18" s="179">
        <f>COUNTIF(B15,"&gt;0")</f>
        <v>0</v>
      </c>
      <c r="C18" s="179">
        <f t="shared" ref="C18:AE18" si="14">COUNTIF(C15,"&gt;0")</f>
        <v>0</v>
      </c>
      <c r="D18" s="179">
        <f t="shared" si="14"/>
        <v>0</v>
      </c>
      <c r="E18" s="179">
        <f t="shared" ref="E18:F18" si="15">COUNTIF(E15,"&gt;0")</f>
        <v>0</v>
      </c>
      <c r="F18" s="179">
        <f t="shared" si="15"/>
        <v>0</v>
      </c>
      <c r="G18" s="179">
        <f t="shared" si="14"/>
        <v>0</v>
      </c>
      <c r="H18" s="179">
        <f t="shared" si="14"/>
        <v>0</v>
      </c>
      <c r="I18" s="179">
        <f t="shared" si="14"/>
        <v>0</v>
      </c>
      <c r="J18" s="179">
        <f t="shared" si="14"/>
        <v>0</v>
      </c>
      <c r="K18" s="179">
        <f t="shared" si="14"/>
        <v>0</v>
      </c>
      <c r="L18" s="179">
        <f t="shared" si="14"/>
        <v>0</v>
      </c>
      <c r="M18" s="179">
        <f t="shared" si="14"/>
        <v>0</v>
      </c>
      <c r="N18" s="179">
        <f t="shared" si="14"/>
        <v>0</v>
      </c>
      <c r="O18" s="179">
        <f t="shared" si="14"/>
        <v>0</v>
      </c>
      <c r="P18" s="179">
        <f t="shared" si="14"/>
        <v>0</v>
      </c>
      <c r="Q18" s="179">
        <f t="shared" si="14"/>
        <v>0</v>
      </c>
      <c r="R18" s="179">
        <f t="shared" si="14"/>
        <v>0</v>
      </c>
      <c r="S18" s="179">
        <f t="shared" si="14"/>
        <v>0</v>
      </c>
      <c r="T18" s="179">
        <f t="shared" si="14"/>
        <v>0</v>
      </c>
      <c r="U18" s="179">
        <f t="shared" si="14"/>
        <v>0</v>
      </c>
      <c r="V18" s="179">
        <f t="shared" si="14"/>
        <v>0</v>
      </c>
      <c r="W18" s="179">
        <f t="shared" si="14"/>
        <v>0</v>
      </c>
      <c r="X18" s="179">
        <f t="shared" si="14"/>
        <v>0</v>
      </c>
      <c r="Y18" s="179">
        <f t="shared" si="14"/>
        <v>0</v>
      </c>
      <c r="Z18" s="179">
        <f t="shared" si="14"/>
        <v>0</v>
      </c>
      <c r="AA18" s="179">
        <f t="shared" si="14"/>
        <v>0</v>
      </c>
      <c r="AB18" s="179">
        <f t="shared" si="14"/>
        <v>0</v>
      </c>
      <c r="AC18" s="179">
        <f t="shared" si="14"/>
        <v>0</v>
      </c>
      <c r="AD18" s="179">
        <f t="shared" si="14"/>
        <v>0</v>
      </c>
      <c r="AE18" s="179">
        <f t="shared" si="14"/>
        <v>0</v>
      </c>
      <c r="AF18" s="158"/>
      <c r="AG18" s="163"/>
      <c r="BK18" s="172"/>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row>
    <row r="19" spans="1:134" s="171" customFormat="1" hidden="1" thickBot="1" x14ac:dyDescent="0.3">
      <c r="A19" s="519" t="s">
        <v>20</v>
      </c>
      <c r="B19" s="179">
        <f>COUNTIF(B16,"&gt;0")</f>
        <v>0</v>
      </c>
      <c r="C19" s="179">
        <f t="shared" ref="C19:AE19" si="16">COUNTIF(C16,"&gt;0")</f>
        <v>0</v>
      </c>
      <c r="D19" s="179">
        <f t="shared" si="16"/>
        <v>0</v>
      </c>
      <c r="E19" s="179">
        <f t="shared" ref="E19:F19" si="17">COUNTIF(E16,"&gt;0")</f>
        <v>0</v>
      </c>
      <c r="F19" s="179">
        <f t="shared" si="17"/>
        <v>0</v>
      </c>
      <c r="G19" s="179">
        <f t="shared" si="16"/>
        <v>0</v>
      </c>
      <c r="H19" s="179">
        <f t="shared" si="16"/>
        <v>0</v>
      </c>
      <c r="I19" s="179">
        <f t="shared" si="16"/>
        <v>0</v>
      </c>
      <c r="J19" s="179">
        <f t="shared" si="16"/>
        <v>0</v>
      </c>
      <c r="K19" s="179">
        <f t="shared" si="16"/>
        <v>0</v>
      </c>
      <c r="L19" s="179">
        <f t="shared" si="16"/>
        <v>0</v>
      </c>
      <c r="M19" s="179">
        <f t="shared" si="16"/>
        <v>0</v>
      </c>
      <c r="N19" s="179">
        <f t="shared" si="16"/>
        <v>0</v>
      </c>
      <c r="O19" s="179">
        <f t="shared" si="16"/>
        <v>0</v>
      </c>
      <c r="P19" s="179">
        <f t="shared" si="16"/>
        <v>0</v>
      </c>
      <c r="Q19" s="179">
        <f t="shared" si="16"/>
        <v>0</v>
      </c>
      <c r="R19" s="179">
        <f t="shared" si="16"/>
        <v>0</v>
      </c>
      <c r="S19" s="179">
        <f t="shared" si="16"/>
        <v>0</v>
      </c>
      <c r="T19" s="179">
        <f t="shared" si="16"/>
        <v>0</v>
      </c>
      <c r="U19" s="179">
        <f t="shared" si="16"/>
        <v>0</v>
      </c>
      <c r="V19" s="179">
        <f t="shared" si="16"/>
        <v>0</v>
      </c>
      <c r="W19" s="179">
        <f t="shared" si="16"/>
        <v>0</v>
      </c>
      <c r="X19" s="179">
        <f t="shared" si="16"/>
        <v>0</v>
      </c>
      <c r="Y19" s="179">
        <f t="shared" si="16"/>
        <v>0</v>
      </c>
      <c r="Z19" s="179">
        <f t="shared" si="16"/>
        <v>0</v>
      </c>
      <c r="AA19" s="179">
        <f t="shared" si="16"/>
        <v>0</v>
      </c>
      <c r="AB19" s="179">
        <f t="shared" si="16"/>
        <v>0</v>
      </c>
      <c r="AC19" s="179">
        <f t="shared" si="16"/>
        <v>0</v>
      </c>
      <c r="AD19" s="179">
        <f t="shared" si="16"/>
        <v>0</v>
      </c>
      <c r="AE19" s="179">
        <f t="shared" si="16"/>
        <v>0</v>
      </c>
      <c r="AF19" s="158"/>
      <c r="AG19" s="163"/>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row>
    <row r="20" spans="1:134" s="171" customFormat="1" ht="20.100000000000001" customHeight="1" thickBot="1" x14ac:dyDescent="0.3">
      <c r="A20" s="616" t="s">
        <v>12</v>
      </c>
      <c r="B20" s="618">
        <f>SUM(B17:B19)</f>
        <v>1</v>
      </c>
      <c r="C20" s="618">
        <f t="shared" ref="C20:AE20" si="18">SUM(C17:C19)</f>
        <v>1</v>
      </c>
      <c r="D20" s="618">
        <f t="shared" si="18"/>
        <v>1</v>
      </c>
      <c r="E20" s="618">
        <f t="shared" ref="E20:F20" si="19">SUM(E17:E19)</f>
        <v>1</v>
      </c>
      <c r="F20" s="618">
        <f t="shared" si="19"/>
        <v>1</v>
      </c>
      <c r="G20" s="618">
        <f t="shared" si="18"/>
        <v>1</v>
      </c>
      <c r="H20" s="618">
        <f t="shared" si="18"/>
        <v>1</v>
      </c>
      <c r="I20" s="618">
        <f>SUM(I17:I19)</f>
        <v>1</v>
      </c>
      <c r="J20" s="618">
        <f t="shared" si="18"/>
        <v>1</v>
      </c>
      <c r="K20" s="618">
        <f t="shared" si="18"/>
        <v>1</v>
      </c>
      <c r="L20" s="618">
        <f t="shared" si="18"/>
        <v>1</v>
      </c>
      <c r="M20" s="618">
        <f t="shared" si="18"/>
        <v>1</v>
      </c>
      <c r="N20" s="618">
        <f t="shared" si="18"/>
        <v>1</v>
      </c>
      <c r="O20" s="618">
        <f t="shared" si="18"/>
        <v>1</v>
      </c>
      <c r="P20" s="618">
        <f t="shared" si="18"/>
        <v>1</v>
      </c>
      <c r="Q20" s="618">
        <f t="shared" si="18"/>
        <v>1</v>
      </c>
      <c r="R20" s="618">
        <f t="shared" si="18"/>
        <v>1</v>
      </c>
      <c r="S20" s="618">
        <f t="shared" si="18"/>
        <v>1</v>
      </c>
      <c r="T20" s="618">
        <f t="shared" si="18"/>
        <v>1</v>
      </c>
      <c r="U20" s="618">
        <f t="shared" si="18"/>
        <v>1</v>
      </c>
      <c r="V20" s="618">
        <f t="shared" si="18"/>
        <v>1</v>
      </c>
      <c r="W20" s="618">
        <f t="shared" si="18"/>
        <v>1</v>
      </c>
      <c r="X20" s="618">
        <f t="shared" si="18"/>
        <v>1</v>
      </c>
      <c r="Y20" s="618">
        <f t="shared" si="18"/>
        <v>1</v>
      </c>
      <c r="Z20" s="618">
        <f t="shared" si="18"/>
        <v>1</v>
      </c>
      <c r="AA20" s="618">
        <f t="shared" si="18"/>
        <v>1</v>
      </c>
      <c r="AB20" s="618">
        <f t="shared" si="18"/>
        <v>1</v>
      </c>
      <c r="AC20" s="618">
        <f t="shared" si="18"/>
        <v>1</v>
      </c>
      <c r="AD20" s="618">
        <f t="shared" si="18"/>
        <v>1</v>
      </c>
      <c r="AE20" s="618">
        <f t="shared" si="18"/>
        <v>1</v>
      </c>
      <c r="AF20" s="158"/>
      <c r="AG20" s="619">
        <f>SUM(B20:AE20)</f>
        <v>30</v>
      </c>
      <c r="AH20" s="620"/>
      <c r="BK20" s="172"/>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row>
    <row r="21" spans="1:134"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158"/>
      <c r="AG21" s="34"/>
    </row>
    <row r="22" spans="1:134" ht="33.9" customHeight="1" x14ac:dyDescent="0.25">
      <c r="A22" s="588" t="s">
        <v>21</v>
      </c>
      <c r="B22" s="601">
        <v>1400</v>
      </c>
      <c r="C22" s="601">
        <v>400</v>
      </c>
      <c r="D22" s="601">
        <v>400</v>
      </c>
      <c r="E22" s="601">
        <v>400</v>
      </c>
      <c r="F22" s="601">
        <v>600</v>
      </c>
      <c r="G22" s="601">
        <v>1700</v>
      </c>
      <c r="H22" s="601">
        <v>1200</v>
      </c>
      <c r="I22" s="601">
        <v>1200</v>
      </c>
      <c r="J22" s="601">
        <v>1600</v>
      </c>
      <c r="K22" s="601">
        <v>1600</v>
      </c>
      <c r="L22" s="601">
        <v>1600</v>
      </c>
      <c r="M22" s="601">
        <v>1300</v>
      </c>
      <c r="N22" s="601">
        <v>1900</v>
      </c>
      <c r="O22" s="601">
        <v>1800</v>
      </c>
      <c r="P22" s="601">
        <v>2400</v>
      </c>
      <c r="Q22" s="601">
        <v>2700</v>
      </c>
      <c r="R22" s="601">
        <v>2400</v>
      </c>
      <c r="S22" s="601">
        <v>2000</v>
      </c>
      <c r="T22" s="601">
        <v>1800</v>
      </c>
      <c r="U22" s="601">
        <v>1900</v>
      </c>
      <c r="V22" s="601">
        <v>1800</v>
      </c>
      <c r="W22" s="601">
        <v>2300</v>
      </c>
      <c r="X22" s="601">
        <v>3100</v>
      </c>
      <c r="Y22" s="601">
        <v>2900</v>
      </c>
      <c r="Z22" s="601">
        <v>3000</v>
      </c>
      <c r="AA22" s="601">
        <v>2000</v>
      </c>
      <c r="AB22" s="601">
        <v>2300</v>
      </c>
      <c r="AC22" s="601">
        <v>1900</v>
      </c>
      <c r="AD22" s="601">
        <v>2300</v>
      </c>
      <c r="AE22" s="601">
        <v>2400</v>
      </c>
      <c r="AF22" s="158"/>
      <c r="AG22" s="594">
        <f t="shared" ref="AG22:AG32" si="20">SUM(B22:AF22)</f>
        <v>54300</v>
      </c>
      <c r="AH22" s="604"/>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row>
    <row r="23" spans="1:134" ht="33.9" customHeight="1" x14ac:dyDescent="0.25">
      <c r="A23" s="590" t="s">
        <v>22</v>
      </c>
      <c r="B23" s="602">
        <v>2800</v>
      </c>
      <c r="C23" s="602">
        <v>2000</v>
      </c>
      <c r="D23" s="602">
        <v>1800</v>
      </c>
      <c r="E23" s="602">
        <v>1800</v>
      </c>
      <c r="F23" s="602">
        <v>2200</v>
      </c>
      <c r="G23" s="602">
        <v>3000</v>
      </c>
      <c r="H23" s="602">
        <v>2200</v>
      </c>
      <c r="I23" s="602">
        <v>2200</v>
      </c>
      <c r="J23" s="602">
        <v>2500</v>
      </c>
      <c r="K23" s="602">
        <v>2500</v>
      </c>
      <c r="L23" s="602">
        <v>2500</v>
      </c>
      <c r="M23" s="602">
        <v>2300</v>
      </c>
      <c r="N23" s="602">
        <v>3500</v>
      </c>
      <c r="O23" s="602">
        <v>3500</v>
      </c>
      <c r="P23" s="602">
        <v>4100</v>
      </c>
      <c r="Q23" s="602">
        <v>4800</v>
      </c>
      <c r="R23" s="602">
        <v>4300</v>
      </c>
      <c r="S23" s="602">
        <v>3800</v>
      </c>
      <c r="T23" s="602">
        <v>3300</v>
      </c>
      <c r="U23" s="602">
        <v>3600</v>
      </c>
      <c r="V23" s="602">
        <v>3400</v>
      </c>
      <c r="W23" s="602">
        <v>4300</v>
      </c>
      <c r="X23" s="602">
        <v>6000</v>
      </c>
      <c r="Y23" s="602">
        <v>5100</v>
      </c>
      <c r="Z23" s="602">
        <v>5000</v>
      </c>
      <c r="AA23" s="602">
        <v>3100</v>
      </c>
      <c r="AB23" s="602">
        <v>3400</v>
      </c>
      <c r="AC23" s="602">
        <v>3100</v>
      </c>
      <c r="AD23" s="602">
        <v>4000</v>
      </c>
      <c r="AE23" s="602">
        <v>4400</v>
      </c>
      <c r="AF23" s="158"/>
      <c r="AG23" s="595">
        <f t="shared" si="20"/>
        <v>100500</v>
      </c>
      <c r="AH23" s="605"/>
    </row>
    <row r="24" spans="1:134" s="514" customFormat="1" ht="33.9" customHeight="1" x14ac:dyDescent="0.25">
      <c r="A24" s="592" t="s">
        <v>29</v>
      </c>
      <c r="B24" s="603">
        <v>4200</v>
      </c>
      <c r="C24" s="603">
        <v>2400</v>
      </c>
      <c r="D24" s="603">
        <v>2200</v>
      </c>
      <c r="E24" s="603">
        <v>2200</v>
      </c>
      <c r="F24" s="603">
        <v>2800</v>
      </c>
      <c r="G24" s="603">
        <v>4700</v>
      </c>
      <c r="H24" s="603">
        <v>3400</v>
      </c>
      <c r="I24" s="603">
        <v>3400</v>
      </c>
      <c r="J24" s="603">
        <v>4100</v>
      </c>
      <c r="K24" s="603">
        <v>4100</v>
      </c>
      <c r="L24" s="603">
        <v>4100</v>
      </c>
      <c r="M24" s="603">
        <v>3600</v>
      </c>
      <c r="N24" s="603">
        <v>5400</v>
      </c>
      <c r="O24" s="603">
        <v>5300</v>
      </c>
      <c r="P24" s="603">
        <v>6500</v>
      </c>
      <c r="Q24" s="603">
        <v>7500</v>
      </c>
      <c r="R24" s="603">
        <v>6700</v>
      </c>
      <c r="S24" s="603">
        <v>5800</v>
      </c>
      <c r="T24" s="603">
        <v>5100</v>
      </c>
      <c r="U24" s="603">
        <v>5500</v>
      </c>
      <c r="V24" s="603">
        <v>5200</v>
      </c>
      <c r="W24" s="603">
        <v>6600</v>
      </c>
      <c r="X24" s="603">
        <v>9100</v>
      </c>
      <c r="Y24" s="603">
        <v>8000</v>
      </c>
      <c r="Z24" s="603">
        <v>8000</v>
      </c>
      <c r="AA24" s="603">
        <v>5100</v>
      </c>
      <c r="AB24" s="603">
        <v>5700</v>
      </c>
      <c r="AC24" s="603">
        <v>5000</v>
      </c>
      <c r="AD24" s="603">
        <v>6300</v>
      </c>
      <c r="AE24" s="603">
        <v>6800</v>
      </c>
      <c r="AF24" s="158"/>
      <c r="AG24" s="596">
        <f t="shared" si="20"/>
        <v>154800</v>
      </c>
      <c r="AH24" s="606"/>
    </row>
    <row r="25" spans="1:134" ht="33.9" customHeight="1" x14ac:dyDescent="0.25">
      <c r="A25" s="588" t="s">
        <v>43</v>
      </c>
      <c r="B25" s="601">
        <v>110</v>
      </c>
      <c r="C25" s="601">
        <v>0</v>
      </c>
      <c r="D25" s="601">
        <v>0</v>
      </c>
      <c r="E25" s="601">
        <v>0</v>
      </c>
      <c r="F25" s="601">
        <v>100</v>
      </c>
      <c r="G25" s="601">
        <v>770</v>
      </c>
      <c r="H25" s="601">
        <v>690</v>
      </c>
      <c r="I25" s="601">
        <v>20</v>
      </c>
      <c r="J25" s="601">
        <v>60</v>
      </c>
      <c r="K25" s="601">
        <v>60</v>
      </c>
      <c r="L25" s="601">
        <v>50</v>
      </c>
      <c r="M25" s="601">
        <v>230</v>
      </c>
      <c r="N25" s="601">
        <v>980</v>
      </c>
      <c r="O25" s="601">
        <v>640</v>
      </c>
      <c r="P25" s="601">
        <v>60</v>
      </c>
      <c r="Q25" s="601">
        <v>90</v>
      </c>
      <c r="R25" s="601">
        <v>0</v>
      </c>
      <c r="S25" s="601">
        <v>0</v>
      </c>
      <c r="T25" s="601">
        <v>200</v>
      </c>
      <c r="U25" s="601">
        <v>500</v>
      </c>
      <c r="V25" s="601">
        <v>390</v>
      </c>
      <c r="W25" s="601">
        <v>30</v>
      </c>
      <c r="X25" s="601">
        <v>0</v>
      </c>
      <c r="Y25" s="601">
        <v>0</v>
      </c>
      <c r="Z25" s="601">
        <v>0</v>
      </c>
      <c r="AA25" s="601">
        <v>0</v>
      </c>
      <c r="AB25" s="601">
        <v>420</v>
      </c>
      <c r="AC25" s="601">
        <v>400</v>
      </c>
      <c r="AD25" s="601">
        <v>0</v>
      </c>
      <c r="AE25" s="601">
        <v>20</v>
      </c>
      <c r="AF25" s="158"/>
      <c r="AG25" s="594">
        <f t="shared" si="20"/>
        <v>5820</v>
      </c>
      <c r="AH25" s="604"/>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row>
    <row r="26" spans="1:134" ht="33.9" customHeight="1" x14ac:dyDescent="0.25">
      <c r="A26" s="590" t="s">
        <v>44</v>
      </c>
      <c r="B26" s="602">
        <v>70</v>
      </c>
      <c r="C26" s="602">
        <v>870</v>
      </c>
      <c r="D26" s="602">
        <v>1060</v>
      </c>
      <c r="E26" s="602">
        <v>1660</v>
      </c>
      <c r="F26" s="602">
        <v>1220</v>
      </c>
      <c r="G26" s="602">
        <v>260</v>
      </c>
      <c r="H26" s="602">
        <v>50</v>
      </c>
      <c r="I26" s="602">
        <v>280</v>
      </c>
      <c r="J26" s="602">
        <v>1150</v>
      </c>
      <c r="K26" s="602">
        <v>1100</v>
      </c>
      <c r="L26" s="602">
        <v>1480</v>
      </c>
      <c r="M26" s="602">
        <v>710</v>
      </c>
      <c r="N26" s="602">
        <v>290</v>
      </c>
      <c r="O26" s="602">
        <v>300</v>
      </c>
      <c r="P26" s="602">
        <v>410</v>
      </c>
      <c r="Q26" s="602">
        <v>1020</v>
      </c>
      <c r="R26" s="602">
        <v>1060</v>
      </c>
      <c r="S26" s="602">
        <v>1290</v>
      </c>
      <c r="T26" s="602">
        <v>820</v>
      </c>
      <c r="U26" s="602">
        <v>190</v>
      </c>
      <c r="V26" s="602">
        <v>200</v>
      </c>
      <c r="W26" s="602">
        <v>500</v>
      </c>
      <c r="X26" s="602">
        <v>1060</v>
      </c>
      <c r="Y26" s="602">
        <v>1180</v>
      </c>
      <c r="Z26" s="602">
        <v>1380</v>
      </c>
      <c r="AA26" s="602">
        <v>800</v>
      </c>
      <c r="AB26" s="602">
        <v>20</v>
      </c>
      <c r="AC26" s="602">
        <v>220</v>
      </c>
      <c r="AD26" s="602">
        <v>580</v>
      </c>
      <c r="AE26" s="602">
        <v>790</v>
      </c>
      <c r="AF26" s="158"/>
      <c r="AG26" s="595">
        <f t="shared" si="20"/>
        <v>22020</v>
      </c>
      <c r="AH26" s="605"/>
    </row>
    <row r="27" spans="1:134" s="514" customFormat="1" ht="33.9" customHeight="1" x14ac:dyDescent="0.25">
      <c r="A27" s="592" t="s">
        <v>14</v>
      </c>
      <c r="B27" s="603">
        <v>180</v>
      </c>
      <c r="C27" s="603">
        <v>870</v>
      </c>
      <c r="D27" s="603">
        <v>1060</v>
      </c>
      <c r="E27" s="603">
        <v>1660</v>
      </c>
      <c r="F27" s="603">
        <v>1320</v>
      </c>
      <c r="G27" s="603">
        <v>1030</v>
      </c>
      <c r="H27" s="603">
        <v>740</v>
      </c>
      <c r="I27" s="603">
        <v>300</v>
      </c>
      <c r="J27" s="603">
        <v>1210</v>
      </c>
      <c r="K27" s="603">
        <v>1160</v>
      </c>
      <c r="L27" s="603">
        <v>1530</v>
      </c>
      <c r="M27" s="603">
        <v>940</v>
      </c>
      <c r="N27" s="603">
        <v>1270</v>
      </c>
      <c r="O27" s="603">
        <v>940</v>
      </c>
      <c r="P27" s="603">
        <v>470</v>
      </c>
      <c r="Q27" s="603">
        <v>1110</v>
      </c>
      <c r="R27" s="603">
        <v>1060</v>
      </c>
      <c r="S27" s="603">
        <v>1290</v>
      </c>
      <c r="T27" s="603">
        <v>1020</v>
      </c>
      <c r="U27" s="603">
        <v>690</v>
      </c>
      <c r="V27" s="603">
        <v>590</v>
      </c>
      <c r="W27" s="603">
        <v>530</v>
      </c>
      <c r="X27" s="603">
        <v>1060</v>
      </c>
      <c r="Y27" s="603">
        <v>1180</v>
      </c>
      <c r="Z27" s="603">
        <v>1380</v>
      </c>
      <c r="AA27" s="603">
        <v>800</v>
      </c>
      <c r="AB27" s="603">
        <v>440</v>
      </c>
      <c r="AC27" s="603">
        <v>620</v>
      </c>
      <c r="AD27" s="603">
        <v>580</v>
      </c>
      <c r="AE27" s="603">
        <v>810</v>
      </c>
      <c r="AF27" s="158"/>
      <c r="AG27" s="596">
        <f t="shared" si="20"/>
        <v>27840</v>
      </c>
      <c r="AH27" s="606"/>
    </row>
    <row r="28" spans="1:134" ht="33.9" customHeight="1" x14ac:dyDescent="0.25">
      <c r="A28" s="588" t="s">
        <v>23</v>
      </c>
      <c r="B28" s="601">
        <v>70</v>
      </c>
      <c r="C28" s="601">
        <v>10</v>
      </c>
      <c r="D28" s="601">
        <v>30</v>
      </c>
      <c r="E28" s="601">
        <v>20</v>
      </c>
      <c r="F28" s="601">
        <v>20</v>
      </c>
      <c r="G28" s="601">
        <v>100</v>
      </c>
      <c r="H28" s="601">
        <v>140</v>
      </c>
      <c r="I28" s="601">
        <v>100</v>
      </c>
      <c r="J28" s="601">
        <v>80</v>
      </c>
      <c r="K28" s="601">
        <v>50</v>
      </c>
      <c r="L28" s="601">
        <v>80</v>
      </c>
      <c r="M28" s="601">
        <v>30</v>
      </c>
      <c r="N28" s="601">
        <v>60</v>
      </c>
      <c r="O28" s="601">
        <v>130</v>
      </c>
      <c r="P28" s="601">
        <v>100</v>
      </c>
      <c r="Q28" s="601">
        <v>100</v>
      </c>
      <c r="R28" s="601">
        <v>110</v>
      </c>
      <c r="S28" s="601">
        <v>120</v>
      </c>
      <c r="T28" s="601">
        <v>120</v>
      </c>
      <c r="U28" s="601">
        <v>100</v>
      </c>
      <c r="V28" s="601">
        <v>90</v>
      </c>
      <c r="W28" s="601">
        <v>60</v>
      </c>
      <c r="X28" s="601">
        <v>90</v>
      </c>
      <c r="Y28" s="601">
        <v>100</v>
      </c>
      <c r="Z28" s="601">
        <v>90</v>
      </c>
      <c r="AA28" s="601">
        <v>70</v>
      </c>
      <c r="AB28" s="601">
        <v>100</v>
      </c>
      <c r="AC28" s="601">
        <v>90</v>
      </c>
      <c r="AD28" s="601">
        <v>60</v>
      </c>
      <c r="AE28" s="601">
        <v>50</v>
      </c>
      <c r="AF28" s="158"/>
      <c r="AG28" s="594">
        <f t="shared" si="20"/>
        <v>2370</v>
      </c>
      <c r="AH28" s="604"/>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row>
    <row r="29" spans="1:134" ht="33.9" customHeight="1" x14ac:dyDescent="0.25">
      <c r="A29" s="590" t="s">
        <v>26</v>
      </c>
      <c r="B29" s="602">
        <v>140</v>
      </c>
      <c r="C29" s="602">
        <v>20</v>
      </c>
      <c r="D29" s="602">
        <v>60</v>
      </c>
      <c r="E29" s="602">
        <v>30</v>
      </c>
      <c r="F29" s="602">
        <v>30</v>
      </c>
      <c r="G29" s="602">
        <v>120</v>
      </c>
      <c r="H29" s="602">
        <v>170</v>
      </c>
      <c r="I29" s="602">
        <v>120</v>
      </c>
      <c r="J29" s="602">
        <v>90</v>
      </c>
      <c r="K29" s="602">
        <v>60</v>
      </c>
      <c r="L29" s="602">
        <v>90</v>
      </c>
      <c r="M29" s="602">
        <v>40</v>
      </c>
      <c r="N29" s="602">
        <v>70</v>
      </c>
      <c r="O29" s="602">
        <v>150</v>
      </c>
      <c r="P29" s="602">
        <v>120</v>
      </c>
      <c r="Q29" s="602">
        <v>120</v>
      </c>
      <c r="R29" s="602">
        <v>130</v>
      </c>
      <c r="S29" s="602">
        <v>160</v>
      </c>
      <c r="T29" s="602">
        <v>140</v>
      </c>
      <c r="U29" s="602">
        <v>120</v>
      </c>
      <c r="V29" s="602">
        <v>110</v>
      </c>
      <c r="W29" s="602">
        <v>70</v>
      </c>
      <c r="X29" s="602">
        <v>110</v>
      </c>
      <c r="Y29" s="602">
        <v>120</v>
      </c>
      <c r="Z29" s="602">
        <v>110</v>
      </c>
      <c r="AA29" s="602">
        <v>80</v>
      </c>
      <c r="AB29" s="602">
        <v>120</v>
      </c>
      <c r="AC29" s="602">
        <v>110</v>
      </c>
      <c r="AD29" s="602">
        <v>70</v>
      </c>
      <c r="AE29" s="602">
        <v>60</v>
      </c>
      <c r="AF29" s="158"/>
      <c r="AG29" s="595">
        <f t="shared" si="20"/>
        <v>2940</v>
      </c>
      <c r="AH29" s="605"/>
    </row>
    <row r="30" spans="1:134" ht="33.9" customHeight="1" x14ac:dyDescent="0.25">
      <c r="A30" s="588" t="s">
        <v>24</v>
      </c>
      <c r="B30" s="601">
        <v>0</v>
      </c>
      <c r="C30" s="601">
        <v>180</v>
      </c>
      <c r="D30" s="601">
        <v>60</v>
      </c>
      <c r="E30" s="601">
        <v>120</v>
      </c>
      <c r="F30" s="601">
        <v>0</v>
      </c>
      <c r="G30" s="601">
        <v>0</v>
      </c>
      <c r="H30" s="601">
        <v>0</v>
      </c>
      <c r="I30" s="601">
        <v>0</v>
      </c>
      <c r="J30" s="601">
        <v>60</v>
      </c>
      <c r="K30" s="601">
        <v>600</v>
      </c>
      <c r="L30" s="601">
        <v>20</v>
      </c>
      <c r="M30" s="601">
        <v>20</v>
      </c>
      <c r="N30" s="601">
        <v>650</v>
      </c>
      <c r="O30" s="601">
        <v>0</v>
      </c>
      <c r="P30" s="601">
        <v>0</v>
      </c>
      <c r="Q30" s="601">
        <v>0</v>
      </c>
      <c r="R30" s="601">
        <v>0</v>
      </c>
      <c r="S30" s="601">
        <v>0</v>
      </c>
      <c r="T30" s="601">
        <v>0</v>
      </c>
      <c r="U30" s="601">
        <v>0</v>
      </c>
      <c r="V30" s="601">
        <v>0</v>
      </c>
      <c r="W30" s="601">
        <v>0</v>
      </c>
      <c r="X30" s="601">
        <v>0</v>
      </c>
      <c r="Y30" s="601">
        <v>0</v>
      </c>
      <c r="Z30" s="601">
        <v>0</v>
      </c>
      <c r="AA30" s="601">
        <v>0</v>
      </c>
      <c r="AB30" s="601">
        <v>0</v>
      </c>
      <c r="AC30" s="601">
        <v>0</v>
      </c>
      <c r="AD30" s="601">
        <v>0</v>
      </c>
      <c r="AE30" s="601">
        <v>0</v>
      </c>
      <c r="AF30" s="158"/>
      <c r="AG30" s="594">
        <f t="shared" si="20"/>
        <v>1710</v>
      </c>
      <c r="AH30" s="604"/>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row>
    <row r="31" spans="1:134" s="3" customFormat="1" ht="33.75" customHeight="1" x14ac:dyDescent="0.25">
      <c r="A31" s="590" t="s">
        <v>25</v>
      </c>
      <c r="B31" s="602">
        <v>200</v>
      </c>
      <c r="C31" s="602">
        <v>80</v>
      </c>
      <c r="D31" s="602">
        <v>160</v>
      </c>
      <c r="E31" s="602">
        <v>60</v>
      </c>
      <c r="F31" s="602">
        <v>70</v>
      </c>
      <c r="G31" s="602">
        <v>240</v>
      </c>
      <c r="H31" s="602">
        <v>230</v>
      </c>
      <c r="I31" s="602">
        <v>110</v>
      </c>
      <c r="J31" s="602">
        <v>110</v>
      </c>
      <c r="K31" s="602">
        <v>250</v>
      </c>
      <c r="L31" s="602">
        <v>90</v>
      </c>
      <c r="M31" s="602">
        <v>100</v>
      </c>
      <c r="N31" s="602">
        <v>160</v>
      </c>
      <c r="O31" s="602">
        <v>180</v>
      </c>
      <c r="P31" s="602">
        <v>150</v>
      </c>
      <c r="Q31" s="602">
        <v>190</v>
      </c>
      <c r="R31" s="602">
        <v>170</v>
      </c>
      <c r="S31" s="602">
        <v>210</v>
      </c>
      <c r="T31" s="602">
        <v>160</v>
      </c>
      <c r="U31" s="602">
        <v>210</v>
      </c>
      <c r="V31" s="602">
        <v>240</v>
      </c>
      <c r="W31" s="602">
        <v>150</v>
      </c>
      <c r="X31" s="602">
        <v>220</v>
      </c>
      <c r="Y31" s="602">
        <v>240</v>
      </c>
      <c r="Z31" s="602">
        <v>230</v>
      </c>
      <c r="AA31" s="602">
        <v>370</v>
      </c>
      <c r="AB31" s="602">
        <v>250</v>
      </c>
      <c r="AC31" s="602">
        <v>180</v>
      </c>
      <c r="AD31" s="602">
        <v>180</v>
      </c>
      <c r="AE31" s="602">
        <v>160</v>
      </c>
      <c r="AF31" s="158"/>
      <c r="AG31" s="595">
        <f t="shared" si="20"/>
        <v>5350</v>
      </c>
      <c r="AH31" s="605"/>
    </row>
    <row r="32" spans="1:134" s="514" customFormat="1" ht="33.9" customHeight="1" x14ac:dyDescent="0.25">
      <c r="A32" s="592" t="s">
        <v>30</v>
      </c>
      <c r="B32" s="603">
        <v>410</v>
      </c>
      <c r="C32" s="603">
        <v>290</v>
      </c>
      <c r="D32" s="603">
        <v>310</v>
      </c>
      <c r="E32" s="603">
        <v>230</v>
      </c>
      <c r="F32" s="603">
        <v>120</v>
      </c>
      <c r="G32" s="603">
        <v>460</v>
      </c>
      <c r="H32" s="603">
        <v>540</v>
      </c>
      <c r="I32" s="603">
        <v>330</v>
      </c>
      <c r="J32" s="603">
        <v>340</v>
      </c>
      <c r="K32" s="603">
        <v>960</v>
      </c>
      <c r="L32" s="603">
        <v>280</v>
      </c>
      <c r="M32" s="603">
        <v>190</v>
      </c>
      <c r="N32" s="603">
        <v>940</v>
      </c>
      <c r="O32" s="603">
        <v>460</v>
      </c>
      <c r="P32" s="603">
        <v>370</v>
      </c>
      <c r="Q32" s="603">
        <v>410</v>
      </c>
      <c r="R32" s="603">
        <v>410</v>
      </c>
      <c r="S32" s="603">
        <v>490</v>
      </c>
      <c r="T32" s="603">
        <v>420</v>
      </c>
      <c r="U32" s="603">
        <v>430</v>
      </c>
      <c r="V32" s="603">
        <v>440</v>
      </c>
      <c r="W32" s="603">
        <v>280</v>
      </c>
      <c r="X32" s="603">
        <v>420</v>
      </c>
      <c r="Y32" s="603">
        <v>460</v>
      </c>
      <c r="Z32" s="603">
        <v>430</v>
      </c>
      <c r="AA32" s="603">
        <v>520</v>
      </c>
      <c r="AB32" s="603">
        <v>470</v>
      </c>
      <c r="AC32" s="603">
        <v>380</v>
      </c>
      <c r="AD32" s="603">
        <v>310</v>
      </c>
      <c r="AE32" s="603">
        <v>270</v>
      </c>
      <c r="AF32" s="158"/>
      <c r="AG32" s="596">
        <f t="shared" si="20"/>
        <v>12370</v>
      </c>
      <c r="AH32" s="606"/>
    </row>
    <row r="33" spans="1:25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58"/>
      <c r="AG33" s="16"/>
    </row>
    <row r="34" spans="1:255" s="587" customFormat="1" ht="66.75" customHeight="1" x14ac:dyDescent="0.4">
      <c r="A34" s="598" t="s">
        <v>16</v>
      </c>
      <c r="B34" s="599">
        <f t="shared" ref="B34:AE34" si="21">+B32+B27+B24</f>
        <v>4790</v>
      </c>
      <c r="C34" s="599">
        <f t="shared" si="21"/>
        <v>3560</v>
      </c>
      <c r="D34" s="599">
        <f t="shared" si="21"/>
        <v>3570</v>
      </c>
      <c r="E34" s="599">
        <f t="shared" si="21"/>
        <v>4090</v>
      </c>
      <c r="F34" s="599">
        <f t="shared" si="21"/>
        <v>4240</v>
      </c>
      <c r="G34" s="599">
        <f t="shared" si="21"/>
        <v>6190</v>
      </c>
      <c r="H34" s="599">
        <f t="shared" si="21"/>
        <v>4680</v>
      </c>
      <c r="I34" s="599">
        <f t="shared" si="21"/>
        <v>4030</v>
      </c>
      <c r="J34" s="599">
        <f t="shared" si="21"/>
        <v>5650</v>
      </c>
      <c r="K34" s="599">
        <f t="shared" si="21"/>
        <v>6220</v>
      </c>
      <c r="L34" s="599">
        <f t="shared" si="21"/>
        <v>5910</v>
      </c>
      <c r="M34" s="599">
        <f t="shared" si="21"/>
        <v>4730</v>
      </c>
      <c r="N34" s="599">
        <f t="shared" si="21"/>
        <v>7610</v>
      </c>
      <c r="O34" s="599">
        <f t="shared" si="21"/>
        <v>6700</v>
      </c>
      <c r="P34" s="599">
        <f t="shared" si="21"/>
        <v>7340</v>
      </c>
      <c r="Q34" s="599">
        <f t="shared" si="21"/>
        <v>9020</v>
      </c>
      <c r="R34" s="599">
        <f t="shared" si="21"/>
        <v>8170</v>
      </c>
      <c r="S34" s="599">
        <f t="shared" si="21"/>
        <v>7580</v>
      </c>
      <c r="T34" s="599">
        <f t="shared" si="21"/>
        <v>6540</v>
      </c>
      <c r="U34" s="599">
        <f t="shared" si="21"/>
        <v>6620</v>
      </c>
      <c r="V34" s="599">
        <f t="shared" si="21"/>
        <v>6230</v>
      </c>
      <c r="W34" s="599">
        <f t="shared" si="21"/>
        <v>7410</v>
      </c>
      <c r="X34" s="599">
        <f t="shared" si="21"/>
        <v>10580</v>
      </c>
      <c r="Y34" s="599">
        <f t="shared" si="21"/>
        <v>9640</v>
      </c>
      <c r="Z34" s="599">
        <f t="shared" si="21"/>
        <v>9810</v>
      </c>
      <c r="AA34" s="599">
        <f t="shared" si="21"/>
        <v>6420</v>
      </c>
      <c r="AB34" s="599">
        <f t="shared" si="21"/>
        <v>6610</v>
      </c>
      <c r="AC34" s="599">
        <f t="shared" si="21"/>
        <v>6000</v>
      </c>
      <c r="AD34" s="599">
        <f t="shared" si="21"/>
        <v>7190</v>
      </c>
      <c r="AE34" s="599">
        <f t="shared" si="21"/>
        <v>7880</v>
      </c>
      <c r="AF34" s="158"/>
      <c r="AG34" s="597">
        <f>SUM(B34:AE34)</f>
        <v>195010</v>
      </c>
      <c r="AH34" s="607"/>
    </row>
    <row r="35" spans="1:25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G35" s="38"/>
    </row>
    <row r="36" spans="1:255" s="42" customFormat="1" ht="3" customHeight="1" x14ac:dyDescent="0.25">
      <c r="A36" s="534"/>
      <c r="B36" s="536"/>
      <c r="C36" s="536"/>
      <c r="D36" s="536"/>
      <c r="E36" s="536"/>
      <c r="F36" s="536"/>
      <c r="G36" s="536"/>
      <c r="H36" s="536"/>
      <c r="I36" s="536"/>
      <c r="J36" s="536"/>
      <c r="K36" s="536"/>
      <c r="L36" s="536"/>
      <c r="M36" s="536"/>
      <c r="N36" s="536"/>
      <c r="O36" s="536"/>
      <c r="P36" s="536"/>
      <c r="Q36" s="536"/>
      <c r="R36" s="536"/>
      <c r="S36" s="536"/>
      <c r="T36" s="536"/>
      <c r="U36" s="536"/>
      <c r="V36" s="536"/>
      <c r="W36" s="536"/>
      <c r="X36" s="536"/>
      <c r="Y36" s="536"/>
      <c r="Z36" s="536"/>
      <c r="AA36" s="536"/>
      <c r="AB36" s="536"/>
      <c r="AC36" s="536"/>
      <c r="AD36" s="536"/>
      <c r="AE36" s="536"/>
      <c r="AF36" s="3"/>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row>
    <row r="37" spans="1:255" s="549" customFormat="1" ht="16.2" x14ac:dyDescent="0.25">
      <c r="A37" s="540" t="s">
        <v>17</v>
      </c>
      <c r="B37" s="541">
        <v>0.87361111111111101</v>
      </c>
      <c r="C37" s="541">
        <v>0.875</v>
      </c>
      <c r="D37" s="541">
        <v>0.87569444444444444</v>
      </c>
      <c r="E37" s="541">
        <v>0.87708333333333333</v>
      </c>
      <c r="F37" s="541">
        <v>0.87777777777777777</v>
      </c>
      <c r="G37" s="541">
        <v>0.87847222222222221</v>
      </c>
      <c r="H37" s="541">
        <v>0.87986111111111109</v>
      </c>
      <c r="I37" s="541">
        <v>0.88055555555555554</v>
      </c>
      <c r="J37" s="541">
        <v>0.88194444444444453</v>
      </c>
      <c r="K37" s="541">
        <v>0.88263888888888886</v>
      </c>
      <c r="L37" s="541">
        <v>0.88402777777777775</v>
      </c>
      <c r="M37" s="541">
        <v>0.8847222222222223</v>
      </c>
      <c r="N37" s="541">
        <v>0.88541666666666663</v>
      </c>
      <c r="O37" s="541">
        <v>0.88680555555555562</v>
      </c>
      <c r="P37" s="541">
        <v>0.88750000000000007</v>
      </c>
      <c r="Q37" s="541">
        <v>0.88888888888888884</v>
      </c>
      <c r="R37" s="541">
        <v>0.88958333333333339</v>
      </c>
      <c r="S37" s="541">
        <v>0.89097222222222217</v>
      </c>
      <c r="T37" s="541">
        <v>0.89166666666666661</v>
      </c>
      <c r="U37" s="541">
        <v>0.8930555555555556</v>
      </c>
      <c r="V37" s="541">
        <v>0.89374999999999993</v>
      </c>
      <c r="W37" s="541">
        <v>0.89513888888888893</v>
      </c>
      <c r="X37" s="541">
        <v>0.89583333333333337</v>
      </c>
      <c r="Y37" s="541">
        <v>0.89722222222222225</v>
      </c>
      <c r="Z37" s="541">
        <v>0.8979166666666667</v>
      </c>
      <c r="AA37" s="541">
        <v>0.89861111111111114</v>
      </c>
      <c r="AB37" s="541">
        <v>0.9</v>
      </c>
      <c r="AC37" s="541">
        <v>0.90069444444444446</v>
      </c>
      <c r="AD37" s="541">
        <v>0.90208333333333324</v>
      </c>
      <c r="AE37" s="541">
        <v>0.90277777777777779</v>
      </c>
      <c r="AF37" s="542"/>
      <c r="AG37" s="543"/>
      <c r="AH37" s="543"/>
      <c r="AI37" s="543"/>
      <c r="AJ37" s="543"/>
      <c r="AK37" s="543"/>
      <c r="AL37" s="543"/>
      <c r="AM37" s="543"/>
      <c r="AN37" s="543"/>
      <c r="AO37" s="543"/>
      <c r="AP37" s="543"/>
      <c r="AQ37" s="543"/>
      <c r="AR37" s="543"/>
      <c r="AS37" s="543"/>
      <c r="AT37" s="543"/>
      <c r="AU37" s="543"/>
      <c r="AV37" s="543"/>
      <c r="AW37" s="543"/>
      <c r="AX37" s="543"/>
      <c r="AY37" s="543"/>
      <c r="AZ37" s="543"/>
      <c r="BA37" s="543"/>
      <c r="BB37" s="543"/>
      <c r="BC37" s="543"/>
      <c r="BD37" s="543"/>
      <c r="BE37" s="543"/>
      <c r="BF37" s="543"/>
      <c r="BG37" s="543"/>
      <c r="BH37" s="543"/>
      <c r="BI37" s="543"/>
      <c r="BJ37" s="543"/>
      <c r="BK37" s="543"/>
      <c r="BL37" s="543"/>
      <c r="BM37" s="543"/>
      <c r="BN37" s="543"/>
      <c r="BO37" s="543"/>
      <c r="BP37" s="543"/>
      <c r="BQ37" s="543"/>
      <c r="BR37" s="543"/>
      <c r="BS37" s="543"/>
      <c r="BT37" s="543"/>
      <c r="BU37" s="543"/>
      <c r="BV37" s="543"/>
      <c r="BW37" s="543"/>
      <c r="BX37" s="543"/>
      <c r="BY37" s="543"/>
      <c r="BZ37" s="543"/>
      <c r="CA37" s="543"/>
      <c r="CB37" s="543"/>
      <c r="CC37" s="543"/>
      <c r="CD37" s="543"/>
      <c r="CE37" s="543"/>
      <c r="CF37" s="543"/>
      <c r="CG37" s="543"/>
      <c r="CH37" s="543"/>
      <c r="CI37" s="543"/>
      <c r="CJ37" s="543"/>
      <c r="CK37" s="543"/>
      <c r="CL37" s="543"/>
      <c r="CM37" s="543"/>
      <c r="CN37" s="543"/>
      <c r="CO37" s="543"/>
      <c r="CP37" s="543"/>
      <c r="CQ37" s="543"/>
      <c r="CR37" s="543"/>
      <c r="CS37" s="543"/>
      <c r="CT37" s="543"/>
      <c r="CU37" s="543"/>
      <c r="CV37" s="543"/>
      <c r="CW37" s="543"/>
      <c r="CX37" s="543"/>
      <c r="CY37" s="543"/>
      <c r="CZ37" s="543"/>
      <c r="DA37" s="543"/>
      <c r="DB37" s="543"/>
      <c r="DC37" s="543"/>
      <c r="DD37" s="543"/>
      <c r="DE37" s="543"/>
      <c r="DF37" s="543"/>
      <c r="DG37" s="543"/>
      <c r="DH37" s="543"/>
      <c r="DI37" s="543"/>
      <c r="DJ37" s="543"/>
      <c r="DK37" s="543"/>
      <c r="DL37" s="543"/>
      <c r="DM37" s="543"/>
      <c r="DN37" s="543"/>
      <c r="DO37" s="543"/>
      <c r="DP37" s="543"/>
      <c r="DQ37" s="543"/>
      <c r="DR37" s="543"/>
      <c r="DS37" s="543"/>
      <c r="DT37" s="543"/>
      <c r="DU37" s="543"/>
      <c r="DV37" s="543"/>
      <c r="DW37" s="543"/>
      <c r="DX37" s="543"/>
      <c r="DY37" s="543"/>
      <c r="DZ37" s="543"/>
      <c r="EA37" s="543"/>
      <c r="EB37" s="543"/>
      <c r="EC37" s="543"/>
      <c r="ED37" s="543"/>
      <c r="EE37" s="543"/>
      <c r="EF37" s="543"/>
      <c r="EG37" s="543"/>
      <c r="EH37" s="543"/>
      <c r="EI37" s="543"/>
      <c r="EJ37" s="543"/>
      <c r="EK37" s="543"/>
      <c r="EL37" s="543"/>
      <c r="EM37" s="543"/>
      <c r="EN37" s="543"/>
      <c r="EO37" s="543"/>
      <c r="EP37" s="543"/>
      <c r="EQ37" s="543"/>
      <c r="ER37" s="543"/>
      <c r="ES37" s="543"/>
      <c r="ET37" s="543"/>
      <c r="EU37" s="543"/>
      <c r="EV37" s="543"/>
      <c r="EW37" s="543"/>
      <c r="EX37" s="543"/>
      <c r="EY37" s="543"/>
      <c r="EZ37" s="543"/>
      <c r="FA37" s="543"/>
      <c r="FB37" s="543"/>
      <c r="FC37" s="543"/>
      <c r="FD37" s="543"/>
      <c r="FE37" s="543"/>
      <c r="FF37" s="543"/>
      <c r="FG37" s="543"/>
      <c r="FH37" s="543"/>
      <c r="FI37" s="543"/>
      <c r="FJ37" s="543"/>
      <c r="FK37" s="543"/>
      <c r="FL37" s="543"/>
      <c r="FM37" s="543"/>
      <c r="FN37" s="543"/>
      <c r="FO37" s="543"/>
      <c r="FP37" s="543"/>
      <c r="FQ37" s="543"/>
      <c r="FR37" s="543"/>
      <c r="FS37" s="543"/>
      <c r="FT37" s="543"/>
      <c r="FU37" s="543"/>
      <c r="FV37" s="543"/>
      <c r="FW37" s="543"/>
      <c r="FX37" s="543"/>
      <c r="FY37" s="543"/>
      <c r="FZ37" s="543"/>
      <c r="GA37" s="543"/>
      <c r="GB37" s="543"/>
      <c r="GC37" s="543"/>
      <c r="GD37" s="543"/>
      <c r="GE37" s="543"/>
      <c r="GF37" s="543"/>
      <c r="GG37" s="543"/>
      <c r="GH37" s="543"/>
      <c r="GI37" s="543"/>
      <c r="GJ37" s="543"/>
      <c r="GK37" s="543"/>
      <c r="GL37" s="543"/>
      <c r="GM37" s="543"/>
      <c r="GN37" s="543"/>
      <c r="GO37" s="543"/>
      <c r="GP37" s="543"/>
      <c r="GQ37" s="543"/>
      <c r="GR37" s="543"/>
      <c r="GS37" s="543"/>
      <c r="GT37" s="543"/>
      <c r="GU37" s="543"/>
      <c r="GV37" s="543"/>
      <c r="GW37" s="543"/>
      <c r="GX37" s="543"/>
      <c r="GY37" s="543"/>
      <c r="GZ37" s="543"/>
      <c r="HA37" s="543"/>
      <c r="HB37" s="543"/>
      <c r="HC37" s="543"/>
      <c r="HD37" s="543"/>
      <c r="HE37" s="543"/>
      <c r="HF37" s="543"/>
      <c r="HG37" s="543"/>
      <c r="HH37" s="543"/>
      <c r="HI37" s="543"/>
      <c r="HJ37" s="543"/>
      <c r="HK37" s="543"/>
      <c r="HL37" s="543"/>
      <c r="HM37" s="543"/>
      <c r="HN37" s="543"/>
      <c r="HO37" s="543"/>
      <c r="HP37" s="543"/>
      <c r="HQ37" s="543"/>
      <c r="HR37" s="543"/>
      <c r="HS37" s="543"/>
      <c r="HT37" s="543"/>
      <c r="HU37" s="543"/>
      <c r="HV37" s="543"/>
      <c r="HW37" s="543"/>
      <c r="HX37" s="543"/>
      <c r="HY37" s="543"/>
      <c r="HZ37" s="543"/>
      <c r="IA37" s="543"/>
      <c r="IB37" s="543"/>
      <c r="IC37" s="543"/>
      <c r="ID37" s="543"/>
      <c r="IE37" s="543"/>
      <c r="IF37" s="543"/>
      <c r="IG37" s="543"/>
      <c r="IH37" s="543"/>
      <c r="II37" s="543"/>
      <c r="IJ37" s="543"/>
      <c r="IK37" s="543"/>
      <c r="IL37" s="543"/>
      <c r="IM37" s="543"/>
      <c r="IN37" s="543"/>
      <c r="IO37" s="543"/>
      <c r="IP37" s="543"/>
      <c r="IQ37" s="543"/>
      <c r="IR37" s="543"/>
      <c r="IS37" s="543"/>
      <c r="IT37" s="543"/>
      <c r="IU37" s="543"/>
    </row>
    <row r="38" spans="1:255" s="549" customFormat="1" ht="20.100000000000001" customHeight="1" x14ac:dyDescent="0.25">
      <c r="A38" s="545" t="s">
        <v>18</v>
      </c>
      <c r="B38" s="546" t="str">
        <f>+IF(B34&lt;=2500,"BF",IF(AND(B34&gt;2500,B34&lt;=6000),"MF",IF(AND(B34&gt;6000,B34&lt;12000),"HF","THF")))</f>
        <v>MF</v>
      </c>
      <c r="C38" s="546" t="str">
        <f t="shared" ref="C38:AE38" si="22">+IF(C34&lt;=2500,"BF",IF(AND(C34&gt;2500,C34&lt;=6000),"MF",IF(AND(C34&gt;6000,C34&lt;12000),"HF","THF")))</f>
        <v>MF</v>
      </c>
      <c r="D38" s="546" t="str">
        <f t="shared" si="22"/>
        <v>MF</v>
      </c>
      <c r="E38" s="546" t="str">
        <f t="shared" si="22"/>
        <v>MF</v>
      </c>
      <c r="F38" s="546" t="str">
        <f t="shared" si="22"/>
        <v>MF</v>
      </c>
      <c r="G38" s="546" t="str">
        <f t="shared" si="22"/>
        <v>HF</v>
      </c>
      <c r="H38" s="546" t="str">
        <f t="shared" si="22"/>
        <v>MF</v>
      </c>
      <c r="I38" s="546" t="str">
        <f t="shared" si="22"/>
        <v>MF</v>
      </c>
      <c r="J38" s="546" t="str">
        <f t="shared" si="22"/>
        <v>MF</v>
      </c>
      <c r="K38" s="546" t="str">
        <f t="shared" si="22"/>
        <v>HF</v>
      </c>
      <c r="L38" s="546" t="str">
        <f t="shared" si="22"/>
        <v>MF</v>
      </c>
      <c r="M38" s="546" t="str">
        <f t="shared" si="22"/>
        <v>MF</v>
      </c>
      <c r="N38" s="546" t="str">
        <f t="shared" si="22"/>
        <v>HF</v>
      </c>
      <c r="O38" s="546" t="str">
        <f t="shared" si="22"/>
        <v>HF</v>
      </c>
      <c r="P38" s="546" t="str">
        <f t="shared" si="22"/>
        <v>HF</v>
      </c>
      <c r="Q38" s="546" t="str">
        <f t="shared" si="22"/>
        <v>HF</v>
      </c>
      <c r="R38" s="546" t="str">
        <f t="shared" si="22"/>
        <v>HF</v>
      </c>
      <c r="S38" s="546" t="str">
        <f t="shared" si="22"/>
        <v>HF</v>
      </c>
      <c r="T38" s="546" t="str">
        <f t="shared" si="22"/>
        <v>HF</v>
      </c>
      <c r="U38" s="546" t="str">
        <f t="shared" si="22"/>
        <v>HF</v>
      </c>
      <c r="V38" s="546" t="str">
        <f t="shared" si="22"/>
        <v>HF</v>
      </c>
      <c r="W38" s="546" t="str">
        <f t="shared" si="22"/>
        <v>HF</v>
      </c>
      <c r="X38" s="546" t="str">
        <f t="shared" si="22"/>
        <v>HF</v>
      </c>
      <c r="Y38" s="546" t="str">
        <f t="shared" si="22"/>
        <v>HF</v>
      </c>
      <c r="Z38" s="546" t="str">
        <f t="shared" si="22"/>
        <v>HF</v>
      </c>
      <c r="AA38" s="546" t="str">
        <f t="shared" si="22"/>
        <v>HF</v>
      </c>
      <c r="AB38" s="546" t="str">
        <f t="shared" si="22"/>
        <v>HF</v>
      </c>
      <c r="AC38" s="546" t="str">
        <f t="shared" si="22"/>
        <v>MF</v>
      </c>
      <c r="AD38" s="546" t="str">
        <f t="shared" si="22"/>
        <v>HF</v>
      </c>
      <c r="AE38" s="546" t="str">
        <f t="shared" si="22"/>
        <v>HF</v>
      </c>
      <c r="AF38" s="542"/>
      <c r="AG38" s="543"/>
      <c r="AH38" s="543"/>
      <c r="AI38" s="543"/>
      <c r="AJ38" s="543"/>
      <c r="AK38" s="543"/>
      <c r="AL38" s="543"/>
      <c r="AM38" s="543"/>
      <c r="AN38" s="543"/>
      <c r="AO38" s="543"/>
      <c r="AP38" s="543"/>
      <c r="AQ38" s="543"/>
      <c r="AR38" s="543"/>
      <c r="AS38" s="543"/>
      <c r="AT38" s="543"/>
      <c r="AU38" s="543"/>
      <c r="AV38" s="543"/>
      <c r="AW38" s="543"/>
      <c r="AX38" s="543"/>
      <c r="AY38" s="543"/>
      <c r="AZ38" s="543"/>
      <c r="BA38" s="543"/>
      <c r="BB38" s="543"/>
      <c r="BC38" s="543"/>
      <c r="BD38" s="543"/>
      <c r="BE38" s="543"/>
      <c r="BF38" s="543"/>
      <c r="BG38" s="543"/>
      <c r="BH38" s="543"/>
      <c r="BI38" s="543"/>
      <c r="BJ38" s="543"/>
      <c r="BK38" s="543"/>
      <c r="BL38" s="543"/>
      <c r="BM38" s="543"/>
      <c r="BN38" s="543"/>
      <c r="BO38" s="543"/>
      <c r="BP38" s="543"/>
      <c r="BQ38" s="543"/>
      <c r="BR38" s="543"/>
      <c r="BS38" s="543"/>
      <c r="BT38" s="543"/>
      <c r="BU38" s="543"/>
      <c r="BV38" s="543"/>
      <c r="BW38" s="543"/>
      <c r="BX38" s="543"/>
      <c r="BY38" s="543"/>
      <c r="BZ38" s="543"/>
      <c r="CA38" s="543"/>
      <c r="CB38" s="543"/>
      <c r="CC38" s="543"/>
      <c r="CD38" s="543"/>
      <c r="CE38" s="543"/>
      <c r="CF38" s="543"/>
      <c r="CG38" s="543"/>
      <c r="CH38" s="543"/>
      <c r="CI38" s="543"/>
      <c r="CJ38" s="543"/>
      <c r="CK38" s="543"/>
      <c r="CL38" s="543"/>
      <c r="CM38" s="543"/>
      <c r="CN38" s="543"/>
      <c r="CO38" s="543"/>
      <c r="CP38" s="543"/>
      <c r="CQ38" s="543"/>
      <c r="CR38" s="543"/>
      <c r="CS38" s="543"/>
      <c r="CT38" s="543"/>
      <c r="CU38" s="543"/>
      <c r="CV38" s="543"/>
      <c r="CW38" s="543"/>
      <c r="CX38" s="543"/>
      <c r="CY38" s="543"/>
      <c r="CZ38" s="543"/>
      <c r="DA38" s="543"/>
      <c r="DB38" s="543"/>
      <c r="DC38" s="543"/>
      <c r="DD38" s="543"/>
      <c r="DE38" s="543"/>
      <c r="DF38" s="543"/>
      <c r="DG38" s="543"/>
      <c r="DH38" s="543"/>
      <c r="DI38" s="543"/>
      <c r="DJ38" s="543"/>
      <c r="DK38" s="543"/>
      <c r="DL38" s="543"/>
      <c r="DM38" s="543"/>
      <c r="DN38" s="543"/>
      <c r="DO38" s="543"/>
      <c r="DP38" s="543"/>
      <c r="DQ38" s="543"/>
      <c r="DR38" s="543"/>
      <c r="DS38" s="543"/>
      <c r="DT38" s="543"/>
      <c r="DU38" s="543"/>
      <c r="DV38" s="543"/>
      <c r="DW38" s="543"/>
      <c r="DX38" s="543"/>
      <c r="DY38" s="543"/>
      <c r="DZ38" s="543"/>
      <c r="EA38" s="543"/>
      <c r="EB38" s="543"/>
      <c r="EC38" s="543"/>
      <c r="ED38" s="543"/>
      <c r="EE38" s="543"/>
      <c r="EF38" s="543"/>
      <c r="EG38" s="543"/>
      <c r="EH38" s="543"/>
      <c r="EI38" s="543"/>
      <c r="EJ38" s="543"/>
      <c r="EK38" s="543"/>
      <c r="EL38" s="543"/>
      <c r="EM38" s="543"/>
      <c r="EN38" s="543"/>
      <c r="EO38" s="543"/>
      <c r="EP38" s="543"/>
      <c r="EQ38" s="543"/>
      <c r="ER38" s="543"/>
      <c r="ES38" s="543"/>
      <c r="ET38" s="543"/>
      <c r="EU38" s="543"/>
      <c r="EV38" s="543"/>
      <c r="EW38" s="543"/>
      <c r="EX38" s="543"/>
      <c r="EY38" s="543"/>
      <c r="EZ38" s="543"/>
      <c r="FA38" s="543"/>
      <c r="FB38" s="543"/>
      <c r="FC38" s="543"/>
      <c r="FD38" s="543"/>
      <c r="FE38" s="543"/>
      <c r="FF38" s="543"/>
      <c r="FG38" s="543"/>
      <c r="FH38" s="543"/>
      <c r="FI38" s="543"/>
      <c r="FJ38" s="543"/>
      <c r="FK38" s="543"/>
      <c r="FL38" s="543"/>
      <c r="FM38" s="543"/>
      <c r="FN38" s="543"/>
      <c r="FO38" s="543"/>
      <c r="FP38" s="543"/>
      <c r="FQ38" s="543"/>
      <c r="FR38" s="543"/>
      <c r="FS38" s="543"/>
      <c r="FT38" s="543"/>
      <c r="FU38" s="543"/>
      <c r="FV38" s="543"/>
      <c r="FW38" s="543"/>
      <c r="FX38" s="543"/>
      <c r="FY38" s="543"/>
      <c r="FZ38" s="543"/>
      <c r="GA38" s="543"/>
      <c r="GB38" s="543"/>
      <c r="GC38" s="543"/>
      <c r="GD38" s="543"/>
      <c r="GE38" s="543"/>
      <c r="GF38" s="543"/>
      <c r="GG38" s="543"/>
      <c r="GH38" s="543"/>
      <c r="GI38" s="543"/>
      <c r="GJ38" s="543"/>
      <c r="GK38" s="543"/>
      <c r="GL38" s="543"/>
      <c r="GM38" s="543"/>
      <c r="GN38" s="543"/>
      <c r="GO38" s="543"/>
      <c r="GP38" s="543"/>
      <c r="GQ38" s="543"/>
      <c r="GR38" s="543"/>
      <c r="GS38" s="543"/>
      <c r="GT38" s="543"/>
      <c r="GU38" s="543"/>
      <c r="GV38" s="543"/>
      <c r="GW38" s="543"/>
      <c r="GX38" s="543"/>
      <c r="GY38" s="543"/>
      <c r="GZ38" s="543"/>
      <c r="HA38" s="543"/>
      <c r="HB38" s="543"/>
      <c r="HC38" s="543"/>
      <c r="HD38" s="543"/>
      <c r="HE38" s="543"/>
      <c r="HF38" s="543"/>
      <c r="HG38" s="543"/>
      <c r="HH38" s="543"/>
      <c r="HI38" s="543"/>
      <c r="HJ38" s="543"/>
      <c r="HK38" s="543"/>
      <c r="HL38" s="543"/>
      <c r="HM38" s="543"/>
      <c r="HN38" s="543"/>
      <c r="HO38" s="543"/>
      <c r="HP38" s="543"/>
      <c r="HQ38" s="543"/>
      <c r="HR38" s="543"/>
      <c r="HS38" s="543"/>
      <c r="HT38" s="543"/>
      <c r="HU38" s="543"/>
      <c r="HV38" s="543"/>
      <c r="HW38" s="543"/>
      <c r="HX38" s="543"/>
      <c r="HY38" s="543"/>
      <c r="HZ38" s="543"/>
      <c r="IA38" s="543"/>
      <c r="IB38" s="543"/>
      <c r="IC38" s="543"/>
      <c r="ID38" s="543"/>
      <c r="IE38" s="543"/>
      <c r="IF38" s="543"/>
      <c r="IG38" s="543"/>
      <c r="IH38" s="543"/>
      <c r="II38" s="543"/>
      <c r="IJ38" s="543"/>
      <c r="IK38" s="543"/>
      <c r="IL38" s="543"/>
      <c r="IM38" s="543"/>
      <c r="IN38" s="543"/>
      <c r="IO38" s="543"/>
      <c r="IP38" s="543"/>
      <c r="IQ38" s="543"/>
      <c r="IR38" s="543"/>
      <c r="IS38" s="543"/>
      <c r="IT38" s="543"/>
      <c r="IU38" s="543"/>
    </row>
    <row r="39" spans="1:255" s="42" customFormat="1" ht="3" customHeight="1" x14ac:dyDescent="0.25">
      <c r="A39" s="534"/>
      <c r="B39" s="536"/>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1"/>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row>
    <row r="40" spans="1:255" ht="20.100000000000001" customHeight="1" x14ac:dyDescent="0.25">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row>
    <row r="41" spans="1:255" ht="15" hidden="1" customHeight="1" x14ac:dyDescent="0.25">
      <c r="A41" s="13"/>
      <c r="B41" s="480">
        <f>+B34-B30</f>
        <v>4790</v>
      </c>
      <c r="C41" s="480">
        <f t="shared" ref="C41:AE41" si="23">+C34-C30</f>
        <v>3380</v>
      </c>
      <c r="D41" s="480">
        <f t="shared" si="23"/>
        <v>3510</v>
      </c>
      <c r="E41" s="480">
        <f t="shared" si="23"/>
        <v>3970</v>
      </c>
      <c r="F41" s="480">
        <f t="shared" si="23"/>
        <v>4240</v>
      </c>
      <c r="G41" s="480">
        <f t="shared" si="23"/>
        <v>6190</v>
      </c>
      <c r="H41" s="480">
        <f t="shared" si="23"/>
        <v>4680</v>
      </c>
      <c r="I41" s="480">
        <f t="shared" si="23"/>
        <v>4030</v>
      </c>
      <c r="J41" s="480">
        <f t="shared" si="23"/>
        <v>5590</v>
      </c>
      <c r="K41" s="480">
        <f t="shared" si="23"/>
        <v>5620</v>
      </c>
      <c r="L41" s="480">
        <f t="shared" si="23"/>
        <v>5890</v>
      </c>
      <c r="M41" s="480">
        <f t="shared" si="23"/>
        <v>4710</v>
      </c>
      <c r="N41" s="480">
        <f t="shared" si="23"/>
        <v>6960</v>
      </c>
      <c r="O41" s="480">
        <f t="shared" si="23"/>
        <v>6700</v>
      </c>
      <c r="P41" s="480">
        <f t="shared" si="23"/>
        <v>7340</v>
      </c>
      <c r="Q41" s="480">
        <f t="shared" si="23"/>
        <v>9020</v>
      </c>
      <c r="R41" s="480">
        <f t="shared" si="23"/>
        <v>8170</v>
      </c>
      <c r="S41" s="480">
        <f t="shared" si="23"/>
        <v>7580</v>
      </c>
      <c r="T41" s="480">
        <f t="shared" si="23"/>
        <v>6540</v>
      </c>
      <c r="U41" s="480">
        <f t="shared" si="23"/>
        <v>6620</v>
      </c>
      <c r="V41" s="480">
        <f t="shared" si="23"/>
        <v>6230</v>
      </c>
      <c r="W41" s="480">
        <f t="shared" si="23"/>
        <v>7410</v>
      </c>
      <c r="X41" s="480">
        <f t="shared" si="23"/>
        <v>10580</v>
      </c>
      <c r="Y41" s="480">
        <f t="shared" si="23"/>
        <v>9640</v>
      </c>
      <c r="Z41" s="480">
        <f t="shared" si="23"/>
        <v>9810</v>
      </c>
      <c r="AA41" s="480">
        <f t="shared" si="23"/>
        <v>6420</v>
      </c>
      <c r="AB41" s="480">
        <f t="shared" si="23"/>
        <v>6610</v>
      </c>
      <c r="AC41" s="480">
        <f t="shared" si="23"/>
        <v>6000</v>
      </c>
      <c r="AD41" s="480">
        <f t="shared" si="23"/>
        <v>7190</v>
      </c>
      <c r="AE41" s="480">
        <f t="shared" si="23"/>
        <v>7880</v>
      </c>
      <c r="AG41" s="1"/>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row>
    <row r="42" spans="1:255" ht="15" customHeight="1" x14ac:dyDescent="0.25">
      <c r="A42" s="13"/>
      <c r="B42" s="481">
        <f>+B32-B30</f>
        <v>410</v>
      </c>
      <c r="C42" s="481">
        <f t="shared" ref="C42:AE42" si="24">+C32-C30</f>
        <v>110</v>
      </c>
      <c r="D42" s="481">
        <f t="shared" si="24"/>
        <v>250</v>
      </c>
      <c r="E42" s="481">
        <f t="shared" si="24"/>
        <v>110</v>
      </c>
      <c r="F42" s="481">
        <f t="shared" si="24"/>
        <v>120</v>
      </c>
      <c r="G42" s="481">
        <f t="shared" si="24"/>
        <v>460</v>
      </c>
      <c r="H42" s="481">
        <f t="shared" si="24"/>
        <v>540</v>
      </c>
      <c r="I42" s="481">
        <f t="shared" si="24"/>
        <v>330</v>
      </c>
      <c r="J42" s="481">
        <f t="shared" si="24"/>
        <v>280</v>
      </c>
      <c r="K42" s="481">
        <f t="shared" si="24"/>
        <v>360</v>
      </c>
      <c r="L42" s="481">
        <f t="shared" si="24"/>
        <v>260</v>
      </c>
      <c r="M42" s="481">
        <f t="shared" si="24"/>
        <v>170</v>
      </c>
      <c r="N42" s="481">
        <f t="shared" si="24"/>
        <v>290</v>
      </c>
      <c r="O42" s="481">
        <f t="shared" si="24"/>
        <v>460</v>
      </c>
      <c r="P42" s="481">
        <f t="shared" si="24"/>
        <v>370</v>
      </c>
      <c r="Q42" s="481">
        <f t="shared" si="24"/>
        <v>410</v>
      </c>
      <c r="R42" s="481">
        <f t="shared" si="24"/>
        <v>410</v>
      </c>
      <c r="S42" s="481">
        <f t="shared" si="24"/>
        <v>490</v>
      </c>
      <c r="T42" s="481">
        <f t="shared" si="24"/>
        <v>420</v>
      </c>
      <c r="U42" s="481">
        <f t="shared" si="24"/>
        <v>430</v>
      </c>
      <c r="V42" s="481">
        <f t="shared" si="24"/>
        <v>440</v>
      </c>
      <c r="W42" s="481">
        <f t="shared" si="24"/>
        <v>280</v>
      </c>
      <c r="X42" s="481">
        <f t="shared" si="24"/>
        <v>420</v>
      </c>
      <c r="Y42" s="481">
        <f t="shared" si="24"/>
        <v>460</v>
      </c>
      <c r="Z42" s="481">
        <f t="shared" si="24"/>
        <v>430</v>
      </c>
      <c r="AA42" s="481">
        <f t="shared" si="24"/>
        <v>520</v>
      </c>
      <c r="AB42" s="481">
        <f t="shared" si="24"/>
        <v>470</v>
      </c>
      <c r="AC42" s="481">
        <f t="shared" si="24"/>
        <v>380</v>
      </c>
      <c r="AD42" s="481">
        <f t="shared" si="24"/>
        <v>310</v>
      </c>
      <c r="AE42" s="481">
        <f t="shared" si="24"/>
        <v>270</v>
      </c>
      <c r="AG42" s="459"/>
    </row>
    <row r="43" spans="1:255" ht="15" customHeight="1" x14ac:dyDescent="0.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row>
    <row r="44" spans="1:255" s="3" customFormat="1" ht="15" customHeight="1" x14ac:dyDescent="0.25">
      <c r="A44" s="22"/>
      <c r="B44" s="454">
        <f>IF(B9="",0,1)</f>
        <v>1</v>
      </c>
      <c r="C44" s="454">
        <f t="shared" ref="C44:AF44" si="25">IF(C9="",0,1)</f>
        <v>1</v>
      </c>
      <c r="D44" s="454">
        <f t="shared" si="25"/>
        <v>1</v>
      </c>
      <c r="E44" s="454">
        <f t="shared" si="25"/>
        <v>1</v>
      </c>
      <c r="F44" s="454">
        <f t="shared" si="25"/>
        <v>1</v>
      </c>
      <c r="G44" s="454">
        <f t="shared" si="25"/>
        <v>1</v>
      </c>
      <c r="H44" s="454">
        <f t="shared" si="25"/>
        <v>1</v>
      </c>
      <c r="I44" s="454">
        <f t="shared" si="25"/>
        <v>1</v>
      </c>
      <c r="J44" s="454">
        <f t="shared" si="25"/>
        <v>1</v>
      </c>
      <c r="K44" s="454">
        <f t="shared" si="25"/>
        <v>1</v>
      </c>
      <c r="L44" s="454">
        <f t="shared" si="25"/>
        <v>1</v>
      </c>
      <c r="M44" s="454">
        <f t="shared" si="25"/>
        <v>1</v>
      </c>
      <c r="N44" s="454">
        <f t="shared" si="25"/>
        <v>1</v>
      </c>
      <c r="O44" s="454">
        <f t="shared" si="25"/>
        <v>1</v>
      </c>
      <c r="P44" s="454">
        <f t="shared" si="25"/>
        <v>1</v>
      </c>
      <c r="Q44" s="454">
        <f t="shared" si="25"/>
        <v>1</v>
      </c>
      <c r="R44" s="454">
        <f t="shared" si="25"/>
        <v>1</v>
      </c>
      <c r="S44" s="454">
        <f t="shared" si="25"/>
        <v>1</v>
      </c>
      <c r="T44" s="454">
        <f t="shared" si="25"/>
        <v>1</v>
      </c>
      <c r="U44" s="454">
        <f t="shared" si="25"/>
        <v>1</v>
      </c>
      <c r="V44" s="454">
        <f t="shared" si="25"/>
        <v>1</v>
      </c>
      <c r="W44" s="454">
        <f t="shared" si="25"/>
        <v>1</v>
      </c>
      <c r="X44" s="454">
        <f t="shared" si="25"/>
        <v>1</v>
      </c>
      <c r="Y44" s="454">
        <f t="shared" si="25"/>
        <v>1</v>
      </c>
      <c r="Z44" s="454">
        <f t="shared" si="25"/>
        <v>1</v>
      </c>
      <c r="AA44" s="454">
        <f t="shared" si="25"/>
        <v>1</v>
      </c>
      <c r="AB44" s="454">
        <f t="shared" si="25"/>
        <v>1</v>
      </c>
      <c r="AC44" s="454">
        <f t="shared" si="25"/>
        <v>1</v>
      </c>
      <c r="AD44" s="454">
        <f t="shared" si="25"/>
        <v>1</v>
      </c>
      <c r="AE44" s="454">
        <f t="shared" si="25"/>
        <v>1</v>
      </c>
      <c r="AF44" s="454">
        <f t="shared" si="25"/>
        <v>0</v>
      </c>
      <c r="AG44" s="564">
        <f>SUM(B44:AF44)</f>
        <v>30</v>
      </c>
      <c r="AH44" s="563">
        <f>SUM(B44:AG44)</f>
        <v>60</v>
      </c>
    </row>
    <row r="45" spans="1:255" s="560"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158"/>
      <c r="AG45" s="562"/>
      <c r="AH45" s="562"/>
    </row>
    <row r="46" spans="1:255" ht="15" customHeight="1" x14ac:dyDescent="0.25">
      <c r="A46" s="2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row>
    <row r="47" spans="1:255" s="461" customFormat="1" ht="15" customHeight="1" x14ac:dyDescent="0.25">
      <c r="A47" s="464"/>
      <c r="B47" s="465"/>
      <c r="C47" s="465"/>
      <c r="D47" s="465"/>
      <c r="E47" s="465"/>
      <c r="F47" s="465"/>
      <c r="G47" s="465"/>
      <c r="H47" s="465"/>
      <c r="I47" s="465"/>
      <c r="J47" s="465"/>
      <c r="K47" s="465"/>
      <c r="L47" s="465"/>
      <c r="M47" s="465"/>
      <c r="N47" s="465"/>
      <c r="O47" s="465"/>
      <c r="P47" s="465"/>
      <c r="Q47" s="465"/>
      <c r="R47" s="465"/>
      <c r="S47" s="465"/>
      <c r="T47" s="465"/>
      <c r="U47" s="465"/>
      <c r="V47" s="465"/>
      <c r="W47" s="465"/>
      <c r="X47" s="465"/>
      <c r="Y47" s="465"/>
      <c r="Z47" s="465"/>
      <c r="AA47" s="465"/>
      <c r="AB47" s="465"/>
      <c r="AC47" s="465"/>
      <c r="AD47" s="465"/>
      <c r="AE47" s="465"/>
      <c r="AG47" s="2"/>
    </row>
    <row r="48" spans="1:255" ht="15" customHeight="1" x14ac:dyDescent="0.25">
      <c r="A48" s="2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row>
    <row r="49" spans="1:31" ht="15" customHeight="1" x14ac:dyDescent="0.25">
      <c r="A49" s="23"/>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row>
    <row r="50" spans="1:31" ht="15" customHeight="1" x14ac:dyDescent="0.25">
      <c r="A50" s="23"/>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row>
    <row r="51" spans="1:31" ht="15" customHeight="1" x14ac:dyDescent="0.25">
      <c r="A51" s="23"/>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row>
    <row r="52" spans="1:31" ht="15" customHeight="1" x14ac:dyDescent="0.25">
      <c r="A52" s="23"/>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row>
    <row r="53" spans="1:31" ht="15" customHeight="1" x14ac:dyDescent="0.25">
      <c r="A53" s="23"/>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row>
    <row r="54" spans="1:31" ht="15" customHeight="1" x14ac:dyDescent="0.25">
      <c r="A54" s="23"/>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row>
    <row r="55" spans="1:31" ht="15" customHeight="1" x14ac:dyDescent="0.25">
      <c r="A55" s="23"/>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row>
    <row r="56" spans="1:31" ht="15" customHeight="1" x14ac:dyDescent="0.25">
      <c r="A56" s="23"/>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row>
    <row r="58" spans="1:31" ht="15" customHeight="1" x14ac:dyDescent="0.25">
      <c r="A58" s="23"/>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row>
    <row r="59" spans="1:31" ht="15" customHeight="1" x14ac:dyDescent="0.25">
      <c r="A59" s="23"/>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row>
    <row r="60" spans="1:31" ht="15" customHeight="1" x14ac:dyDescent="0.25">
      <c r="A60" s="23"/>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row>
    <row r="61" spans="1:31" ht="15" customHeight="1" x14ac:dyDescent="0.25">
      <c r="A61" s="23"/>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row>
    <row r="62" spans="1:31" ht="15" customHeight="1" x14ac:dyDescent="0.25">
      <c r="A62" s="23"/>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row>
    <row r="63" spans="1:31" ht="15" customHeight="1" x14ac:dyDescent="0.25">
      <c r="A63" s="23"/>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row>
    <row r="64" spans="1:31" ht="15" customHeight="1" x14ac:dyDescent="0.25">
      <c r="A64" s="23"/>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row>
    <row r="65" spans="1:31" ht="15" customHeight="1" x14ac:dyDescent="0.25">
      <c r="A65" s="23"/>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row>
    <row r="66" spans="1:31" ht="15" customHeight="1" x14ac:dyDescent="0.25">
      <c r="A66" s="23"/>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row>
    <row r="67" spans="1:31" ht="18.600000000000001" x14ac:dyDescent="0.25">
      <c r="A67" s="23"/>
      <c r="B67" s="14"/>
    </row>
    <row r="68" spans="1:31" ht="18.600000000000001" x14ac:dyDescent="0.25">
      <c r="A68" s="23"/>
      <c r="B68" s="14"/>
    </row>
    <row r="69" spans="1:31" ht="18.600000000000001" x14ac:dyDescent="0.25">
      <c r="A69" s="23"/>
      <c r="B69" s="14"/>
    </row>
    <row r="70" spans="1:31" ht="18.600000000000001" x14ac:dyDescent="0.25">
      <c r="A70" s="23"/>
      <c r="B70" s="14"/>
    </row>
    <row r="71" spans="1:31" ht="18.600000000000001" x14ac:dyDescent="0.25">
      <c r="A71" s="23"/>
      <c r="B71" s="14"/>
    </row>
    <row r="72" spans="1:31" ht="18.600000000000001" x14ac:dyDescent="0.25">
      <c r="A72" s="23"/>
      <c r="B72" s="14"/>
    </row>
    <row r="73" spans="1:31" ht="18.600000000000001" x14ac:dyDescent="0.25">
      <c r="A73" s="23"/>
      <c r="B73" s="14"/>
    </row>
    <row r="74" spans="1:31" ht="18.600000000000001" x14ac:dyDescent="0.25">
      <c r="A74" s="23"/>
      <c r="B74" s="14"/>
    </row>
    <row r="75" spans="1:31" ht="18.600000000000001" x14ac:dyDescent="0.25">
      <c r="A75" s="23"/>
      <c r="B75" s="14"/>
    </row>
    <row r="76" spans="1:31" x14ac:dyDescent="0.25">
      <c r="B76" s="14"/>
    </row>
    <row r="77" spans="1:31" x14ac:dyDescent="0.25">
      <c r="B77" s="14"/>
    </row>
    <row r="78" spans="1:31" x14ac:dyDescent="0.25">
      <c r="B78" s="14"/>
    </row>
    <row r="79" spans="1:31" x14ac:dyDescent="0.25">
      <c r="B79" s="14"/>
    </row>
    <row r="80" spans="1:31" x14ac:dyDescent="0.25">
      <c r="B80" s="14"/>
    </row>
  </sheetData>
  <customSheetViews>
    <customSheetView guid="{0CC54A28-7FC1-4543-ABB1-95D1AD8E8D9F}"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B21" activePane="bottomRight" state="frozen"/>
      <selection pane="bottomRight" activeCell="A9" sqref="A9"/>
      <pageMargins left="0" right="0" top="0" bottom="0.3" header="0" footer="0"/>
      <printOptions horizontalCentered="1" verticalCentered="1"/>
      <pageSetup paperSize="9" scale="52" orientation="landscape" verticalDpi="300" r:id="rId2"/>
      <headerFooter alignWithMargins="0">
        <oddFooter>&amp;R&amp;"Comic Sans MS,Gras italique"&amp;UEdition du &amp;D, &amp;T</oddFooter>
      </headerFooter>
    </customSheetView>
  </customSheetViews>
  <mergeCells count="1">
    <mergeCell ref="B1:U1"/>
  </mergeCells>
  <phoneticPr fontId="8" type="noConversion"/>
  <conditionalFormatting sqref="A7">
    <cfRule type="expression" dxfId="324" priority="303" stopIfTrue="1">
      <formula>$I7="ALERTE"</formula>
    </cfRule>
  </conditionalFormatting>
  <conditionalFormatting sqref="A14:A34">
    <cfRule type="expression" dxfId="323" priority="186" stopIfTrue="1">
      <formula>$P14="ALERTE"</formula>
    </cfRule>
  </conditionalFormatting>
  <conditionalFormatting sqref="A45">
    <cfRule type="expression" dxfId="322" priority="6" stopIfTrue="1">
      <formula>$P45="ALERTE"</formula>
    </cfRule>
  </conditionalFormatting>
  <conditionalFormatting sqref="A40:AE40 B43:AE43 B46:AE56 C58:AE64 B58:B80">
    <cfRule type="cellIs" dxfId="321" priority="232" stopIfTrue="1" operator="equal">
      <formula>"THF"</formula>
    </cfRule>
    <cfRule type="cellIs" dxfId="320" priority="233" stopIfTrue="1" operator="equal">
      <formula>"HF"</formula>
    </cfRule>
    <cfRule type="cellIs" dxfId="319" priority="234" stopIfTrue="1" operator="equal">
      <formula>"MF"</formula>
    </cfRule>
  </conditionalFormatting>
  <conditionalFormatting sqref="B8">
    <cfRule type="expression" dxfId="318" priority="13" stopIfTrue="1">
      <formula>$BH8="ALERTE"</formula>
    </cfRule>
  </conditionalFormatting>
  <conditionalFormatting sqref="B9:B10">
    <cfRule type="expression" dxfId="317" priority="11" stopIfTrue="1">
      <formula>$BJ9="ALERTE"</formula>
    </cfRule>
  </conditionalFormatting>
  <conditionalFormatting sqref="B45">
    <cfRule type="expression" dxfId="316" priority="2" stopIfTrue="1">
      <formula>$BH45="ALERTE"</formula>
    </cfRule>
  </conditionalFormatting>
  <conditionalFormatting sqref="B7:F7">
    <cfRule type="expression" dxfId="315" priority="137" stopIfTrue="1">
      <formula>$AX7="ALERTE"</formula>
    </cfRule>
  </conditionalFormatting>
  <conditionalFormatting sqref="B3:AE5 A3:A6 A8:A10 B35:AE35 C67:AE157 B81:B157">
    <cfRule type="expression" dxfId="314" priority="228" stopIfTrue="1">
      <formula>$P3="ALERTE"</formula>
    </cfRule>
  </conditionalFormatting>
  <conditionalFormatting sqref="B6:AE6">
    <cfRule type="expression" dxfId="313" priority="125" stopIfTrue="1">
      <formula>$BH6="ALERTE"</formula>
    </cfRule>
  </conditionalFormatting>
  <conditionalFormatting sqref="B14:AE14">
    <cfRule type="expression" dxfId="312" priority="7" stopIfTrue="1">
      <formula>$BH14="ALERTE"</formula>
    </cfRule>
  </conditionalFormatting>
  <conditionalFormatting sqref="B15:AE21">
    <cfRule type="expression" dxfId="311" priority="20" stopIfTrue="1">
      <formula>$P15="ALERTE"</formula>
    </cfRule>
  </conditionalFormatting>
  <conditionalFormatting sqref="B36:AE39">
    <cfRule type="cellIs" dxfId="310" priority="163" stopIfTrue="1" operator="equal">
      <formula>"THF"</formula>
    </cfRule>
    <cfRule type="cellIs" dxfId="309" priority="164" stopIfTrue="1" operator="equal">
      <formula>"HF"</formula>
    </cfRule>
    <cfRule type="cellIs" dxfId="308" priority="165" stopIfTrue="1" operator="equal">
      <formula>"MF"</formula>
    </cfRule>
  </conditionalFormatting>
  <conditionalFormatting sqref="B44:AF44">
    <cfRule type="expression" dxfId="307" priority="178" stopIfTrue="1">
      <formula>$P44="ALERTE"</formula>
    </cfRule>
  </conditionalFormatting>
  <conditionalFormatting sqref="C8:F8">
    <cfRule type="expression" dxfId="306" priority="10" stopIfTrue="1">
      <formula>$BI8="ALERTE"</formula>
    </cfRule>
  </conditionalFormatting>
  <conditionalFormatting sqref="C9:F9">
    <cfRule type="expression" dxfId="305" priority="9" stopIfTrue="1">
      <formula>$BF9="ALERTE"</formula>
    </cfRule>
  </conditionalFormatting>
  <conditionalFormatting sqref="C10:F10">
    <cfRule type="expression" dxfId="304" priority="8" stopIfTrue="1">
      <formula>$BS10="ALERTE"</formula>
    </cfRule>
  </conditionalFormatting>
  <conditionalFormatting sqref="C45:F45">
    <cfRule type="expression" dxfId="303" priority="1" stopIfTrue="1">
      <formula>$BI45="ALERTE"</formula>
    </cfRule>
  </conditionalFormatting>
  <conditionalFormatting sqref="G7:AE7">
    <cfRule type="expression" dxfId="302" priority="65" stopIfTrue="1">
      <formula>$BG7="ALERTE"</formula>
    </cfRule>
  </conditionalFormatting>
  <conditionalFormatting sqref="G8:AE8">
    <cfRule type="expression" dxfId="301" priority="16" stopIfTrue="1">
      <formula>$BH8="ALERTE"</formula>
    </cfRule>
  </conditionalFormatting>
  <conditionalFormatting sqref="G9:AE10">
    <cfRule type="expression" dxfId="300" priority="14" stopIfTrue="1">
      <formula>$BJ9="ALERTE"</formula>
    </cfRule>
  </conditionalFormatting>
  <conditionalFormatting sqref="G45:AE45">
    <cfRule type="expression" dxfId="299" priority="3" stopIfTrue="1">
      <formula>$BH45="ALERTE"</formula>
    </cfRule>
  </conditionalFormatting>
  <conditionalFormatting sqref="AG6:AG10">
    <cfRule type="expression" dxfId="298" priority="42" stopIfTrue="1">
      <formula>$BI6="ALERTE"</formula>
    </cfRule>
  </conditionalFormatting>
  <conditionalFormatting sqref="AG14">
    <cfRule type="expression" dxfId="297" priority="44" stopIfTrue="1">
      <formula>$BI14="ALERTE"</formula>
    </cfRule>
  </conditionalFormatting>
  <conditionalFormatting sqref="AG15:AG16">
    <cfRule type="expression" dxfId="296" priority="43" stopIfTrue="1">
      <formula>$P15="ALERTE"</formula>
    </cfRule>
  </conditionalFormatting>
  <conditionalFormatting sqref="AG45">
    <cfRule type="expression" dxfId="295" priority="4" stopIfTrue="1">
      <formula>$BI45="ALERTE"</formula>
    </cfRule>
  </conditionalFormatting>
  <conditionalFormatting sqref="AH8">
    <cfRule type="expression" dxfId="294" priority="179" stopIfTrue="1">
      <formula>$BH8="ALERTE"</formula>
    </cfRule>
  </conditionalFormatting>
  <conditionalFormatting sqref="AH45">
    <cfRule type="expression" dxfId="293" priority="5" stopIfTrue="1">
      <formula>$BH45="ALERTE"</formula>
    </cfRule>
  </conditionalFormatting>
  <printOptions horizontalCentered="1" verticalCentered="1"/>
  <pageMargins left="0" right="0" top="0" bottom="0" header="0.51181102362204722" footer="0.51181102362204722"/>
  <pageSetup paperSize="9" scale="52" orientation="landscape" r:id="rId3"/>
  <headerFooter alignWithMargins="0">
    <oddFooter xml:space="preserve">&amp;Rimprimé le &amp;D à &amp;T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411111111111111111121111">
    <pageSetUpPr fitToPage="1"/>
  </sheetPr>
  <dimension ref="A1:IV81"/>
  <sheetViews>
    <sheetView showGridLines="0" showZeros="0" zoomScale="80" zoomScaleNormal="80" workbookViewId="0">
      <pane xSplit="1" ySplit="20" topLeftCell="E21"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x14ac:dyDescent="0.25"/>
  <cols>
    <col min="1" max="1" width="26.33203125" style="10" customWidth="1"/>
    <col min="2" max="2" width="8.5546875" style="1" bestFit="1" customWidth="1"/>
    <col min="3" max="5" width="8" style="1" customWidth="1"/>
    <col min="6" max="6" width="9" style="1" bestFit="1" customWidth="1"/>
    <col min="7" max="9" width="8" style="1" customWidth="1"/>
    <col min="10" max="10" width="7.88671875" style="1" customWidth="1"/>
    <col min="11" max="32" width="8" style="1" customWidth="1"/>
    <col min="33" max="33" width="2.6640625" style="1" customWidth="1"/>
    <col min="34" max="34" width="16.88671875" style="2" customWidth="1"/>
    <col min="35" max="63" width="0" style="1" hidden="1" customWidth="1"/>
    <col min="64" max="135" width="0" style="3" hidden="1" customWidth="1"/>
    <col min="136" max="16384" width="0" style="1" hidden="1"/>
  </cols>
  <sheetData>
    <row r="1" spans="1:135" s="505" customFormat="1" ht="42.75" customHeight="1" x14ac:dyDescent="0.25">
      <c r="A1" s="641">
        <v>45413</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33" t="s">
        <v>0</v>
      </c>
      <c r="B3" s="635">
        <f>+A1</f>
        <v>45413</v>
      </c>
      <c r="C3" s="634">
        <f>+B3+1</f>
        <v>45414</v>
      </c>
      <c r="D3" s="634">
        <f>+C3+1</f>
        <v>45415</v>
      </c>
      <c r="E3" s="634">
        <f t="shared" ref="E3:AF3" si="0">+D3+1</f>
        <v>45416</v>
      </c>
      <c r="F3" s="634">
        <f t="shared" si="0"/>
        <v>45417</v>
      </c>
      <c r="G3" s="634">
        <f t="shared" si="0"/>
        <v>45418</v>
      </c>
      <c r="H3" s="634">
        <f t="shared" si="0"/>
        <v>45419</v>
      </c>
      <c r="I3" s="635">
        <f t="shared" si="0"/>
        <v>45420</v>
      </c>
      <c r="J3" s="634">
        <f>+I3+1</f>
        <v>45421</v>
      </c>
      <c r="K3" s="634">
        <f>+J3+1</f>
        <v>45422</v>
      </c>
      <c r="L3" s="634">
        <f t="shared" si="0"/>
        <v>45423</v>
      </c>
      <c r="M3" s="634">
        <f t="shared" si="0"/>
        <v>45424</v>
      </c>
      <c r="N3" s="634">
        <f t="shared" si="0"/>
        <v>45425</v>
      </c>
      <c r="O3" s="634">
        <f t="shared" ref="O3:R4" si="1">+N3+1</f>
        <v>45426</v>
      </c>
      <c r="P3" s="634">
        <f t="shared" si="1"/>
        <v>45427</v>
      </c>
      <c r="Q3" s="634">
        <f t="shared" si="1"/>
        <v>45428</v>
      </c>
      <c r="R3" s="634">
        <f t="shared" si="1"/>
        <v>45429</v>
      </c>
      <c r="S3" s="634">
        <f t="shared" si="0"/>
        <v>45430</v>
      </c>
      <c r="T3" s="634">
        <f t="shared" si="0"/>
        <v>45431</v>
      </c>
      <c r="U3" s="634">
        <f t="shared" si="0"/>
        <v>45432</v>
      </c>
      <c r="V3" s="634">
        <f t="shared" si="0"/>
        <v>45433</v>
      </c>
      <c r="W3" s="634">
        <f t="shared" ref="W3:Z4" si="2">+V3+1</f>
        <v>45434</v>
      </c>
      <c r="X3" s="634">
        <f t="shared" si="2"/>
        <v>45435</v>
      </c>
      <c r="Y3" s="634">
        <f t="shared" si="2"/>
        <v>45436</v>
      </c>
      <c r="Z3" s="634">
        <f t="shared" si="2"/>
        <v>45437</v>
      </c>
      <c r="AA3" s="634">
        <f t="shared" si="0"/>
        <v>45438</v>
      </c>
      <c r="AB3" s="634">
        <f t="shared" si="0"/>
        <v>45439</v>
      </c>
      <c r="AC3" s="634">
        <f t="shared" si="0"/>
        <v>45440</v>
      </c>
      <c r="AD3" s="634">
        <f t="shared" si="0"/>
        <v>45441</v>
      </c>
      <c r="AE3" s="634">
        <f t="shared" si="0"/>
        <v>45442</v>
      </c>
      <c r="AF3" s="634">
        <f t="shared" si="0"/>
        <v>45443</v>
      </c>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27" t="s">
        <v>1</v>
      </c>
      <c r="B4" s="532">
        <f>+A1</f>
        <v>45413</v>
      </c>
      <c r="C4" s="531">
        <f>+B4+1</f>
        <v>45414</v>
      </c>
      <c r="D4" s="531">
        <f>+C4+1</f>
        <v>45415</v>
      </c>
      <c r="E4" s="531">
        <f t="shared" ref="E4:AF4" si="3">+D4+1</f>
        <v>45416</v>
      </c>
      <c r="F4" s="531">
        <f t="shared" si="3"/>
        <v>45417</v>
      </c>
      <c r="G4" s="531">
        <f t="shared" si="3"/>
        <v>45418</v>
      </c>
      <c r="H4" s="531">
        <f t="shared" si="3"/>
        <v>45419</v>
      </c>
      <c r="I4" s="532">
        <f t="shared" si="3"/>
        <v>45420</v>
      </c>
      <c r="J4" s="531">
        <f>+I4+1</f>
        <v>45421</v>
      </c>
      <c r="K4" s="531">
        <f>+J4+1</f>
        <v>45422</v>
      </c>
      <c r="L4" s="531">
        <f t="shared" si="3"/>
        <v>45423</v>
      </c>
      <c r="M4" s="531">
        <f t="shared" si="3"/>
        <v>45424</v>
      </c>
      <c r="N4" s="531">
        <f>+M4+1</f>
        <v>45425</v>
      </c>
      <c r="O4" s="531">
        <f t="shared" si="1"/>
        <v>45426</v>
      </c>
      <c r="P4" s="531">
        <f t="shared" si="1"/>
        <v>45427</v>
      </c>
      <c r="Q4" s="531">
        <f t="shared" si="1"/>
        <v>45428</v>
      </c>
      <c r="R4" s="531">
        <f t="shared" si="1"/>
        <v>45429</v>
      </c>
      <c r="S4" s="531">
        <f t="shared" si="3"/>
        <v>45430</v>
      </c>
      <c r="T4" s="531">
        <f t="shared" si="3"/>
        <v>45431</v>
      </c>
      <c r="U4" s="531">
        <f t="shared" si="3"/>
        <v>45432</v>
      </c>
      <c r="V4" s="531">
        <f t="shared" si="3"/>
        <v>45433</v>
      </c>
      <c r="W4" s="531">
        <f t="shared" si="2"/>
        <v>45434</v>
      </c>
      <c r="X4" s="531">
        <f t="shared" si="2"/>
        <v>45435</v>
      </c>
      <c r="Y4" s="531">
        <f t="shared" si="2"/>
        <v>45436</v>
      </c>
      <c r="Z4" s="531">
        <f t="shared" si="2"/>
        <v>45437</v>
      </c>
      <c r="AA4" s="531">
        <f t="shared" si="3"/>
        <v>45438</v>
      </c>
      <c r="AB4" s="531">
        <f t="shared" si="3"/>
        <v>45439</v>
      </c>
      <c r="AC4" s="531">
        <f t="shared" si="3"/>
        <v>45440</v>
      </c>
      <c r="AD4" s="531">
        <f t="shared" si="3"/>
        <v>45441</v>
      </c>
      <c r="AE4" s="531">
        <f t="shared" si="3"/>
        <v>45442</v>
      </c>
      <c r="AF4" s="531">
        <f t="shared" si="3"/>
        <v>45443</v>
      </c>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71" customFormat="1" ht="9.9" customHeight="1" thickBot="1" x14ac:dyDescent="0.3">
      <c r="A5" s="528"/>
      <c r="B5" s="509"/>
      <c r="C5" s="509"/>
      <c r="D5" s="510"/>
      <c r="E5" s="170"/>
      <c r="F5" s="170"/>
      <c r="G5" s="170"/>
      <c r="H5" s="170"/>
      <c r="I5" s="510"/>
      <c r="J5" s="510"/>
      <c r="K5" s="510"/>
      <c r="L5" s="169"/>
      <c r="M5" s="170"/>
      <c r="N5" s="170"/>
      <c r="O5" s="509"/>
      <c r="P5" s="509"/>
      <c r="Q5" s="509"/>
      <c r="R5" s="509"/>
      <c r="S5" s="170"/>
      <c r="T5" s="170"/>
      <c r="U5" s="170"/>
      <c r="V5" s="170"/>
      <c r="W5" s="170"/>
      <c r="X5" s="170"/>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135" s="467" customFormat="1" ht="20.100000000000001" customHeight="1" thickBot="1" x14ac:dyDescent="0.3">
      <c r="A6" s="529" t="s">
        <v>2</v>
      </c>
      <c r="B6" s="487" t="s">
        <v>60</v>
      </c>
      <c r="C6" s="487"/>
      <c r="D6" s="487"/>
      <c r="E6" s="487"/>
      <c r="F6" s="487"/>
      <c r="G6" s="487"/>
      <c r="H6" s="487"/>
      <c r="I6" s="487">
        <v>1945</v>
      </c>
      <c r="J6" s="691" t="s">
        <v>61</v>
      </c>
      <c r="K6" s="690"/>
      <c r="L6" s="690"/>
      <c r="M6" s="692"/>
      <c r="N6" s="488"/>
      <c r="O6" s="488"/>
      <c r="P6" s="488"/>
      <c r="Q6" s="488"/>
      <c r="R6" s="488"/>
      <c r="S6" s="691" t="s">
        <v>42</v>
      </c>
      <c r="T6" s="690"/>
      <c r="U6" s="692"/>
      <c r="V6" s="488"/>
      <c r="W6" s="488"/>
      <c r="X6" s="488"/>
      <c r="Y6" s="488"/>
      <c r="Z6" s="488"/>
      <c r="AA6" s="488"/>
      <c r="AB6" s="488"/>
      <c r="AC6" s="488"/>
      <c r="AD6" s="488"/>
      <c r="AE6" s="488"/>
      <c r="AF6" s="489"/>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135" s="171" customFormat="1" x14ac:dyDescent="0.25">
      <c r="A7" s="530" t="s">
        <v>3</v>
      </c>
      <c r="B7" s="581" t="s">
        <v>34</v>
      </c>
      <c r="C7" s="577" t="s">
        <v>34</v>
      </c>
      <c r="D7" s="577" t="s">
        <v>34</v>
      </c>
      <c r="E7" s="577" t="s">
        <v>34</v>
      </c>
      <c r="F7" s="577" t="s">
        <v>34</v>
      </c>
      <c r="G7" s="498"/>
      <c r="H7" s="498"/>
      <c r="I7" s="497" t="s">
        <v>4</v>
      </c>
      <c r="J7" s="497" t="s">
        <v>4</v>
      </c>
      <c r="K7" s="497" t="s">
        <v>4</v>
      </c>
      <c r="L7" s="497" t="s">
        <v>4</v>
      </c>
      <c r="M7" s="497" t="s">
        <v>4</v>
      </c>
      <c r="N7" s="173"/>
      <c r="O7" s="173"/>
      <c r="P7" s="173"/>
      <c r="Q7" s="173"/>
      <c r="R7" s="173"/>
      <c r="S7" s="173"/>
      <c r="T7" s="173"/>
      <c r="U7" s="173"/>
      <c r="V7" s="173"/>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135" s="560" customFormat="1" ht="25.5" customHeight="1" x14ac:dyDescent="0.3">
      <c r="A8" s="559" t="s">
        <v>132</v>
      </c>
      <c r="B8" s="562">
        <v>0.38541666666666669</v>
      </c>
      <c r="C8" s="562">
        <v>0.38541666666666669</v>
      </c>
      <c r="D8" s="562">
        <v>0.38541666666666669</v>
      </c>
      <c r="E8" s="562">
        <v>0.38541666666666669</v>
      </c>
      <c r="F8" s="562">
        <v>0.38541666666666669</v>
      </c>
      <c r="G8" s="562">
        <v>0.41666666666666669</v>
      </c>
      <c r="H8" s="562">
        <v>0.41666666666666669</v>
      </c>
      <c r="I8" s="562">
        <v>0.375</v>
      </c>
      <c r="J8" s="562">
        <v>0.375</v>
      </c>
      <c r="K8" s="562">
        <v>0.375</v>
      </c>
      <c r="L8" s="562">
        <v>0.375</v>
      </c>
      <c r="M8" s="562">
        <v>0.375</v>
      </c>
      <c r="N8" s="562">
        <v>0.41666666666666669</v>
      </c>
      <c r="O8" s="562">
        <v>0.41666666666666669</v>
      </c>
      <c r="P8" s="562">
        <v>0.41666666666666669</v>
      </c>
      <c r="Q8" s="562">
        <v>0.41666666666666669</v>
      </c>
      <c r="R8" s="562">
        <v>0.41666666666666669</v>
      </c>
      <c r="S8" s="562">
        <v>0.36458333333333331</v>
      </c>
      <c r="T8" s="562">
        <v>0.35416666666666669</v>
      </c>
      <c r="U8" s="562">
        <v>0.36458333333333331</v>
      </c>
      <c r="V8" s="562">
        <v>0.41666666666666669</v>
      </c>
      <c r="W8" s="562">
        <v>0.41666666666666669</v>
      </c>
      <c r="X8" s="562">
        <v>0.41666666666666669</v>
      </c>
      <c r="Y8" s="562">
        <v>0.41666666666666669</v>
      </c>
      <c r="Z8" s="562">
        <v>0.36458333333333331</v>
      </c>
      <c r="AA8" s="562">
        <v>0.36458333333333331</v>
      </c>
      <c r="AB8" s="562">
        <v>0.41666666666666669</v>
      </c>
      <c r="AC8" s="562">
        <v>0.41666666666666669</v>
      </c>
      <c r="AD8" s="562">
        <v>0.41666666666666669</v>
      </c>
      <c r="AE8" s="562">
        <v>0.41666666666666669</v>
      </c>
      <c r="AF8" s="562">
        <v>0.41666666666666669</v>
      </c>
      <c r="AH8" s="562"/>
    </row>
    <row r="9" spans="1:135" s="172" customFormat="1" ht="20.25" customHeight="1" x14ac:dyDescent="0.25">
      <c r="A9" s="519" t="s">
        <v>36</v>
      </c>
      <c r="B9" s="511">
        <v>0.375</v>
      </c>
      <c r="C9" s="511">
        <v>0.375</v>
      </c>
      <c r="D9" s="511">
        <v>0.375</v>
      </c>
      <c r="E9" s="511">
        <v>0.375</v>
      </c>
      <c r="F9" s="511">
        <v>0.375</v>
      </c>
      <c r="G9" s="511">
        <v>0.40625</v>
      </c>
      <c r="H9" s="511">
        <v>0.40625</v>
      </c>
      <c r="I9" s="511">
        <v>0.36458333333333331</v>
      </c>
      <c r="J9" s="511">
        <v>0.36458333333333331</v>
      </c>
      <c r="K9" s="511">
        <v>0.36458333333333331</v>
      </c>
      <c r="L9" s="511">
        <v>0.36458333333333331</v>
      </c>
      <c r="M9" s="511">
        <v>0.36458333333333331</v>
      </c>
      <c r="N9" s="511">
        <v>0.40625</v>
      </c>
      <c r="O9" s="511">
        <v>0.40625</v>
      </c>
      <c r="P9" s="511">
        <v>0.40625</v>
      </c>
      <c r="Q9" s="511">
        <v>0.40625</v>
      </c>
      <c r="R9" s="511">
        <v>0.40625</v>
      </c>
      <c r="S9" s="511">
        <v>0.36458333333333331</v>
      </c>
      <c r="T9" s="511">
        <v>0.35416666666666669</v>
      </c>
      <c r="U9" s="511">
        <v>0.36458333333333331</v>
      </c>
      <c r="V9" s="511">
        <v>0.40625</v>
      </c>
      <c r="W9" s="511">
        <v>0.40625</v>
      </c>
      <c r="X9" s="511">
        <v>0.40625</v>
      </c>
      <c r="Y9" s="511">
        <v>0.40625</v>
      </c>
      <c r="Z9" s="511">
        <v>0.36458333333333331</v>
      </c>
      <c r="AA9" s="511">
        <v>0.36458333333333331</v>
      </c>
      <c r="AB9" s="511">
        <v>0.40625</v>
      </c>
      <c r="AC9" s="511">
        <v>0.40625</v>
      </c>
      <c r="AD9" s="511">
        <v>0.40625</v>
      </c>
      <c r="AE9" s="511">
        <v>0.40625</v>
      </c>
      <c r="AF9" s="511">
        <v>0.40625</v>
      </c>
      <c r="AH9" s="554"/>
    </row>
    <row r="10" spans="1:135" s="171" customFormat="1" ht="20.100000000000001" customHeight="1" x14ac:dyDescent="0.25">
      <c r="A10" s="520" t="s">
        <v>5</v>
      </c>
      <c r="B10" s="626">
        <v>0.38541666666666669</v>
      </c>
      <c r="C10" s="626">
        <v>0.38541666666666669</v>
      </c>
      <c r="D10" s="626">
        <v>0.38541666666666669</v>
      </c>
      <c r="E10" s="626">
        <v>0.38541666666666669</v>
      </c>
      <c r="F10" s="626">
        <v>0.38541666666666669</v>
      </c>
      <c r="G10" s="626">
        <v>0.41666666666666669</v>
      </c>
      <c r="H10" s="626">
        <v>0.41666666666666669</v>
      </c>
      <c r="I10" s="626">
        <v>0.375</v>
      </c>
      <c r="J10" s="626">
        <v>0.375</v>
      </c>
      <c r="K10" s="626">
        <v>0.375</v>
      </c>
      <c r="L10" s="626">
        <v>0.375</v>
      </c>
      <c r="M10" s="626">
        <v>0.375</v>
      </c>
      <c r="N10" s="626">
        <v>0.41666666666666669</v>
      </c>
      <c r="O10" s="626">
        <v>0.41666666666666669</v>
      </c>
      <c r="P10" s="626">
        <v>0.41666666666666669</v>
      </c>
      <c r="Q10" s="626">
        <v>0.41666666666666669</v>
      </c>
      <c r="R10" s="626">
        <v>0.41666666666666669</v>
      </c>
      <c r="S10" s="626">
        <v>0.375</v>
      </c>
      <c r="T10" s="626">
        <v>0.35416666666666669</v>
      </c>
      <c r="U10" s="626">
        <v>0.375</v>
      </c>
      <c r="V10" s="626">
        <v>0.41666666666666669</v>
      </c>
      <c r="W10" s="626">
        <v>0.41666666666666669</v>
      </c>
      <c r="X10" s="626">
        <v>0.41666666666666669</v>
      </c>
      <c r="Y10" s="626">
        <v>0.41666666666666669</v>
      </c>
      <c r="Z10" s="626">
        <v>0.39583333333333331</v>
      </c>
      <c r="AA10" s="626">
        <v>0.39583333333333331</v>
      </c>
      <c r="AB10" s="626">
        <v>0.41666666666666669</v>
      </c>
      <c r="AC10" s="626">
        <v>0.41666666666666669</v>
      </c>
      <c r="AD10" s="626">
        <v>0.41666666666666669</v>
      </c>
      <c r="AE10" s="626">
        <v>0.41666666666666669</v>
      </c>
      <c r="AF10" s="626">
        <v>0.41666666666666669</v>
      </c>
      <c r="AH10" s="62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25">
      <c r="A11" s="520" t="s">
        <v>6</v>
      </c>
      <c r="B11" s="627">
        <f t="shared" ref="B11:E11" si="4">IF(B10="","",IF(B15=0,B14+"0:30",+B15+"0:30"))</f>
        <v>0.9375</v>
      </c>
      <c r="C11" s="627">
        <f t="shared" si="4"/>
        <v>0.9375</v>
      </c>
      <c r="D11" s="627">
        <f t="shared" si="4"/>
        <v>0.9375</v>
      </c>
      <c r="E11" s="627">
        <f t="shared" si="4"/>
        <v>0.9375</v>
      </c>
      <c r="F11" s="627">
        <f t="shared" ref="F11:N11" si="5">IF(F10="","",IF(F15=0,F14+"0:30",+F15+"0:30"))</f>
        <v>0.9375</v>
      </c>
      <c r="G11" s="627">
        <f t="shared" si="5"/>
        <v>0.9375</v>
      </c>
      <c r="H11" s="627">
        <f t="shared" ref="H11" si="6">IF(H10="","",IF(H15=0,H14+"0:30",+H15+"0:30"))</f>
        <v>0.9375</v>
      </c>
      <c r="I11" s="627">
        <f t="shared" si="5"/>
        <v>0.96875</v>
      </c>
      <c r="J11" s="627">
        <f t="shared" ref="J11:L11" si="7">IF(J10="","",IF(J15=0,J14+"0:30",+J15+"0:30"))</f>
        <v>0.96875</v>
      </c>
      <c r="K11" s="627">
        <f t="shared" si="7"/>
        <v>0.96875</v>
      </c>
      <c r="L11" s="627">
        <f t="shared" si="7"/>
        <v>0.96875</v>
      </c>
      <c r="M11" s="627">
        <f t="shared" si="5"/>
        <v>0.9375</v>
      </c>
      <c r="N11" s="627">
        <f t="shared" si="5"/>
        <v>0.94791666666666674</v>
      </c>
      <c r="O11" s="627">
        <f t="shared" ref="O11:R11" si="8">IF(O10="","",IF(O15=0,O14+"0:30",+O15+"0:30"))</f>
        <v>0.94791666666666674</v>
      </c>
      <c r="P11" s="627">
        <f t="shared" si="8"/>
        <v>0.94791666666666674</v>
      </c>
      <c r="Q11" s="627">
        <f t="shared" si="8"/>
        <v>0.94791666666666674</v>
      </c>
      <c r="R11" s="627">
        <f t="shared" si="8"/>
        <v>0.94791666666666674</v>
      </c>
      <c r="S11" s="627">
        <f t="shared" ref="S11:Y11" si="9">IF(S10="","",IF(S15=0,S14+"0:30",+S15+"0:30"))</f>
        <v>0.97916666666666674</v>
      </c>
      <c r="T11" s="627">
        <f t="shared" ref="T11" si="10">IF(T10="","",IF(T15=0,T14+"0:30",+T15+"0:30"))</f>
        <v>0.97916666666666674</v>
      </c>
      <c r="U11" s="627">
        <f t="shared" si="9"/>
        <v>0.94791666666666674</v>
      </c>
      <c r="V11" s="627">
        <f t="shared" si="9"/>
        <v>0.94791666666666674</v>
      </c>
      <c r="W11" s="627">
        <f t="shared" si="9"/>
        <v>0.94791666666666674</v>
      </c>
      <c r="X11" s="627">
        <f t="shared" si="9"/>
        <v>0.94791666666666674</v>
      </c>
      <c r="Y11" s="627">
        <f t="shared" si="9"/>
        <v>0.94791666666666674</v>
      </c>
      <c r="Z11" s="627">
        <f t="shared" ref="Z11:AF11" si="11">IF(Z10="","",IF(Z15=0,Z14+"0:30",+Z15+"0:30"))</f>
        <v>0.96875</v>
      </c>
      <c r="AA11" s="627">
        <f t="shared" si="11"/>
        <v>0.96875</v>
      </c>
      <c r="AB11" s="627">
        <f t="shared" si="11"/>
        <v>0.96875</v>
      </c>
      <c r="AC11" s="627">
        <f t="shared" si="11"/>
        <v>0.96875</v>
      </c>
      <c r="AD11" s="627">
        <f t="shared" si="11"/>
        <v>0.96875</v>
      </c>
      <c r="AE11" s="627">
        <f t="shared" si="11"/>
        <v>0.96875</v>
      </c>
      <c r="AF11" s="627">
        <f t="shared" si="11"/>
        <v>0.96875</v>
      </c>
      <c r="AH11" s="62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171" customFormat="1" ht="20.100000000000001" customHeight="1" x14ac:dyDescent="0.25">
      <c r="A12" s="521" t="s">
        <v>7</v>
      </c>
      <c r="B12" s="623">
        <f t="shared" ref="B12:E12" si="12">+IF(B10="","",(B11-B10))</f>
        <v>0.55208333333333326</v>
      </c>
      <c r="C12" s="623">
        <f t="shared" si="12"/>
        <v>0.55208333333333326</v>
      </c>
      <c r="D12" s="623">
        <f t="shared" si="12"/>
        <v>0.55208333333333326</v>
      </c>
      <c r="E12" s="623">
        <f t="shared" si="12"/>
        <v>0.55208333333333326</v>
      </c>
      <c r="F12" s="623">
        <f t="shared" ref="F12:U12" si="13">+IF(F10="","",(F11-F10))</f>
        <v>0.55208333333333326</v>
      </c>
      <c r="G12" s="623">
        <f t="shared" si="13"/>
        <v>0.52083333333333326</v>
      </c>
      <c r="H12" s="623">
        <f t="shared" ref="H12" si="14">+IF(H10="","",(H11-H10))</f>
        <v>0.52083333333333326</v>
      </c>
      <c r="I12" s="623">
        <f t="shared" si="13"/>
        <v>0.59375</v>
      </c>
      <c r="J12" s="623">
        <f t="shared" ref="J12:L12" si="15">+IF(J10="","",(J11-J10))</f>
        <v>0.59375</v>
      </c>
      <c r="K12" s="623">
        <f t="shared" si="15"/>
        <v>0.59375</v>
      </c>
      <c r="L12" s="623">
        <f t="shared" si="15"/>
        <v>0.59375</v>
      </c>
      <c r="M12" s="623">
        <f t="shared" si="13"/>
        <v>0.5625</v>
      </c>
      <c r="N12" s="623">
        <f t="shared" si="13"/>
        <v>0.53125</v>
      </c>
      <c r="O12" s="623">
        <f t="shared" ref="O12:R12" si="16">+IF(O10="","",(O11-O10))</f>
        <v>0.53125</v>
      </c>
      <c r="P12" s="623">
        <f t="shared" si="16"/>
        <v>0.53125</v>
      </c>
      <c r="Q12" s="623">
        <f t="shared" si="16"/>
        <v>0.53125</v>
      </c>
      <c r="R12" s="623">
        <f t="shared" si="16"/>
        <v>0.53125</v>
      </c>
      <c r="S12" s="623">
        <f t="shared" si="13"/>
        <v>0.60416666666666674</v>
      </c>
      <c r="T12" s="623">
        <f t="shared" ref="T12" si="17">+IF(T10="","",(T11-T10))</f>
        <v>0.625</v>
      </c>
      <c r="U12" s="623">
        <f t="shared" si="13"/>
        <v>0.57291666666666674</v>
      </c>
      <c r="V12" s="623">
        <f t="shared" ref="V12:Y12" si="18">+IF(V10="","",(V11-V10))</f>
        <v>0.53125</v>
      </c>
      <c r="W12" s="623">
        <f t="shared" si="18"/>
        <v>0.53125</v>
      </c>
      <c r="X12" s="623">
        <f t="shared" si="18"/>
        <v>0.53125</v>
      </c>
      <c r="Y12" s="623">
        <f t="shared" si="18"/>
        <v>0.53125</v>
      </c>
      <c r="Z12" s="623">
        <f t="shared" ref="Z12:AF12" si="19">+IF(Z10="","",(Z11-Z10))</f>
        <v>0.57291666666666674</v>
      </c>
      <c r="AA12" s="623">
        <f t="shared" si="19"/>
        <v>0.57291666666666674</v>
      </c>
      <c r="AB12" s="623">
        <f t="shared" si="19"/>
        <v>0.55208333333333326</v>
      </c>
      <c r="AC12" s="623">
        <f t="shared" si="19"/>
        <v>0.55208333333333326</v>
      </c>
      <c r="AD12" s="623">
        <f t="shared" si="19"/>
        <v>0.55208333333333326</v>
      </c>
      <c r="AE12" s="623">
        <f t="shared" si="19"/>
        <v>0.55208333333333326</v>
      </c>
      <c r="AF12" s="623">
        <f t="shared" si="19"/>
        <v>0.55208333333333326</v>
      </c>
      <c r="AG12" s="486"/>
      <c r="AH12" s="624">
        <f>SUM(B12:AF12)</f>
        <v>17.229166666666661</v>
      </c>
      <c r="BL12" s="172"/>
      <c r="BM12" s="172"/>
      <c r="BN12" s="172"/>
      <c r="BO12" s="172"/>
      <c r="BP12" s="172"/>
      <c r="BQ12" s="172"/>
      <c r="BR12" s="172"/>
      <c r="BS12" s="172"/>
      <c r="BT12" s="172"/>
      <c r="BU12" s="172"/>
      <c r="BV12" s="172"/>
      <c r="BW12" s="172"/>
      <c r="BX12" s="172"/>
      <c r="BY12" s="172"/>
      <c r="BZ12" s="172"/>
      <c r="CA12" s="172"/>
      <c r="CB12" s="172"/>
      <c r="CC12" s="172"/>
      <c r="CD12" s="172"/>
      <c r="CE12" s="172"/>
      <c r="CF12" s="172"/>
      <c r="CG12" s="172"/>
      <c r="CH12" s="172"/>
      <c r="CI12" s="172"/>
      <c r="CJ12" s="172"/>
      <c r="CK12" s="172"/>
      <c r="CL12" s="172"/>
      <c r="CM12" s="172"/>
      <c r="CN12" s="172"/>
      <c r="CO12" s="172"/>
      <c r="CP12" s="172"/>
      <c r="CQ12" s="172"/>
      <c r="CR12" s="172"/>
      <c r="CS12" s="172"/>
      <c r="CT12" s="172"/>
      <c r="CU12" s="172"/>
      <c r="CV12" s="172"/>
      <c r="CW12" s="172"/>
      <c r="CX12" s="172"/>
      <c r="CY12" s="172"/>
      <c r="CZ12" s="172"/>
      <c r="DA12" s="172"/>
      <c r="DB12" s="172"/>
      <c r="DC12" s="172"/>
      <c r="DD12" s="172"/>
      <c r="DE12" s="172"/>
      <c r="DF12" s="172"/>
      <c r="DG12" s="172"/>
      <c r="DH12" s="172"/>
      <c r="DI12" s="172"/>
      <c r="DJ12" s="172"/>
      <c r="DK12" s="172"/>
      <c r="DL12" s="172"/>
      <c r="DM12" s="172"/>
      <c r="DN12" s="172"/>
      <c r="DO12" s="172"/>
      <c r="DP12" s="172"/>
      <c r="DQ12" s="172"/>
      <c r="DR12" s="172"/>
      <c r="DS12" s="172"/>
      <c r="DT12" s="172"/>
      <c r="DU12" s="172"/>
      <c r="DV12" s="172"/>
      <c r="DW12" s="172"/>
      <c r="DX12" s="172"/>
      <c r="DY12" s="172"/>
      <c r="DZ12" s="172"/>
      <c r="EA12" s="172"/>
      <c r="EB12" s="172"/>
      <c r="EC12" s="172"/>
      <c r="ED12" s="172"/>
      <c r="EE12" s="172"/>
    </row>
    <row r="13" spans="1:135" s="172" customFormat="1" ht="9.9" customHeight="1" x14ac:dyDescent="0.25">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H13" s="174"/>
    </row>
    <row r="14" spans="1:135" s="171" customFormat="1" ht="20.100000000000001" customHeight="1" x14ac:dyDescent="0.25">
      <c r="A14" s="616" t="s">
        <v>8</v>
      </c>
      <c r="B14" s="176">
        <v>0.91666666666666663</v>
      </c>
      <c r="C14" s="176">
        <v>0.91666666666666663</v>
      </c>
      <c r="D14" s="176">
        <v>0.91666666666666663</v>
      </c>
      <c r="E14" s="176">
        <v>0.91666666666666663</v>
      </c>
      <c r="F14" s="176">
        <v>0.91666666666666663</v>
      </c>
      <c r="G14" s="176">
        <v>0.91666666666666663</v>
      </c>
      <c r="H14" s="176">
        <v>0.91666666666666663</v>
      </c>
      <c r="I14" s="176">
        <v>0.91666666666666663</v>
      </c>
      <c r="J14" s="176">
        <v>0.91666666666666663</v>
      </c>
      <c r="K14" s="176">
        <v>0.91666666666666663</v>
      </c>
      <c r="L14" s="176">
        <v>0.91666666666666663</v>
      </c>
      <c r="M14" s="176">
        <v>0.91666666666666663</v>
      </c>
      <c r="N14" s="176">
        <v>0.92708333333333337</v>
      </c>
      <c r="O14" s="176">
        <v>0.92708333333333337</v>
      </c>
      <c r="P14" s="176">
        <v>0.92708333333333337</v>
      </c>
      <c r="Q14" s="176">
        <v>0.92708333333333337</v>
      </c>
      <c r="R14" s="176">
        <v>0.92708333333333337</v>
      </c>
      <c r="S14" s="176">
        <v>0.92708333333333337</v>
      </c>
      <c r="T14" s="176">
        <v>0.92708333333333337</v>
      </c>
      <c r="U14" s="176">
        <v>0.92708333333333337</v>
      </c>
      <c r="V14" s="176">
        <v>0.92708333333333337</v>
      </c>
      <c r="W14" s="176">
        <v>0.92708333333333337</v>
      </c>
      <c r="X14" s="176">
        <v>0.92708333333333337</v>
      </c>
      <c r="Y14" s="176">
        <v>0.92708333333333337</v>
      </c>
      <c r="Z14" s="176">
        <v>0.94791666666666663</v>
      </c>
      <c r="AA14" s="176">
        <v>0.94791666666666663</v>
      </c>
      <c r="AB14" s="176">
        <v>0.94791666666666663</v>
      </c>
      <c r="AC14" s="176">
        <v>0.94791666666666663</v>
      </c>
      <c r="AD14" s="176">
        <v>0.94791666666666663</v>
      </c>
      <c r="AE14" s="176">
        <v>0.94791666666666663</v>
      </c>
      <c r="AF14" s="176">
        <v>0.94791666666666663</v>
      </c>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ht="20.100000000000001" customHeight="1" thickBot="1" x14ac:dyDescent="0.3">
      <c r="A15" s="617" t="s">
        <v>9</v>
      </c>
      <c r="B15" s="575"/>
      <c r="C15" s="575"/>
      <c r="D15" s="575"/>
      <c r="E15" s="575"/>
      <c r="F15" s="575"/>
      <c r="G15" s="575"/>
      <c r="H15" s="575"/>
      <c r="I15" s="575">
        <v>0.94791666666666663</v>
      </c>
      <c r="J15" s="575">
        <v>0.94791666666666663</v>
      </c>
      <c r="K15" s="575">
        <v>0.94791666666666663</v>
      </c>
      <c r="L15" s="575">
        <v>0.94791666666666663</v>
      </c>
      <c r="M15" s="575"/>
      <c r="N15" s="575"/>
      <c r="O15" s="575"/>
      <c r="P15" s="575"/>
      <c r="Q15" s="575"/>
      <c r="R15" s="575"/>
      <c r="S15" s="575">
        <v>0.95833333333333337</v>
      </c>
      <c r="T15" s="575">
        <v>0.95833333333333337</v>
      </c>
      <c r="U15" s="575"/>
      <c r="V15" s="575"/>
      <c r="W15" s="575"/>
      <c r="X15" s="575"/>
      <c r="Y15" s="575"/>
      <c r="Z15" s="575"/>
      <c r="AA15" s="575"/>
      <c r="AB15" s="575"/>
      <c r="AC15" s="575"/>
      <c r="AD15" s="575"/>
      <c r="AE15" s="575"/>
      <c r="AF15" s="575"/>
      <c r="AH15" s="555"/>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71" customFormat="1" ht="18" hidden="1" customHeight="1" thickBot="1" x14ac:dyDescent="0.3">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71" customFormat="1" ht="16.2" hidden="1" x14ac:dyDescent="0.25">
      <c r="A17" s="519" t="s">
        <v>10</v>
      </c>
      <c r="B17" s="179">
        <f t="shared" ref="B17:E19" si="20">COUNTIF(B14,"&gt;0")</f>
        <v>1</v>
      </c>
      <c r="C17" s="179">
        <f t="shared" si="20"/>
        <v>1</v>
      </c>
      <c r="D17" s="179">
        <f t="shared" si="20"/>
        <v>1</v>
      </c>
      <c r="E17" s="179">
        <f t="shared" si="20"/>
        <v>1</v>
      </c>
      <c r="F17" s="179">
        <f t="shared" ref="F17" si="21">COUNTIF(F14,"&gt;0")</f>
        <v>1</v>
      </c>
      <c r="G17" s="179">
        <f t="shared" ref="G17:AF17" si="22">COUNTIF(G14,"&gt;0")</f>
        <v>1</v>
      </c>
      <c r="H17" s="179">
        <f t="shared" si="22"/>
        <v>1</v>
      </c>
      <c r="I17" s="179">
        <f t="shared" si="22"/>
        <v>1</v>
      </c>
      <c r="J17" s="179">
        <f t="shared" si="22"/>
        <v>1</v>
      </c>
      <c r="K17" s="179">
        <f t="shared" si="22"/>
        <v>1</v>
      </c>
      <c r="L17" s="179">
        <f t="shared" si="22"/>
        <v>1</v>
      </c>
      <c r="M17" s="179">
        <f t="shared" si="22"/>
        <v>1</v>
      </c>
      <c r="N17" s="179">
        <f t="shared" si="22"/>
        <v>1</v>
      </c>
      <c r="O17" s="179">
        <f t="shared" si="22"/>
        <v>1</v>
      </c>
      <c r="P17" s="179">
        <f t="shared" si="22"/>
        <v>1</v>
      </c>
      <c r="Q17" s="179">
        <f t="shared" si="22"/>
        <v>1</v>
      </c>
      <c r="R17" s="179">
        <f t="shared" si="22"/>
        <v>1</v>
      </c>
      <c r="S17" s="179">
        <f t="shared" si="22"/>
        <v>1</v>
      </c>
      <c r="T17" s="179">
        <f t="shared" si="22"/>
        <v>1</v>
      </c>
      <c r="U17" s="179">
        <f t="shared" si="22"/>
        <v>1</v>
      </c>
      <c r="V17" s="179">
        <f t="shared" si="22"/>
        <v>1</v>
      </c>
      <c r="W17" s="179">
        <f t="shared" si="22"/>
        <v>1</v>
      </c>
      <c r="X17" s="179">
        <f t="shared" si="22"/>
        <v>1</v>
      </c>
      <c r="Y17" s="179">
        <f t="shared" si="22"/>
        <v>1</v>
      </c>
      <c r="Z17" s="179">
        <f t="shared" si="22"/>
        <v>1</v>
      </c>
      <c r="AA17" s="179">
        <f t="shared" si="22"/>
        <v>1</v>
      </c>
      <c r="AB17" s="179">
        <f t="shared" si="22"/>
        <v>1</v>
      </c>
      <c r="AC17" s="179">
        <f t="shared" si="22"/>
        <v>1</v>
      </c>
      <c r="AD17" s="179">
        <f t="shared" si="22"/>
        <v>1</v>
      </c>
      <c r="AE17" s="179">
        <f t="shared" si="22"/>
        <v>1</v>
      </c>
      <c r="AF17" s="179">
        <f t="shared" si="22"/>
        <v>1</v>
      </c>
      <c r="AH17" s="163"/>
      <c r="BL17" s="172"/>
      <c r="BM17" s="172"/>
      <c r="BN17" s="172"/>
      <c r="BO17" s="172"/>
      <c r="BP17" s="172"/>
      <c r="BQ17" s="172"/>
      <c r="BR17" s="172"/>
      <c r="BS17" s="172"/>
      <c r="BT17" s="172"/>
      <c r="BU17" s="172"/>
      <c r="BV17" s="172"/>
      <c r="BW17" s="172"/>
      <c r="BX17" s="172"/>
      <c r="BY17" s="172"/>
      <c r="BZ17" s="172"/>
      <c r="CA17" s="172"/>
      <c r="CB17" s="172"/>
      <c r="CC17" s="172"/>
      <c r="CD17" s="172"/>
      <c r="CE17" s="172"/>
      <c r="CF17" s="172"/>
      <c r="CG17" s="172"/>
      <c r="CH17" s="172"/>
      <c r="CI17" s="172"/>
      <c r="CJ17" s="172"/>
      <c r="CK17" s="172"/>
      <c r="CL17" s="172"/>
      <c r="CM17" s="172"/>
      <c r="CN17" s="172"/>
      <c r="CO17" s="172"/>
      <c r="CP17" s="172"/>
      <c r="CQ17" s="172"/>
      <c r="CR17" s="172"/>
      <c r="CS17" s="172"/>
      <c r="CT17" s="172"/>
      <c r="CU17" s="172"/>
      <c r="CV17" s="172"/>
      <c r="CW17" s="172"/>
      <c r="CX17" s="172"/>
      <c r="CY17" s="172"/>
      <c r="CZ17" s="172"/>
      <c r="DA17" s="172"/>
      <c r="DB17" s="172"/>
      <c r="DC17" s="172"/>
      <c r="DD17" s="172"/>
      <c r="DE17" s="172"/>
      <c r="DF17" s="172"/>
      <c r="DG17" s="172"/>
      <c r="DH17" s="172"/>
      <c r="DI17" s="172"/>
      <c r="DJ17" s="172"/>
      <c r="DK17" s="172"/>
      <c r="DL17" s="172"/>
      <c r="DM17" s="172"/>
      <c r="DN17" s="172"/>
      <c r="DO17" s="172"/>
      <c r="DP17" s="172"/>
      <c r="DQ17" s="172"/>
      <c r="DR17" s="172"/>
      <c r="DS17" s="172"/>
      <c r="DT17" s="172"/>
      <c r="DU17" s="172"/>
      <c r="DV17" s="172"/>
      <c r="DW17" s="172"/>
      <c r="DX17" s="172"/>
      <c r="DY17" s="172"/>
      <c r="DZ17" s="172"/>
      <c r="EA17" s="172"/>
      <c r="EB17" s="172"/>
      <c r="EC17" s="172"/>
      <c r="ED17" s="172"/>
      <c r="EE17" s="172"/>
    </row>
    <row r="18" spans="1:135" s="171" customFormat="1" ht="16.2" hidden="1" x14ac:dyDescent="0.25">
      <c r="A18" s="519" t="s">
        <v>11</v>
      </c>
      <c r="B18" s="179">
        <f t="shared" si="20"/>
        <v>0</v>
      </c>
      <c r="C18" s="179">
        <f t="shared" si="20"/>
        <v>0</v>
      </c>
      <c r="D18" s="179">
        <f t="shared" si="20"/>
        <v>0</v>
      </c>
      <c r="E18" s="179">
        <f t="shared" si="20"/>
        <v>0</v>
      </c>
      <c r="F18" s="179">
        <f t="shared" ref="F18" si="23">COUNTIF(F15,"&gt;0")</f>
        <v>0</v>
      </c>
      <c r="G18" s="179">
        <f t="shared" ref="G18:AF18" si="24">COUNTIF(G15,"&gt;0")</f>
        <v>0</v>
      </c>
      <c r="H18" s="179">
        <f t="shared" si="24"/>
        <v>0</v>
      </c>
      <c r="I18" s="179">
        <f t="shared" si="24"/>
        <v>1</v>
      </c>
      <c r="J18" s="179">
        <f t="shared" si="24"/>
        <v>1</v>
      </c>
      <c r="K18" s="179">
        <f t="shared" si="24"/>
        <v>1</v>
      </c>
      <c r="L18" s="179">
        <f t="shared" si="24"/>
        <v>1</v>
      </c>
      <c r="M18" s="179">
        <f t="shared" si="24"/>
        <v>0</v>
      </c>
      <c r="N18" s="179">
        <f t="shared" si="24"/>
        <v>0</v>
      </c>
      <c r="O18" s="179">
        <f t="shared" si="24"/>
        <v>0</v>
      </c>
      <c r="P18" s="179">
        <f t="shared" si="24"/>
        <v>0</v>
      </c>
      <c r="Q18" s="179">
        <f t="shared" si="24"/>
        <v>0</v>
      </c>
      <c r="R18" s="179">
        <f t="shared" si="24"/>
        <v>0</v>
      </c>
      <c r="S18" s="179">
        <f t="shared" si="24"/>
        <v>1</v>
      </c>
      <c r="T18" s="179">
        <f t="shared" si="24"/>
        <v>1</v>
      </c>
      <c r="U18" s="179">
        <f t="shared" si="24"/>
        <v>0</v>
      </c>
      <c r="V18" s="179">
        <f t="shared" si="24"/>
        <v>0</v>
      </c>
      <c r="W18" s="179">
        <f t="shared" si="24"/>
        <v>0</v>
      </c>
      <c r="X18" s="179">
        <f t="shared" si="24"/>
        <v>0</v>
      </c>
      <c r="Y18" s="179">
        <f t="shared" si="24"/>
        <v>0</v>
      </c>
      <c r="Z18" s="179">
        <f t="shared" si="24"/>
        <v>0</v>
      </c>
      <c r="AA18" s="179">
        <f t="shared" si="24"/>
        <v>0</v>
      </c>
      <c r="AB18" s="179">
        <f t="shared" si="24"/>
        <v>0</v>
      </c>
      <c r="AC18" s="179">
        <f t="shared" si="24"/>
        <v>0</v>
      </c>
      <c r="AD18" s="179">
        <f t="shared" si="24"/>
        <v>0</v>
      </c>
      <c r="AE18" s="179">
        <f t="shared" si="24"/>
        <v>0</v>
      </c>
      <c r="AF18" s="179">
        <f t="shared" si="24"/>
        <v>0</v>
      </c>
      <c r="AH18" s="163"/>
      <c r="BL18" s="172"/>
      <c r="BM18" s="172"/>
      <c r="BN18" s="172"/>
      <c r="BO18" s="172"/>
      <c r="BP18" s="172"/>
      <c r="BQ18" s="172"/>
      <c r="BR18" s="172"/>
      <c r="BS18" s="172"/>
      <c r="BT18" s="172"/>
      <c r="BU18" s="172"/>
      <c r="BV18" s="172"/>
      <c r="BW18" s="172"/>
      <c r="BX18" s="172"/>
      <c r="BY18" s="172"/>
      <c r="BZ18" s="172"/>
      <c r="CA18" s="172"/>
      <c r="CB18" s="172"/>
      <c r="CC18" s="172"/>
      <c r="CD18" s="172"/>
      <c r="CE18" s="172"/>
      <c r="CF18" s="172"/>
      <c r="CG18" s="172"/>
      <c r="CH18" s="172"/>
      <c r="CI18" s="172"/>
      <c r="CJ18" s="172"/>
      <c r="CK18" s="172"/>
      <c r="CL18" s="172"/>
      <c r="CM18" s="172"/>
      <c r="CN18" s="172"/>
      <c r="CO18" s="172"/>
      <c r="CP18" s="172"/>
      <c r="CQ18" s="172"/>
      <c r="CR18" s="172"/>
      <c r="CS18" s="172"/>
      <c r="CT18" s="172"/>
      <c r="CU18" s="172"/>
      <c r="CV18" s="172"/>
      <c r="CW18" s="172"/>
      <c r="CX18" s="172"/>
      <c r="CY18" s="172"/>
      <c r="CZ18" s="172"/>
      <c r="DA18" s="172"/>
      <c r="DB18" s="172"/>
      <c r="DC18" s="172"/>
      <c r="DD18" s="172"/>
      <c r="DE18" s="172"/>
      <c r="DF18" s="172"/>
      <c r="DG18" s="172"/>
      <c r="DH18" s="172"/>
      <c r="DI18" s="172"/>
      <c r="DJ18" s="172"/>
      <c r="DK18" s="172"/>
      <c r="DL18" s="172"/>
      <c r="DM18" s="172"/>
      <c r="DN18" s="172"/>
      <c r="DO18" s="172"/>
      <c r="DP18" s="172"/>
      <c r="DQ18" s="172"/>
      <c r="DR18" s="172"/>
      <c r="DS18" s="172"/>
      <c r="DT18" s="172"/>
      <c r="DU18" s="172"/>
      <c r="DV18" s="172"/>
      <c r="DW18" s="172"/>
      <c r="DX18" s="172"/>
      <c r="DY18" s="172"/>
      <c r="DZ18" s="172"/>
      <c r="EA18" s="172"/>
      <c r="EB18" s="172"/>
      <c r="EC18" s="172"/>
      <c r="ED18" s="172"/>
      <c r="EE18" s="172"/>
    </row>
    <row r="19" spans="1:135" s="171" customFormat="1" ht="15.75" hidden="1" customHeight="1" thickBot="1" x14ac:dyDescent="0.3">
      <c r="A19" s="519" t="s">
        <v>20</v>
      </c>
      <c r="B19" s="179">
        <f t="shared" si="20"/>
        <v>0</v>
      </c>
      <c r="C19" s="179">
        <f t="shared" si="20"/>
        <v>0</v>
      </c>
      <c r="D19" s="179">
        <f t="shared" si="20"/>
        <v>0</v>
      </c>
      <c r="E19" s="179">
        <f t="shared" si="20"/>
        <v>0</v>
      </c>
      <c r="F19" s="179">
        <f t="shared" ref="F19" si="25">COUNTIF(F16,"&gt;0")</f>
        <v>0</v>
      </c>
      <c r="G19" s="179">
        <f t="shared" ref="G19:AF19" si="26">COUNTIF(G16,"&gt;0")</f>
        <v>0</v>
      </c>
      <c r="H19" s="179">
        <f t="shared" si="26"/>
        <v>0</v>
      </c>
      <c r="I19" s="179">
        <f t="shared" si="26"/>
        <v>0</v>
      </c>
      <c r="J19" s="179">
        <f t="shared" si="26"/>
        <v>0</v>
      </c>
      <c r="K19" s="179">
        <f t="shared" si="26"/>
        <v>0</v>
      </c>
      <c r="L19" s="179">
        <f t="shared" si="26"/>
        <v>0</v>
      </c>
      <c r="M19" s="179">
        <f t="shared" si="26"/>
        <v>0</v>
      </c>
      <c r="N19" s="179">
        <f t="shared" si="26"/>
        <v>0</v>
      </c>
      <c r="O19" s="179">
        <f t="shared" si="26"/>
        <v>0</v>
      </c>
      <c r="P19" s="179">
        <f t="shared" si="26"/>
        <v>0</v>
      </c>
      <c r="Q19" s="179">
        <f t="shared" si="26"/>
        <v>0</v>
      </c>
      <c r="R19" s="179">
        <f t="shared" si="26"/>
        <v>0</v>
      </c>
      <c r="S19" s="179">
        <f t="shared" si="26"/>
        <v>0</v>
      </c>
      <c r="T19" s="179">
        <f t="shared" si="26"/>
        <v>0</v>
      </c>
      <c r="U19" s="179">
        <f t="shared" si="26"/>
        <v>0</v>
      </c>
      <c r="V19" s="179">
        <f t="shared" si="26"/>
        <v>0</v>
      </c>
      <c r="W19" s="179">
        <f t="shared" si="26"/>
        <v>0</v>
      </c>
      <c r="X19" s="179">
        <f t="shared" si="26"/>
        <v>0</v>
      </c>
      <c r="Y19" s="179">
        <f t="shared" si="26"/>
        <v>0</v>
      </c>
      <c r="Z19" s="179">
        <f t="shared" si="26"/>
        <v>0</v>
      </c>
      <c r="AA19" s="179">
        <f t="shared" si="26"/>
        <v>0</v>
      </c>
      <c r="AB19" s="179">
        <f t="shared" si="26"/>
        <v>0</v>
      </c>
      <c r="AC19" s="179">
        <f t="shared" si="26"/>
        <v>0</v>
      </c>
      <c r="AD19" s="179">
        <f t="shared" si="26"/>
        <v>0</v>
      </c>
      <c r="AE19" s="179">
        <f t="shared" si="26"/>
        <v>0</v>
      </c>
      <c r="AF19" s="179">
        <f t="shared" si="26"/>
        <v>0</v>
      </c>
      <c r="AH19" s="163"/>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c r="DN19" s="172"/>
      <c r="DO19" s="172"/>
      <c r="DP19" s="172"/>
      <c r="DQ19" s="172"/>
      <c r="DR19" s="172"/>
      <c r="DS19" s="172"/>
      <c r="DT19" s="172"/>
      <c r="DU19" s="172"/>
      <c r="DV19" s="172"/>
      <c r="DW19" s="172"/>
      <c r="DX19" s="172"/>
      <c r="DY19" s="172"/>
      <c r="DZ19" s="172"/>
      <c r="EA19" s="172"/>
      <c r="EB19" s="172"/>
      <c r="EC19" s="172"/>
      <c r="ED19" s="172"/>
      <c r="EE19" s="172"/>
    </row>
    <row r="20" spans="1:135" s="171" customFormat="1" ht="20.100000000000001" customHeight="1" thickBot="1" x14ac:dyDescent="0.3">
      <c r="A20" s="616" t="s">
        <v>12</v>
      </c>
      <c r="B20" s="618">
        <f t="shared" ref="B20:E20" si="27">SUM(B17:B19)</f>
        <v>1</v>
      </c>
      <c r="C20" s="618">
        <f t="shared" si="27"/>
        <v>1</v>
      </c>
      <c r="D20" s="618">
        <f t="shared" si="27"/>
        <v>1</v>
      </c>
      <c r="E20" s="618">
        <f t="shared" si="27"/>
        <v>1</v>
      </c>
      <c r="F20" s="618">
        <f t="shared" ref="F20" si="28">SUM(F17:F19)</f>
        <v>1</v>
      </c>
      <c r="G20" s="618">
        <f t="shared" ref="G20:AF20" si="29">SUM(G17:G19)</f>
        <v>1</v>
      </c>
      <c r="H20" s="618">
        <f t="shared" si="29"/>
        <v>1</v>
      </c>
      <c r="I20" s="618">
        <f t="shared" si="29"/>
        <v>2</v>
      </c>
      <c r="J20" s="618">
        <f t="shared" si="29"/>
        <v>2</v>
      </c>
      <c r="K20" s="618">
        <f t="shared" si="29"/>
        <v>2</v>
      </c>
      <c r="L20" s="618">
        <f t="shared" si="29"/>
        <v>2</v>
      </c>
      <c r="M20" s="618">
        <f t="shared" si="29"/>
        <v>1</v>
      </c>
      <c r="N20" s="618">
        <f t="shared" si="29"/>
        <v>1</v>
      </c>
      <c r="O20" s="618">
        <f t="shared" si="29"/>
        <v>1</v>
      </c>
      <c r="P20" s="618">
        <f t="shared" si="29"/>
        <v>1</v>
      </c>
      <c r="Q20" s="618">
        <f t="shared" si="29"/>
        <v>1</v>
      </c>
      <c r="R20" s="618">
        <f t="shared" si="29"/>
        <v>1</v>
      </c>
      <c r="S20" s="618">
        <f t="shared" si="29"/>
        <v>2</v>
      </c>
      <c r="T20" s="618">
        <f t="shared" si="29"/>
        <v>2</v>
      </c>
      <c r="U20" s="618">
        <f t="shared" si="29"/>
        <v>1</v>
      </c>
      <c r="V20" s="618">
        <f t="shared" si="29"/>
        <v>1</v>
      </c>
      <c r="W20" s="618">
        <f t="shared" si="29"/>
        <v>1</v>
      </c>
      <c r="X20" s="618">
        <f t="shared" si="29"/>
        <v>1</v>
      </c>
      <c r="Y20" s="618">
        <f t="shared" si="29"/>
        <v>1</v>
      </c>
      <c r="Z20" s="618">
        <f t="shared" si="29"/>
        <v>1</v>
      </c>
      <c r="AA20" s="618">
        <f t="shared" si="29"/>
        <v>1</v>
      </c>
      <c r="AB20" s="618">
        <f t="shared" si="29"/>
        <v>1</v>
      </c>
      <c r="AC20" s="618">
        <f t="shared" si="29"/>
        <v>1</v>
      </c>
      <c r="AD20" s="618">
        <f t="shared" si="29"/>
        <v>1</v>
      </c>
      <c r="AE20" s="618">
        <f t="shared" si="29"/>
        <v>1</v>
      </c>
      <c r="AF20" s="618">
        <f t="shared" si="29"/>
        <v>1</v>
      </c>
      <c r="AH20" s="619">
        <f>SUM(B20:AF20)</f>
        <v>37</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ht="33.9" customHeight="1" x14ac:dyDescent="0.25">
      <c r="A22" s="588" t="s">
        <v>21</v>
      </c>
      <c r="B22" s="601">
        <v>1800</v>
      </c>
      <c r="C22" s="601">
        <v>2000</v>
      </c>
      <c r="D22" s="601">
        <v>1800</v>
      </c>
      <c r="E22" s="601">
        <v>1800</v>
      </c>
      <c r="F22" s="601">
        <v>1400</v>
      </c>
      <c r="G22" s="601">
        <v>1600</v>
      </c>
      <c r="H22" s="601">
        <v>2100</v>
      </c>
      <c r="I22" s="601">
        <v>3600</v>
      </c>
      <c r="J22" s="601">
        <v>5700</v>
      </c>
      <c r="K22" s="601">
        <v>6500</v>
      </c>
      <c r="L22" s="601">
        <v>4300</v>
      </c>
      <c r="M22" s="601">
        <v>1000</v>
      </c>
      <c r="N22" s="601">
        <v>500</v>
      </c>
      <c r="O22" s="601">
        <v>400</v>
      </c>
      <c r="P22" s="601">
        <v>400</v>
      </c>
      <c r="Q22" s="601">
        <v>400</v>
      </c>
      <c r="R22" s="601">
        <v>600</v>
      </c>
      <c r="S22" s="601">
        <v>2500</v>
      </c>
      <c r="T22" s="601">
        <v>3800</v>
      </c>
      <c r="U22" s="601">
        <v>1000</v>
      </c>
      <c r="V22" s="601">
        <v>400</v>
      </c>
      <c r="W22" s="601">
        <v>300</v>
      </c>
      <c r="X22" s="601">
        <v>300</v>
      </c>
      <c r="Y22" s="601">
        <v>400</v>
      </c>
      <c r="Z22" s="601">
        <v>1900</v>
      </c>
      <c r="AA22" s="601">
        <v>1100</v>
      </c>
      <c r="AB22" s="601">
        <v>400</v>
      </c>
      <c r="AC22" s="601">
        <v>400</v>
      </c>
      <c r="AD22" s="601">
        <v>400</v>
      </c>
      <c r="AE22" s="601">
        <v>300</v>
      </c>
      <c r="AF22" s="601">
        <v>350</v>
      </c>
      <c r="AG22" s="522"/>
      <c r="AH22" s="594">
        <f>SUM(B22:AG22)</f>
        <v>49450</v>
      </c>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row>
    <row r="23" spans="1:135" ht="33.9" customHeight="1" x14ac:dyDescent="0.25">
      <c r="A23" s="590" t="s">
        <v>22</v>
      </c>
      <c r="B23" s="602">
        <v>2800</v>
      </c>
      <c r="C23" s="602">
        <v>3400</v>
      </c>
      <c r="D23" s="602">
        <v>2900</v>
      </c>
      <c r="E23" s="602">
        <v>2600</v>
      </c>
      <c r="F23" s="602">
        <v>1800</v>
      </c>
      <c r="G23" s="602">
        <v>2800</v>
      </c>
      <c r="H23" s="602">
        <v>3800</v>
      </c>
      <c r="I23" s="602">
        <v>5700</v>
      </c>
      <c r="J23" s="602">
        <v>10000</v>
      </c>
      <c r="K23" s="602">
        <v>11500</v>
      </c>
      <c r="L23" s="602">
        <v>7300</v>
      </c>
      <c r="M23" s="602">
        <v>2000</v>
      </c>
      <c r="N23" s="602">
        <v>700</v>
      </c>
      <c r="O23" s="602">
        <v>800</v>
      </c>
      <c r="P23" s="602">
        <v>700</v>
      </c>
      <c r="Q23" s="602">
        <v>700</v>
      </c>
      <c r="R23" s="602">
        <v>900</v>
      </c>
      <c r="S23" s="602">
        <v>4100</v>
      </c>
      <c r="T23" s="602">
        <v>6100</v>
      </c>
      <c r="U23" s="602">
        <v>2300</v>
      </c>
      <c r="V23" s="602">
        <v>800</v>
      </c>
      <c r="W23" s="602">
        <v>800</v>
      </c>
      <c r="X23" s="602">
        <v>700</v>
      </c>
      <c r="Y23" s="602">
        <v>900</v>
      </c>
      <c r="Z23" s="602">
        <v>3100</v>
      </c>
      <c r="AA23" s="602">
        <v>1900</v>
      </c>
      <c r="AB23" s="602">
        <v>800</v>
      </c>
      <c r="AC23" s="602">
        <v>800</v>
      </c>
      <c r="AD23" s="602">
        <v>700</v>
      </c>
      <c r="AE23" s="602">
        <v>800</v>
      </c>
      <c r="AF23" s="602">
        <v>900</v>
      </c>
      <c r="AG23" s="522"/>
      <c r="AH23" s="595">
        <f t="shared" ref="AH23:AH32" si="30">SUM(B23:AG23)</f>
        <v>85100</v>
      </c>
    </row>
    <row r="24" spans="1:135" s="514" customFormat="1" ht="33.9" customHeight="1" x14ac:dyDescent="0.25">
      <c r="A24" s="592" t="s">
        <v>29</v>
      </c>
      <c r="B24" s="603">
        <v>4600</v>
      </c>
      <c r="C24" s="603">
        <v>5400</v>
      </c>
      <c r="D24" s="603">
        <v>4700</v>
      </c>
      <c r="E24" s="603">
        <v>4400</v>
      </c>
      <c r="F24" s="603">
        <v>3200</v>
      </c>
      <c r="G24" s="603">
        <v>4400</v>
      </c>
      <c r="H24" s="603">
        <v>5900</v>
      </c>
      <c r="I24" s="603">
        <v>9300</v>
      </c>
      <c r="J24" s="603">
        <v>15700</v>
      </c>
      <c r="K24" s="603">
        <v>18000</v>
      </c>
      <c r="L24" s="603">
        <v>11600</v>
      </c>
      <c r="M24" s="603">
        <v>3000</v>
      </c>
      <c r="N24" s="603">
        <v>1200</v>
      </c>
      <c r="O24" s="603">
        <v>1200</v>
      </c>
      <c r="P24" s="603">
        <v>1100</v>
      </c>
      <c r="Q24" s="603">
        <v>1100</v>
      </c>
      <c r="R24" s="603">
        <v>1500</v>
      </c>
      <c r="S24" s="603">
        <v>6600</v>
      </c>
      <c r="T24" s="603">
        <v>9900</v>
      </c>
      <c r="U24" s="603">
        <v>3300</v>
      </c>
      <c r="V24" s="603">
        <v>1200</v>
      </c>
      <c r="W24" s="603">
        <v>1100</v>
      </c>
      <c r="X24" s="603">
        <v>1000</v>
      </c>
      <c r="Y24" s="603">
        <v>1300</v>
      </c>
      <c r="Z24" s="603">
        <v>5000</v>
      </c>
      <c r="AA24" s="603">
        <v>3000</v>
      </c>
      <c r="AB24" s="603">
        <v>1200</v>
      </c>
      <c r="AC24" s="603">
        <v>1200</v>
      </c>
      <c r="AD24" s="603">
        <v>1100</v>
      </c>
      <c r="AE24" s="603">
        <v>1100</v>
      </c>
      <c r="AF24" s="603">
        <v>1250</v>
      </c>
      <c r="AG24" s="513"/>
      <c r="AH24" s="596">
        <f t="shared" si="30"/>
        <v>134550</v>
      </c>
    </row>
    <row r="25" spans="1:135" ht="33.9" customHeight="1" x14ac:dyDescent="0.25">
      <c r="A25" s="588" t="s">
        <v>43</v>
      </c>
      <c r="B25" s="601">
        <v>25</v>
      </c>
      <c r="C25" s="601">
        <v>0</v>
      </c>
      <c r="D25" s="601">
        <v>0</v>
      </c>
      <c r="E25" s="601">
        <v>210</v>
      </c>
      <c r="F25" s="601">
        <v>120</v>
      </c>
      <c r="G25" s="601">
        <v>0</v>
      </c>
      <c r="H25" s="601">
        <v>40</v>
      </c>
      <c r="I25" s="601">
        <v>200</v>
      </c>
      <c r="J25" s="601">
        <v>790</v>
      </c>
      <c r="K25" s="601">
        <v>810</v>
      </c>
      <c r="L25" s="601">
        <v>480</v>
      </c>
      <c r="M25" s="601">
        <v>130</v>
      </c>
      <c r="N25" s="601">
        <v>0</v>
      </c>
      <c r="O25" s="601">
        <v>0</v>
      </c>
      <c r="P25" s="601">
        <v>0</v>
      </c>
      <c r="Q25" s="601">
        <v>0</v>
      </c>
      <c r="R25" s="601">
        <v>50</v>
      </c>
      <c r="S25" s="601">
        <v>1580</v>
      </c>
      <c r="T25" s="601">
        <v>2300</v>
      </c>
      <c r="U25" s="601">
        <v>480</v>
      </c>
      <c r="V25" s="601">
        <v>0</v>
      </c>
      <c r="W25" s="601">
        <v>0</v>
      </c>
      <c r="X25" s="601">
        <v>40</v>
      </c>
      <c r="Y25" s="601">
        <v>70</v>
      </c>
      <c r="Z25" s="601">
        <v>1550</v>
      </c>
      <c r="AA25" s="601">
        <v>770</v>
      </c>
      <c r="AB25" s="601">
        <v>0</v>
      </c>
      <c r="AC25" s="601">
        <v>60</v>
      </c>
      <c r="AD25" s="601">
        <v>30</v>
      </c>
      <c r="AE25" s="601">
        <v>50</v>
      </c>
      <c r="AF25" s="601">
        <v>20</v>
      </c>
      <c r="AG25" s="522"/>
      <c r="AH25" s="594">
        <f t="shared" si="30"/>
        <v>9805</v>
      </c>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row>
    <row r="26" spans="1:135" ht="33.9" customHeight="1" x14ac:dyDescent="0.25">
      <c r="A26" s="590" t="s">
        <v>44</v>
      </c>
      <c r="B26" s="602">
        <v>180</v>
      </c>
      <c r="C26" s="602">
        <v>1020</v>
      </c>
      <c r="D26" s="602">
        <v>1090</v>
      </c>
      <c r="E26" s="602">
        <v>270</v>
      </c>
      <c r="F26" s="602">
        <v>140</v>
      </c>
      <c r="G26" s="602">
        <v>1150</v>
      </c>
      <c r="H26" s="602">
        <v>1710</v>
      </c>
      <c r="I26" s="602">
        <v>0</v>
      </c>
      <c r="J26" s="602">
        <v>0</v>
      </c>
      <c r="K26" s="602">
        <v>0</v>
      </c>
      <c r="L26" s="602">
        <v>0</v>
      </c>
      <c r="M26" s="602">
        <v>50</v>
      </c>
      <c r="N26" s="602">
        <v>940</v>
      </c>
      <c r="O26" s="602">
        <v>2130</v>
      </c>
      <c r="P26" s="602">
        <v>1730</v>
      </c>
      <c r="Q26" s="602">
        <v>1960</v>
      </c>
      <c r="R26" s="602">
        <v>1080</v>
      </c>
      <c r="S26" s="602">
        <v>0</v>
      </c>
      <c r="T26" s="602">
        <v>0</v>
      </c>
      <c r="U26" s="602">
        <v>50</v>
      </c>
      <c r="V26" s="602">
        <v>1110</v>
      </c>
      <c r="W26" s="602">
        <v>1290</v>
      </c>
      <c r="X26" s="602">
        <v>1740</v>
      </c>
      <c r="Y26" s="602">
        <v>1580</v>
      </c>
      <c r="Z26" s="602">
        <v>240</v>
      </c>
      <c r="AA26" s="602">
        <v>170</v>
      </c>
      <c r="AB26" s="602">
        <v>820</v>
      </c>
      <c r="AC26" s="602">
        <v>1940</v>
      </c>
      <c r="AD26" s="602">
        <v>1710</v>
      </c>
      <c r="AE26" s="602">
        <v>1790</v>
      </c>
      <c r="AF26" s="602">
        <v>1800</v>
      </c>
      <c r="AG26" s="522"/>
      <c r="AH26" s="595">
        <f t="shared" si="30"/>
        <v>27690</v>
      </c>
    </row>
    <row r="27" spans="1:135" s="514" customFormat="1" ht="33.9" customHeight="1" x14ac:dyDescent="0.25">
      <c r="A27" s="592" t="s">
        <v>14</v>
      </c>
      <c r="B27" s="603">
        <v>205</v>
      </c>
      <c r="C27" s="603">
        <v>1020</v>
      </c>
      <c r="D27" s="603">
        <v>1090</v>
      </c>
      <c r="E27" s="603">
        <v>480</v>
      </c>
      <c r="F27" s="603">
        <v>260</v>
      </c>
      <c r="G27" s="603">
        <v>1150</v>
      </c>
      <c r="H27" s="603">
        <v>1750</v>
      </c>
      <c r="I27" s="603">
        <v>200</v>
      </c>
      <c r="J27" s="603">
        <v>790</v>
      </c>
      <c r="K27" s="603">
        <v>810</v>
      </c>
      <c r="L27" s="603">
        <v>480</v>
      </c>
      <c r="M27" s="603">
        <v>180</v>
      </c>
      <c r="N27" s="603">
        <v>940</v>
      </c>
      <c r="O27" s="603">
        <v>2130</v>
      </c>
      <c r="P27" s="603">
        <v>1730</v>
      </c>
      <c r="Q27" s="603">
        <v>1960</v>
      </c>
      <c r="R27" s="603">
        <v>1130</v>
      </c>
      <c r="S27" s="603">
        <v>1580</v>
      </c>
      <c r="T27" s="603">
        <v>2300</v>
      </c>
      <c r="U27" s="603">
        <v>530</v>
      </c>
      <c r="V27" s="603">
        <v>1110</v>
      </c>
      <c r="W27" s="603">
        <v>1290</v>
      </c>
      <c r="X27" s="603">
        <v>1780</v>
      </c>
      <c r="Y27" s="603">
        <v>1650</v>
      </c>
      <c r="Z27" s="603">
        <v>1790</v>
      </c>
      <c r="AA27" s="603">
        <v>940</v>
      </c>
      <c r="AB27" s="603">
        <v>820</v>
      </c>
      <c r="AC27" s="603">
        <v>2000</v>
      </c>
      <c r="AD27" s="603">
        <v>1740</v>
      </c>
      <c r="AE27" s="603">
        <v>1840</v>
      </c>
      <c r="AF27" s="603">
        <v>1820</v>
      </c>
      <c r="AG27" s="513"/>
      <c r="AH27" s="596">
        <f t="shared" si="30"/>
        <v>37495</v>
      </c>
    </row>
    <row r="28" spans="1:135" ht="33.9" customHeight="1" x14ac:dyDescent="0.25">
      <c r="A28" s="588" t="s">
        <v>23</v>
      </c>
      <c r="B28" s="601">
        <v>40</v>
      </c>
      <c r="C28" s="601">
        <v>40</v>
      </c>
      <c r="D28" s="601">
        <v>30</v>
      </c>
      <c r="E28" s="601">
        <v>80</v>
      </c>
      <c r="F28" s="601">
        <v>90</v>
      </c>
      <c r="G28" s="601">
        <v>110</v>
      </c>
      <c r="H28" s="601">
        <v>140</v>
      </c>
      <c r="I28" s="601">
        <v>250</v>
      </c>
      <c r="J28" s="601">
        <v>330</v>
      </c>
      <c r="K28" s="601">
        <v>190</v>
      </c>
      <c r="L28" s="601">
        <v>240</v>
      </c>
      <c r="M28" s="601">
        <v>100</v>
      </c>
      <c r="N28" s="601">
        <v>40</v>
      </c>
      <c r="O28" s="601">
        <v>40</v>
      </c>
      <c r="P28" s="601">
        <v>40</v>
      </c>
      <c r="Q28" s="601">
        <v>40</v>
      </c>
      <c r="R28" s="601">
        <v>40</v>
      </c>
      <c r="S28" s="601">
        <v>190</v>
      </c>
      <c r="T28" s="601">
        <v>280</v>
      </c>
      <c r="U28" s="601">
        <v>130</v>
      </c>
      <c r="V28" s="601">
        <v>60</v>
      </c>
      <c r="W28" s="601">
        <v>40</v>
      </c>
      <c r="X28" s="601">
        <v>40</v>
      </c>
      <c r="Y28" s="601">
        <v>40</v>
      </c>
      <c r="Z28" s="601">
        <v>130</v>
      </c>
      <c r="AA28" s="601">
        <v>110</v>
      </c>
      <c r="AB28" s="601">
        <v>60</v>
      </c>
      <c r="AC28" s="601">
        <v>90</v>
      </c>
      <c r="AD28" s="601">
        <v>90</v>
      </c>
      <c r="AE28" s="601">
        <v>90</v>
      </c>
      <c r="AF28" s="601">
        <v>90</v>
      </c>
      <c r="AG28" s="522"/>
      <c r="AH28" s="594">
        <f t="shared" si="30"/>
        <v>3280</v>
      </c>
      <c r="AI28" s="1">
        <v>47.058823529411768</v>
      </c>
      <c r="AJ28" s="1">
        <v>47.058823529411768</v>
      </c>
      <c r="AK28" s="1">
        <v>56.470588235294116</v>
      </c>
      <c r="AL28" s="1">
        <v>112.94117647058823</v>
      </c>
      <c r="AM28" s="1">
        <v>47.058823529411768</v>
      </c>
      <c r="AN28" s="1">
        <v>47.058823529411768</v>
      </c>
      <c r="AO28" s="1">
        <v>47.058823529411768</v>
      </c>
      <c r="AP28" s="1">
        <v>47.058823529411768</v>
      </c>
      <c r="AQ28" s="1">
        <v>47.058823529411768</v>
      </c>
      <c r="AR28" s="1">
        <v>37.647058823529413</v>
      </c>
      <c r="AS28" s="1">
        <v>94.117647058823536</v>
      </c>
      <c r="AT28" s="1">
        <v>65.882352941176464</v>
      </c>
      <c r="AU28" s="1">
        <v>65.882352941176464</v>
      </c>
      <c r="AV28" s="1">
        <v>65.882352941176464</v>
      </c>
      <c r="AW28" s="1">
        <v>65.882352941176464</v>
      </c>
      <c r="AX28" s="1">
        <v>65.882352941176464</v>
      </c>
      <c r="AY28" s="1">
        <v>65.882352941176464</v>
      </c>
      <c r="AZ28" s="1">
        <v>94.117647058823536</v>
      </c>
      <c r="BA28" s="1">
        <v>70.588235294117652</v>
      </c>
      <c r="BB28" s="1">
        <v>70.588235294117652</v>
      </c>
      <c r="BC28" s="1">
        <v>70.588235294117652</v>
      </c>
      <c r="BD28" s="1">
        <v>70.588235294117652</v>
      </c>
      <c r="BE28" s="1">
        <v>70.588235294117652</v>
      </c>
      <c r="BF28" s="1">
        <v>70.588235294117652</v>
      </c>
      <c r="BG28" s="1">
        <v>94.117647058823536</v>
      </c>
      <c r="BH28" s="1">
        <v>47.058823529411768</v>
      </c>
      <c r="BI28" s="1">
        <v>70.588235294117652</v>
      </c>
      <c r="BJ28" s="1">
        <v>70.588235294117652</v>
      </c>
      <c r="BK28" s="1">
        <v>70.588235294117652</v>
      </c>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row>
    <row r="29" spans="1:135" ht="33.9" customHeight="1" x14ac:dyDescent="0.25">
      <c r="A29" s="590" t="s">
        <v>26</v>
      </c>
      <c r="B29" s="602">
        <v>50</v>
      </c>
      <c r="C29" s="602">
        <v>50</v>
      </c>
      <c r="D29" s="602">
        <v>40</v>
      </c>
      <c r="E29" s="602">
        <v>90</v>
      </c>
      <c r="F29" s="602">
        <v>110</v>
      </c>
      <c r="G29" s="602">
        <v>80</v>
      </c>
      <c r="H29" s="602">
        <v>100</v>
      </c>
      <c r="I29" s="602">
        <v>180</v>
      </c>
      <c r="J29" s="602">
        <v>250</v>
      </c>
      <c r="K29" s="602">
        <v>160</v>
      </c>
      <c r="L29" s="602">
        <v>170</v>
      </c>
      <c r="M29" s="602">
        <v>70</v>
      </c>
      <c r="N29" s="602">
        <v>30</v>
      </c>
      <c r="O29" s="602">
        <v>30</v>
      </c>
      <c r="P29" s="602">
        <v>30</v>
      </c>
      <c r="Q29" s="602">
        <v>30</v>
      </c>
      <c r="R29" s="602">
        <v>30</v>
      </c>
      <c r="S29" s="602">
        <v>180</v>
      </c>
      <c r="T29" s="602">
        <v>200</v>
      </c>
      <c r="U29" s="602">
        <v>90</v>
      </c>
      <c r="V29" s="602">
        <v>40</v>
      </c>
      <c r="W29" s="602">
        <v>30</v>
      </c>
      <c r="X29" s="602">
        <v>30</v>
      </c>
      <c r="Y29" s="602">
        <v>30</v>
      </c>
      <c r="Z29" s="602">
        <v>120</v>
      </c>
      <c r="AA29" s="602">
        <v>110</v>
      </c>
      <c r="AB29" s="602">
        <v>40</v>
      </c>
      <c r="AC29" s="602">
        <v>40</v>
      </c>
      <c r="AD29" s="602">
        <v>40</v>
      </c>
      <c r="AE29" s="602">
        <v>30</v>
      </c>
      <c r="AF29" s="602">
        <v>40</v>
      </c>
      <c r="AG29" s="522"/>
      <c r="AH29" s="595">
        <f t="shared" si="30"/>
        <v>2520</v>
      </c>
      <c r="AI29" s="1">
        <v>18.823529411764707</v>
      </c>
      <c r="AJ29" s="1">
        <v>18.823529411764707</v>
      </c>
      <c r="AK29" s="1">
        <v>9.4117647058823533</v>
      </c>
      <c r="AL29" s="1">
        <v>47.058823529411768</v>
      </c>
      <c r="AM29" s="1">
        <v>56.470588235294116</v>
      </c>
      <c r="AN29" s="1">
        <v>14.117647058823529</v>
      </c>
      <c r="AO29" s="1">
        <v>14.117647058823529</v>
      </c>
      <c r="AP29" s="1">
        <v>14.117647058823529</v>
      </c>
      <c r="AQ29" s="1">
        <v>14.117647058823529</v>
      </c>
      <c r="AR29" s="1">
        <v>14.117647058823529</v>
      </c>
      <c r="AS29" s="1">
        <v>56.470588235294116</v>
      </c>
      <c r="AT29" s="1">
        <v>37.647058823529413</v>
      </c>
      <c r="AU29" s="1">
        <v>9.4117647058823533</v>
      </c>
      <c r="AV29" s="1">
        <v>9.4117647058823533</v>
      </c>
      <c r="AW29" s="1">
        <v>9.4117647058823533</v>
      </c>
      <c r="AX29" s="1">
        <v>9.4117647058823533</v>
      </c>
      <c r="AY29" s="1">
        <v>9.4117647058823533</v>
      </c>
      <c r="AZ29" s="1">
        <v>47.058823529411768</v>
      </c>
      <c r="BA29" s="1">
        <v>37.647058823529413</v>
      </c>
      <c r="BB29" s="1">
        <v>14.117647058823529</v>
      </c>
      <c r="BC29" s="1">
        <v>9.4117647058823533</v>
      </c>
      <c r="BD29" s="1">
        <v>18.823529411764707</v>
      </c>
      <c r="BE29" s="1">
        <v>18.823529411764707</v>
      </c>
      <c r="BF29" s="1">
        <v>14.117647058823529</v>
      </c>
      <c r="BG29" s="1">
        <v>37.647058823529413</v>
      </c>
      <c r="BH29" s="1">
        <v>47.058823529411768</v>
      </c>
      <c r="BI29" s="1">
        <v>37.647058823529413</v>
      </c>
      <c r="BJ29" s="1">
        <v>23.529411764705884</v>
      </c>
      <c r="BK29" s="1">
        <v>37.647058823529413</v>
      </c>
    </row>
    <row r="30" spans="1:135" ht="33.9" customHeight="1" x14ac:dyDescent="0.25">
      <c r="A30" s="588" t="s">
        <v>24</v>
      </c>
      <c r="B30" s="601">
        <v>0</v>
      </c>
      <c r="C30" s="601">
        <v>0</v>
      </c>
      <c r="D30" s="601">
        <v>0</v>
      </c>
      <c r="E30" s="601">
        <v>0</v>
      </c>
      <c r="F30" s="601">
        <v>0</v>
      </c>
      <c r="G30" s="601">
        <v>0</v>
      </c>
      <c r="H30" s="601">
        <v>0</v>
      </c>
      <c r="I30" s="601">
        <v>0</v>
      </c>
      <c r="J30" s="601">
        <v>0</v>
      </c>
      <c r="K30" s="601">
        <v>0</v>
      </c>
      <c r="L30" s="601">
        <v>0</v>
      </c>
      <c r="M30" s="601">
        <v>0</v>
      </c>
      <c r="N30" s="601">
        <v>0</v>
      </c>
      <c r="O30" s="601">
        <v>28</v>
      </c>
      <c r="P30" s="601">
        <v>40</v>
      </c>
      <c r="Q30" s="601">
        <v>135</v>
      </c>
      <c r="R30" s="601">
        <v>120</v>
      </c>
      <c r="S30" s="601">
        <v>300</v>
      </c>
      <c r="T30" s="601">
        <v>40</v>
      </c>
      <c r="U30" s="601">
        <v>40</v>
      </c>
      <c r="V30" s="601">
        <v>0</v>
      </c>
      <c r="W30" s="601">
        <v>230</v>
      </c>
      <c r="X30" s="601">
        <v>80</v>
      </c>
      <c r="Y30" s="601">
        <v>80</v>
      </c>
      <c r="Z30" s="601">
        <v>0</v>
      </c>
      <c r="AA30" s="601">
        <v>0</v>
      </c>
      <c r="AB30" s="601">
        <v>95</v>
      </c>
      <c r="AC30" s="601">
        <v>320</v>
      </c>
      <c r="AD30" s="601">
        <v>170</v>
      </c>
      <c r="AE30" s="601">
        <v>450</v>
      </c>
      <c r="AF30" s="601">
        <v>100</v>
      </c>
      <c r="AG30" s="522"/>
      <c r="AH30" s="594">
        <f t="shared" si="30"/>
        <v>2228</v>
      </c>
      <c r="AI30" s="1">
        <v>18.823529411764707</v>
      </c>
      <c r="AJ30" s="1">
        <v>376.47058823529414</v>
      </c>
      <c r="AK30" s="1">
        <v>800</v>
      </c>
      <c r="AL30" s="1">
        <v>423.52941176470586</v>
      </c>
      <c r="AM30" s="1">
        <v>0</v>
      </c>
      <c r="AN30" s="1">
        <v>1129.4117647058824</v>
      </c>
      <c r="AO30" s="1">
        <v>28.235294117647058</v>
      </c>
      <c r="AP30" s="1">
        <v>37.647058823529413</v>
      </c>
      <c r="AQ30" s="1">
        <v>141.1764705882353</v>
      </c>
      <c r="AR30" s="1">
        <v>94.117647058823536</v>
      </c>
      <c r="AS30" s="1">
        <v>282.35294117647061</v>
      </c>
      <c r="AT30" s="1">
        <v>75.294117647058826</v>
      </c>
      <c r="AU30" s="1">
        <v>14.117647058823529</v>
      </c>
      <c r="AV30" s="1">
        <v>0</v>
      </c>
      <c r="AW30" s="1">
        <v>207.05882352941177</v>
      </c>
      <c r="AX30" s="1">
        <v>301.1764705882353</v>
      </c>
      <c r="AY30" s="1">
        <v>56.470588235294116</v>
      </c>
      <c r="AZ30" s="1">
        <v>329.41176470588238</v>
      </c>
      <c r="BA30" s="1">
        <v>94.117647058823536</v>
      </c>
      <c r="BB30" s="1">
        <v>18.823529411764707</v>
      </c>
      <c r="BC30" s="1">
        <v>18.823529411764707</v>
      </c>
      <c r="BD30" s="1">
        <v>47.058823529411768</v>
      </c>
      <c r="BE30" s="1">
        <v>47.058823529411768</v>
      </c>
      <c r="BF30" s="1">
        <v>188.23529411764707</v>
      </c>
      <c r="BG30" s="1">
        <v>94.117647058823536</v>
      </c>
      <c r="BH30" s="1">
        <v>94.117647058823536</v>
      </c>
      <c r="BI30" s="1">
        <v>28.235294117647058</v>
      </c>
      <c r="BJ30" s="1">
        <v>65.882352941176464</v>
      </c>
      <c r="BK30" s="1">
        <v>28.235294117647058</v>
      </c>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row>
    <row r="31" spans="1:135" s="3" customFormat="1" ht="33.75" customHeight="1" x14ac:dyDescent="0.25">
      <c r="A31" s="590" t="s">
        <v>25</v>
      </c>
      <c r="B31" s="602">
        <v>360</v>
      </c>
      <c r="C31" s="602">
        <v>110</v>
      </c>
      <c r="D31" s="602">
        <v>190</v>
      </c>
      <c r="E31" s="602">
        <v>260</v>
      </c>
      <c r="F31" s="602">
        <v>300</v>
      </c>
      <c r="G31" s="602">
        <v>120</v>
      </c>
      <c r="H31" s="602">
        <v>120</v>
      </c>
      <c r="I31" s="602">
        <v>130</v>
      </c>
      <c r="J31" s="602">
        <v>230</v>
      </c>
      <c r="K31" s="602">
        <v>400</v>
      </c>
      <c r="L31" s="602">
        <v>360</v>
      </c>
      <c r="M31" s="602">
        <v>140</v>
      </c>
      <c r="N31" s="602">
        <v>70</v>
      </c>
      <c r="O31" s="602">
        <v>60</v>
      </c>
      <c r="P31" s="602">
        <v>150</v>
      </c>
      <c r="Q31" s="602">
        <v>50</v>
      </c>
      <c r="R31" s="602">
        <v>90</v>
      </c>
      <c r="S31" s="602">
        <v>230</v>
      </c>
      <c r="T31" s="602">
        <v>250</v>
      </c>
      <c r="U31" s="602">
        <v>140</v>
      </c>
      <c r="V31" s="602">
        <v>60</v>
      </c>
      <c r="W31" s="602">
        <v>60</v>
      </c>
      <c r="X31" s="602">
        <v>150</v>
      </c>
      <c r="Y31" s="602">
        <v>100</v>
      </c>
      <c r="Z31" s="602">
        <v>300</v>
      </c>
      <c r="AA31" s="602">
        <v>180</v>
      </c>
      <c r="AB31" s="602">
        <v>150</v>
      </c>
      <c r="AC31" s="602">
        <v>100</v>
      </c>
      <c r="AD31" s="602">
        <v>70</v>
      </c>
      <c r="AE31" s="602">
        <v>180</v>
      </c>
      <c r="AF31" s="602">
        <v>140</v>
      </c>
      <c r="AG31" s="522"/>
      <c r="AH31" s="595">
        <f t="shared" si="30"/>
        <v>5250</v>
      </c>
      <c r="AI31" s="3">
        <v>37.647058823529413</v>
      </c>
      <c r="AJ31" s="3">
        <v>28.235294117647058</v>
      </c>
      <c r="AK31" s="3">
        <v>75.294117647058826</v>
      </c>
      <c r="AL31" s="3">
        <v>470.58823529411762</v>
      </c>
      <c r="AM31" s="3">
        <v>122.35294117647059</v>
      </c>
      <c r="AN31" s="3">
        <v>32.941176470588232</v>
      </c>
      <c r="AO31" s="3">
        <v>56.470588235294116</v>
      </c>
      <c r="AP31" s="3">
        <v>51.764705882352942</v>
      </c>
      <c r="AQ31" s="3">
        <v>117.64705882352941</v>
      </c>
      <c r="AR31" s="3">
        <v>103.52941176470588</v>
      </c>
      <c r="AS31" s="3">
        <v>254.11764705882354</v>
      </c>
      <c r="AT31" s="3">
        <v>178.8235294117647</v>
      </c>
      <c r="AU31" s="3">
        <v>51.764705882352942</v>
      </c>
      <c r="AV31" s="3">
        <v>230.58823529411765</v>
      </c>
      <c r="AW31" s="3">
        <v>94.117647058823536</v>
      </c>
      <c r="AX31" s="3">
        <v>400</v>
      </c>
      <c r="AY31" s="3">
        <v>84.705882352941174</v>
      </c>
      <c r="AZ31" s="3">
        <v>3223.5294117647059</v>
      </c>
      <c r="BA31" s="3">
        <v>258.8235294117647</v>
      </c>
      <c r="BB31" s="3">
        <v>70.588235294117652</v>
      </c>
      <c r="BC31" s="3">
        <v>117.64705882352941</v>
      </c>
      <c r="BD31" s="3">
        <v>75.294117647058826</v>
      </c>
      <c r="BE31" s="3">
        <v>136.47058823529412</v>
      </c>
      <c r="BF31" s="3">
        <v>141.1764705882353</v>
      </c>
      <c r="BG31" s="3">
        <v>320</v>
      </c>
      <c r="BH31" s="3">
        <v>352.94117647058823</v>
      </c>
      <c r="BI31" s="3">
        <v>225.88235294117646</v>
      </c>
      <c r="BJ31" s="3">
        <v>150.58823529411765</v>
      </c>
      <c r="BK31" s="3">
        <v>141.1764705882353</v>
      </c>
    </row>
    <row r="32" spans="1:135" s="514" customFormat="1" ht="33.9" customHeight="1" x14ac:dyDescent="0.25">
      <c r="A32" s="592" t="s">
        <v>30</v>
      </c>
      <c r="B32" s="603">
        <v>450</v>
      </c>
      <c r="C32" s="603">
        <v>200</v>
      </c>
      <c r="D32" s="603">
        <v>260</v>
      </c>
      <c r="E32" s="603">
        <v>430</v>
      </c>
      <c r="F32" s="603">
        <v>500</v>
      </c>
      <c r="G32" s="603">
        <v>310</v>
      </c>
      <c r="H32" s="603">
        <v>360</v>
      </c>
      <c r="I32" s="603">
        <v>560</v>
      </c>
      <c r="J32" s="603">
        <v>810</v>
      </c>
      <c r="K32" s="603">
        <v>750</v>
      </c>
      <c r="L32" s="603">
        <v>770</v>
      </c>
      <c r="M32" s="603">
        <v>310</v>
      </c>
      <c r="N32" s="603">
        <v>140</v>
      </c>
      <c r="O32" s="603">
        <v>158</v>
      </c>
      <c r="P32" s="603">
        <v>260</v>
      </c>
      <c r="Q32" s="603">
        <v>255</v>
      </c>
      <c r="R32" s="603">
        <v>280</v>
      </c>
      <c r="S32" s="603">
        <v>900</v>
      </c>
      <c r="T32" s="603">
        <v>770</v>
      </c>
      <c r="U32" s="603">
        <v>400</v>
      </c>
      <c r="V32" s="603">
        <v>160</v>
      </c>
      <c r="W32" s="603">
        <v>360</v>
      </c>
      <c r="X32" s="603">
        <v>300</v>
      </c>
      <c r="Y32" s="603">
        <v>250</v>
      </c>
      <c r="Z32" s="603">
        <v>550</v>
      </c>
      <c r="AA32" s="603">
        <v>400</v>
      </c>
      <c r="AB32" s="603">
        <v>345</v>
      </c>
      <c r="AC32" s="603">
        <v>550</v>
      </c>
      <c r="AD32" s="603">
        <v>370</v>
      </c>
      <c r="AE32" s="603">
        <v>750</v>
      </c>
      <c r="AF32" s="603">
        <v>370</v>
      </c>
      <c r="AG32" s="513"/>
      <c r="AH32" s="596">
        <f t="shared" si="30"/>
        <v>13278</v>
      </c>
    </row>
    <row r="33" spans="1:256"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+B32+B27+B24</f>
        <v>5255</v>
      </c>
      <c r="C34" s="599">
        <f t="shared" ref="C34:AF34" si="31">+C32+C27+C24</f>
        <v>6620</v>
      </c>
      <c r="D34" s="599">
        <f t="shared" si="31"/>
        <v>6050</v>
      </c>
      <c r="E34" s="599">
        <f t="shared" si="31"/>
        <v>5310</v>
      </c>
      <c r="F34" s="599">
        <f t="shared" si="31"/>
        <v>3960</v>
      </c>
      <c r="G34" s="599">
        <f t="shared" si="31"/>
        <v>5860</v>
      </c>
      <c r="H34" s="599">
        <f t="shared" si="31"/>
        <v>8010</v>
      </c>
      <c r="I34" s="599">
        <f t="shared" si="31"/>
        <v>10060</v>
      </c>
      <c r="J34" s="599">
        <f t="shared" si="31"/>
        <v>17300</v>
      </c>
      <c r="K34" s="599">
        <f t="shared" si="31"/>
        <v>19560</v>
      </c>
      <c r="L34" s="599">
        <f t="shared" si="31"/>
        <v>12850</v>
      </c>
      <c r="M34" s="599">
        <f t="shared" si="31"/>
        <v>3490</v>
      </c>
      <c r="N34" s="599">
        <f t="shared" si="31"/>
        <v>2280</v>
      </c>
      <c r="O34" s="599">
        <f t="shared" si="31"/>
        <v>3488</v>
      </c>
      <c r="P34" s="599">
        <f t="shared" si="31"/>
        <v>3090</v>
      </c>
      <c r="Q34" s="599">
        <f t="shared" si="31"/>
        <v>3315</v>
      </c>
      <c r="R34" s="599">
        <f t="shared" si="31"/>
        <v>2910</v>
      </c>
      <c r="S34" s="599">
        <f t="shared" si="31"/>
        <v>9080</v>
      </c>
      <c r="T34" s="599">
        <f t="shared" si="31"/>
        <v>12970</v>
      </c>
      <c r="U34" s="599">
        <f t="shared" si="31"/>
        <v>4230</v>
      </c>
      <c r="V34" s="599">
        <f t="shared" si="31"/>
        <v>2470</v>
      </c>
      <c r="W34" s="599">
        <f t="shared" si="31"/>
        <v>2750</v>
      </c>
      <c r="X34" s="599">
        <f t="shared" si="31"/>
        <v>3080</v>
      </c>
      <c r="Y34" s="599">
        <f t="shared" si="31"/>
        <v>3200</v>
      </c>
      <c r="Z34" s="599">
        <f t="shared" si="31"/>
        <v>7340</v>
      </c>
      <c r="AA34" s="599">
        <f t="shared" si="31"/>
        <v>4340</v>
      </c>
      <c r="AB34" s="599">
        <f t="shared" si="31"/>
        <v>2365</v>
      </c>
      <c r="AC34" s="599">
        <f t="shared" si="31"/>
        <v>3750</v>
      </c>
      <c r="AD34" s="599">
        <f t="shared" si="31"/>
        <v>3210</v>
      </c>
      <c r="AE34" s="599">
        <f t="shared" si="31"/>
        <v>3690</v>
      </c>
      <c r="AF34" s="599">
        <f t="shared" si="31"/>
        <v>3440</v>
      </c>
      <c r="AG34" s="586"/>
      <c r="AH34" s="597">
        <f>SUM(B34:AF34)</f>
        <v>185323</v>
      </c>
    </row>
    <row r="35" spans="1:256"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c r="AH35" s="38"/>
    </row>
    <row r="36" spans="1:256" s="42" customFormat="1" ht="3" customHeight="1" x14ac:dyDescent="0.25">
      <c r="A36" s="534"/>
      <c r="B36" s="536"/>
      <c r="C36" s="536"/>
      <c r="D36" s="536"/>
      <c r="E36" s="536"/>
      <c r="F36" s="536"/>
      <c r="G36" s="536"/>
      <c r="H36" s="536"/>
      <c r="I36" s="536"/>
      <c r="J36" s="536"/>
      <c r="K36" s="536"/>
      <c r="L36" s="536"/>
      <c r="M36" s="536"/>
      <c r="N36" s="536"/>
      <c r="O36" s="536"/>
      <c r="P36" s="536"/>
      <c r="Q36" s="536"/>
      <c r="R36" s="536"/>
      <c r="S36" s="536"/>
      <c r="T36" s="536"/>
      <c r="U36" s="536"/>
      <c r="V36" s="536"/>
      <c r="W36" s="536"/>
      <c r="X36" s="536"/>
      <c r="Y36" s="536"/>
      <c r="Z36" s="536"/>
      <c r="AA36" s="536"/>
      <c r="AB36" s="536"/>
      <c r="AC36" s="536"/>
      <c r="AD36" s="536"/>
      <c r="AE36" s="536"/>
      <c r="AF36" s="536"/>
      <c r="AG36"/>
      <c r="AH36" s="2"/>
    </row>
    <row r="37" spans="1:256" s="549" customFormat="1" ht="16.2" x14ac:dyDescent="0.25">
      <c r="A37" s="540" t="s">
        <v>17</v>
      </c>
      <c r="B37" s="541">
        <v>0.90416666666666667</v>
      </c>
      <c r="C37" s="541">
        <v>0.90486111111111101</v>
      </c>
      <c r="D37" s="541">
        <v>0.90625</v>
      </c>
      <c r="E37" s="541">
        <v>0.90694444444444444</v>
      </c>
      <c r="F37" s="541">
        <v>0.90833333333333333</v>
      </c>
      <c r="G37" s="541">
        <v>0.90902777777777777</v>
      </c>
      <c r="H37" s="541">
        <v>0.91041666666666676</v>
      </c>
      <c r="I37" s="541">
        <v>0.91111111111111109</v>
      </c>
      <c r="J37" s="541">
        <v>0.91180555555555554</v>
      </c>
      <c r="K37" s="541">
        <v>0.91319444444444453</v>
      </c>
      <c r="L37" s="541">
        <v>0.91388888888888886</v>
      </c>
      <c r="M37" s="541">
        <v>0.91527777777777775</v>
      </c>
      <c r="N37" s="541">
        <v>0.9159722222222223</v>
      </c>
      <c r="O37" s="541">
        <v>0.91666666666666663</v>
      </c>
      <c r="P37" s="541">
        <v>0.91805555555555562</v>
      </c>
      <c r="Q37" s="541">
        <v>0.91875000000000007</v>
      </c>
      <c r="R37" s="541">
        <v>0.92013888888888884</v>
      </c>
      <c r="S37" s="541">
        <v>0.92083333333333339</v>
      </c>
      <c r="T37" s="541">
        <v>0.92152777777777783</v>
      </c>
      <c r="U37" s="541">
        <v>0.92222222222222217</v>
      </c>
      <c r="V37" s="541">
        <v>0.92361111111111116</v>
      </c>
      <c r="W37" s="541">
        <v>0.9243055555555556</v>
      </c>
      <c r="X37" s="541">
        <v>0.92499999999999993</v>
      </c>
      <c r="Y37" s="541">
        <v>0.92569444444444438</v>
      </c>
      <c r="Z37" s="541">
        <v>0.92708333333333337</v>
      </c>
      <c r="AA37" s="541">
        <v>0.9277777777777777</v>
      </c>
      <c r="AB37" s="541">
        <v>0.92847222222222225</v>
      </c>
      <c r="AC37" s="541">
        <v>0.9291666666666667</v>
      </c>
      <c r="AD37" s="541">
        <v>0.92986111111111114</v>
      </c>
      <c r="AE37" s="541">
        <v>0.84722222222222221</v>
      </c>
      <c r="AF37" s="541">
        <v>0.93125000000000002</v>
      </c>
      <c r="AG37" s="547"/>
      <c r="AH37" s="543"/>
      <c r="BL37" s="542"/>
      <c r="BM37" s="542"/>
      <c r="BN37" s="542"/>
      <c r="BO37" s="542"/>
      <c r="BP37" s="542"/>
      <c r="BQ37" s="542"/>
      <c r="BR37" s="542"/>
      <c r="BS37" s="542"/>
      <c r="BT37" s="542"/>
      <c r="BU37" s="542"/>
      <c r="BV37" s="542"/>
      <c r="BW37" s="542"/>
      <c r="BX37" s="542"/>
      <c r="BY37" s="542"/>
      <c r="BZ37" s="542"/>
      <c r="CA37" s="542"/>
      <c r="CB37" s="542"/>
      <c r="CC37" s="542"/>
      <c r="CD37" s="542"/>
      <c r="CE37" s="542"/>
      <c r="CF37" s="542"/>
      <c r="CG37" s="542"/>
      <c r="CH37" s="542"/>
      <c r="CI37" s="542"/>
      <c r="CJ37" s="542"/>
      <c r="CK37" s="542"/>
      <c r="CL37" s="542"/>
      <c r="CM37" s="542"/>
      <c r="CN37" s="542"/>
      <c r="CO37" s="542"/>
      <c r="CP37" s="542"/>
      <c r="CQ37" s="542"/>
      <c r="CR37" s="542"/>
      <c r="CS37" s="542"/>
      <c r="CT37" s="542"/>
      <c r="CU37" s="542"/>
      <c r="CV37" s="542"/>
      <c r="CW37" s="542"/>
      <c r="CX37" s="542"/>
      <c r="CY37" s="542"/>
      <c r="CZ37" s="542"/>
      <c r="DA37" s="542"/>
      <c r="DB37" s="542"/>
      <c r="DC37" s="542"/>
      <c r="DD37" s="542"/>
      <c r="DE37" s="542"/>
      <c r="DF37" s="542"/>
      <c r="DG37" s="542"/>
      <c r="DH37" s="542"/>
      <c r="DI37" s="542"/>
      <c r="DJ37" s="542"/>
      <c r="DK37" s="542"/>
      <c r="DL37" s="542"/>
      <c r="DM37" s="542"/>
      <c r="DN37" s="542"/>
      <c r="DO37" s="542"/>
      <c r="DP37" s="542"/>
      <c r="DQ37" s="542"/>
      <c r="DR37" s="542"/>
      <c r="DS37" s="542"/>
      <c r="DT37" s="542"/>
      <c r="DU37" s="542"/>
      <c r="DV37" s="542"/>
      <c r="DW37" s="542"/>
      <c r="DX37" s="542"/>
      <c r="DY37" s="542"/>
      <c r="DZ37" s="542"/>
      <c r="EA37" s="542"/>
      <c r="EB37" s="542"/>
      <c r="EC37" s="542"/>
      <c r="ED37" s="542"/>
      <c r="EE37" s="542"/>
    </row>
    <row r="38" spans="1:256" s="549" customFormat="1" ht="20.100000000000001" customHeight="1" x14ac:dyDescent="0.25">
      <c r="A38" s="545" t="s">
        <v>18</v>
      </c>
      <c r="B38" s="546" t="str">
        <f>+IF(B34&lt;=2500,"BF",IF(AND(B34&gt;2500,B34&lt;=6000),"MF",IF(AND(B34&gt;6000,B34&lt;12000),"HF","THF")))</f>
        <v>MF</v>
      </c>
      <c r="C38" s="546" t="str">
        <f t="shared" ref="C38:AF38" si="32">+IF(C34&lt;=2500,"BF",IF(AND(C34&gt;2500,C34&lt;=6000),"MF",IF(AND(C34&gt;6000,C34&lt;12000),"HF","THF")))</f>
        <v>HF</v>
      </c>
      <c r="D38" s="546" t="str">
        <f t="shared" si="32"/>
        <v>HF</v>
      </c>
      <c r="E38" s="546" t="str">
        <f t="shared" si="32"/>
        <v>MF</v>
      </c>
      <c r="F38" s="546" t="str">
        <f t="shared" si="32"/>
        <v>MF</v>
      </c>
      <c r="G38" s="546" t="str">
        <f t="shared" si="32"/>
        <v>MF</v>
      </c>
      <c r="H38" s="546" t="str">
        <f t="shared" si="32"/>
        <v>HF</v>
      </c>
      <c r="I38" s="546" t="str">
        <f t="shared" si="32"/>
        <v>HF</v>
      </c>
      <c r="J38" s="546" t="str">
        <f t="shared" si="32"/>
        <v>THF</v>
      </c>
      <c r="K38" s="546" t="str">
        <f t="shared" si="32"/>
        <v>THF</v>
      </c>
      <c r="L38" s="546" t="str">
        <f t="shared" si="32"/>
        <v>THF</v>
      </c>
      <c r="M38" s="546" t="str">
        <f t="shared" si="32"/>
        <v>MF</v>
      </c>
      <c r="N38" s="546" t="str">
        <f t="shared" si="32"/>
        <v>BF</v>
      </c>
      <c r="O38" s="546" t="str">
        <f t="shared" si="32"/>
        <v>MF</v>
      </c>
      <c r="P38" s="546" t="str">
        <f t="shared" si="32"/>
        <v>MF</v>
      </c>
      <c r="Q38" s="546" t="str">
        <f t="shared" si="32"/>
        <v>MF</v>
      </c>
      <c r="R38" s="546" t="str">
        <f t="shared" si="32"/>
        <v>MF</v>
      </c>
      <c r="S38" s="546" t="str">
        <f t="shared" si="32"/>
        <v>HF</v>
      </c>
      <c r="T38" s="546" t="str">
        <f t="shared" si="32"/>
        <v>THF</v>
      </c>
      <c r="U38" s="546" t="str">
        <f t="shared" si="32"/>
        <v>MF</v>
      </c>
      <c r="V38" s="546" t="str">
        <f t="shared" si="32"/>
        <v>BF</v>
      </c>
      <c r="W38" s="546" t="str">
        <f t="shared" si="32"/>
        <v>MF</v>
      </c>
      <c r="X38" s="546" t="str">
        <f t="shared" si="32"/>
        <v>MF</v>
      </c>
      <c r="Y38" s="546" t="str">
        <f t="shared" si="32"/>
        <v>MF</v>
      </c>
      <c r="Z38" s="546" t="str">
        <f t="shared" si="32"/>
        <v>HF</v>
      </c>
      <c r="AA38" s="546" t="str">
        <f t="shared" si="32"/>
        <v>MF</v>
      </c>
      <c r="AB38" s="546" t="str">
        <f t="shared" si="32"/>
        <v>BF</v>
      </c>
      <c r="AC38" s="546" t="str">
        <f t="shared" si="32"/>
        <v>MF</v>
      </c>
      <c r="AD38" s="546" t="str">
        <f t="shared" si="32"/>
        <v>MF</v>
      </c>
      <c r="AE38" s="546" t="str">
        <f t="shared" si="32"/>
        <v>MF</v>
      </c>
      <c r="AF38" s="546" t="str">
        <f t="shared" si="32"/>
        <v>MF</v>
      </c>
      <c r="AG38" s="547"/>
      <c r="AH38" s="543"/>
      <c r="BL38" s="542"/>
      <c r="BM38" s="542"/>
      <c r="BN38" s="542"/>
      <c r="BO38" s="542"/>
      <c r="BP38" s="542"/>
      <c r="BQ38" s="542"/>
      <c r="BR38" s="542"/>
      <c r="BS38" s="542"/>
      <c r="BT38" s="542"/>
      <c r="BU38" s="542"/>
      <c r="BV38" s="542"/>
      <c r="BW38" s="542"/>
      <c r="BX38" s="542"/>
      <c r="BY38" s="542"/>
      <c r="BZ38" s="542"/>
      <c r="CA38" s="542"/>
      <c r="CB38" s="542"/>
      <c r="CC38" s="542"/>
      <c r="CD38" s="542"/>
      <c r="CE38" s="542"/>
      <c r="CF38" s="542"/>
      <c r="CG38" s="542"/>
      <c r="CH38" s="542"/>
      <c r="CI38" s="542"/>
      <c r="CJ38" s="542"/>
      <c r="CK38" s="542"/>
      <c r="CL38" s="542"/>
      <c r="CM38" s="542"/>
      <c r="CN38" s="542"/>
      <c r="CO38" s="542"/>
      <c r="CP38" s="542"/>
      <c r="CQ38" s="542"/>
      <c r="CR38" s="542"/>
      <c r="CS38" s="542"/>
      <c r="CT38" s="542"/>
      <c r="CU38" s="542"/>
      <c r="CV38" s="542"/>
      <c r="CW38" s="542"/>
      <c r="CX38" s="542"/>
      <c r="CY38" s="542"/>
      <c r="CZ38" s="542"/>
      <c r="DA38" s="542"/>
      <c r="DB38" s="542"/>
      <c r="DC38" s="542"/>
      <c r="DD38" s="542"/>
      <c r="DE38" s="542"/>
      <c r="DF38" s="542"/>
      <c r="DG38" s="542"/>
      <c r="DH38" s="542"/>
      <c r="DI38" s="542"/>
      <c r="DJ38" s="542"/>
      <c r="DK38" s="542"/>
      <c r="DL38" s="542"/>
      <c r="DM38" s="542"/>
      <c r="DN38" s="542"/>
      <c r="DO38" s="542"/>
      <c r="DP38" s="542"/>
      <c r="DQ38" s="542"/>
      <c r="DR38" s="542"/>
      <c r="DS38" s="542"/>
      <c r="DT38" s="542"/>
      <c r="DU38" s="542"/>
      <c r="DV38" s="542"/>
      <c r="DW38" s="542"/>
      <c r="DX38" s="542"/>
      <c r="DY38" s="542"/>
      <c r="DZ38" s="542"/>
      <c r="EA38" s="542"/>
      <c r="EB38" s="542"/>
      <c r="EC38" s="542"/>
      <c r="ED38" s="542"/>
      <c r="EE38" s="542"/>
    </row>
    <row r="39" spans="1:256" s="42" customFormat="1" ht="3" customHeight="1" x14ac:dyDescent="0.25">
      <c r="A39" s="534"/>
      <c r="B39" s="536"/>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c r="AH39" s="2"/>
    </row>
    <row r="40" spans="1:256"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c r="IL40" s="7"/>
      <c r="IM40" s="7"/>
      <c r="IN40" s="7"/>
      <c r="IO40" s="7"/>
      <c r="IP40" s="7"/>
      <c r="IQ40" s="7"/>
      <c r="IR40" s="7"/>
      <c r="IS40" s="7"/>
      <c r="IT40" s="7"/>
      <c r="IU40" s="7"/>
      <c r="IV40" s="7"/>
    </row>
    <row r="41" spans="1:256" ht="15" hidden="1" customHeight="1" x14ac:dyDescent="0.25">
      <c r="A41" s="13"/>
      <c r="B41" s="480">
        <f>+B34-B30</f>
        <v>5255</v>
      </c>
      <c r="C41" s="480">
        <f t="shared" ref="C41:AF41" si="33">+C34-C30</f>
        <v>6620</v>
      </c>
      <c r="D41" s="480">
        <f t="shared" si="33"/>
        <v>6050</v>
      </c>
      <c r="E41" s="480">
        <f t="shared" si="33"/>
        <v>5310</v>
      </c>
      <c r="F41" s="480">
        <f t="shared" si="33"/>
        <v>3960</v>
      </c>
      <c r="G41" s="480">
        <f t="shared" si="33"/>
        <v>5860</v>
      </c>
      <c r="H41" s="480">
        <f t="shared" si="33"/>
        <v>8010</v>
      </c>
      <c r="I41" s="480">
        <f t="shared" si="33"/>
        <v>10060</v>
      </c>
      <c r="J41" s="480">
        <f t="shared" si="33"/>
        <v>17300</v>
      </c>
      <c r="K41" s="480">
        <f t="shared" si="33"/>
        <v>19560</v>
      </c>
      <c r="L41" s="480">
        <f t="shared" si="33"/>
        <v>12850</v>
      </c>
      <c r="M41" s="480">
        <f t="shared" si="33"/>
        <v>3490</v>
      </c>
      <c r="N41" s="480">
        <f t="shared" si="33"/>
        <v>2280</v>
      </c>
      <c r="O41" s="480">
        <f t="shared" si="33"/>
        <v>3460</v>
      </c>
      <c r="P41" s="480">
        <f t="shared" si="33"/>
        <v>3050</v>
      </c>
      <c r="Q41" s="480">
        <f t="shared" si="33"/>
        <v>3180</v>
      </c>
      <c r="R41" s="480">
        <f t="shared" si="33"/>
        <v>2790</v>
      </c>
      <c r="S41" s="480">
        <f t="shared" si="33"/>
        <v>8780</v>
      </c>
      <c r="T41" s="480">
        <f t="shared" si="33"/>
        <v>12930</v>
      </c>
      <c r="U41" s="480">
        <f t="shared" si="33"/>
        <v>4190</v>
      </c>
      <c r="V41" s="480">
        <f t="shared" si="33"/>
        <v>2470</v>
      </c>
      <c r="W41" s="480">
        <f t="shared" si="33"/>
        <v>2520</v>
      </c>
      <c r="X41" s="480">
        <f t="shared" si="33"/>
        <v>3000</v>
      </c>
      <c r="Y41" s="480">
        <f t="shared" si="33"/>
        <v>3120</v>
      </c>
      <c r="Z41" s="480">
        <f t="shared" si="33"/>
        <v>7340</v>
      </c>
      <c r="AA41" s="480">
        <f t="shared" si="33"/>
        <v>4340</v>
      </c>
      <c r="AB41" s="480">
        <f t="shared" si="33"/>
        <v>2270</v>
      </c>
      <c r="AC41" s="480">
        <f t="shared" si="33"/>
        <v>3430</v>
      </c>
      <c r="AD41" s="480">
        <f t="shared" si="33"/>
        <v>3040</v>
      </c>
      <c r="AE41" s="480">
        <f t="shared" si="33"/>
        <v>3240</v>
      </c>
      <c r="AF41" s="480">
        <f t="shared" si="33"/>
        <v>3340</v>
      </c>
      <c r="AG41"/>
      <c r="AH41" s="1"/>
    </row>
    <row r="42" spans="1:256" ht="15" customHeight="1" x14ac:dyDescent="0.25">
      <c r="A42" s="13"/>
      <c r="B42" s="481">
        <f>+B32-B30</f>
        <v>450</v>
      </c>
      <c r="C42" s="481">
        <f t="shared" ref="C42:AF42" si="34">+C32-C30</f>
        <v>200</v>
      </c>
      <c r="D42" s="481">
        <f t="shared" si="34"/>
        <v>260</v>
      </c>
      <c r="E42" s="481">
        <f t="shared" si="34"/>
        <v>430</v>
      </c>
      <c r="F42" s="481">
        <f t="shared" si="34"/>
        <v>500</v>
      </c>
      <c r="G42" s="481">
        <f t="shared" si="34"/>
        <v>310</v>
      </c>
      <c r="H42" s="481">
        <f t="shared" si="34"/>
        <v>360</v>
      </c>
      <c r="I42" s="481">
        <f t="shared" si="34"/>
        <v>560</v>
      </c>
      <c r="J42" s="481">
        <f t="shared" si="34"/>
        <v>810</v>
      </c>
      <c r="K42" s="481">
        <f t="shared" si="34"/>
        <v>750</v>
      </c>
      <c r="L42" s="481">
        <f t="shared" si="34"/>
        <v>770</v>
      </c>
      <c r="M42" s="481">
        <f t="shared" si="34"/>
        <v>310</v>
      </c>
      <c r="N42" s="481">
        <f t="shared" si="34"/>
        <v>140</v>
      </c>
      <c r="O42" s="481">
        <f t="shared" si="34"/>
        <v>130</v>
      </c>
      <c r="P42" s="481">
        <f t="shared" si="34"/>
        <v>220</v>
      </c>
      <c r="Q42" s="481">
        <f t="shared" si="34"/>
        <v>120</v>
      </c>
      <c r="R42" s="481">
        <f t="shared" si="34"/>
        <v>160</v>
      </c>
      <c r="S42" s="481">
        <f t="shared" si="34"/>
        <v>600</v>
      </c>
      <c r="T42" s="481">
        <f t="shared" si="34"/>
        <v>730</v>
      </c>
      <c r="U42" s="481">
        <f t="shared" si="34"/>
        <v>360</v>
      </c>
      <c r="V42" s="481">
        <f t="shared" si="34"/>
        <v>160</v>
      </c>
      <c r="W42" s="481">
        <f t="shared" si="34"/>
        <v>130</v>
      </c>
      <c r="X42" s="481">
        <f t="shared" si="34"/>
        <v>220</v>
      </c>
      <c r="Y42" s="481">
        <f t="shared" si="34"/>
        <v>170</v>
      </c>
      <c r="Z42" s="481">
        <f t="shared" si="34"/>
        <v>550</v>
      </c>
      <c r="AA42" s="481">
        <f t="shared" si="34"/>
        <v>400</v>
      </c>
      <c r="AB42" s="481">
        <f t="shared" si="34"/>
        <v>250</v>
      </c>
      <c r="AC42" s="481">
        <f t="shared" si="34"/>
        <v>230</v>
      </c>
      <c r="AD42" s="481">
        <f t="shared" si="34"/>
        <v>200</v>
      </c>
      <c r="AE42" s="481">
        <f t="shared" si="34"/>
        <v>300</v>
      </c>
      <c r="AF42" s="481">
        <f t="shared" si="34"/>
        <v>270</v>
      </c>
      <c r="AG42"/>
      <c r="AH42" s="459"/>
    </row>
    <row r="43" spans="1:256" s="3" customFormat="1" ht="15" customHeight="1" x14ac:dyDescent="0.4">
      <c r="A43" s="13"/>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256" s="3" customFormat="1" ht="15" customHeight="1" x14ac:dyDescent="0.25">
      <c r="A44" s="22"/>
      <c r="B44" s="454">
        <f>IF(B9="",0,1)</f>
        <v>1</v>
      </c>
      <c r="C44" s="454">
        <f t="shared" ref="C44:AF44" si="35">IF(C9="",0,1)</f>
        <v>1</v>
      </c>
      <c r="D44" s="454">
        <f t="shared" si="35"/>
        <v>1</v>
      </c>
      <c r="E44" s="454">
        <f t="shared" si="35"/>
        <v>1</v>
      </c>
      <c r="F44" s="454">
        <f t="shared" si="35"/>
        <v>1</v>
      </c>
      <c r="G44" s="454">
        <f t="shared" si="35"/>
        <v>1</v>
      </c>
      <c r="H44" s="454">
        <f t="shared" si="35"/>
        <v>1</v>
      </c>
      <c r="I44" s="454">
        <f t="shared" si="35"/>
        <v>1</v>
      </c>
      <c r="J44" s="454">
        <f t="shared" si="35"/>
        <v>1</v>
      </c>
      <c r="K44" s="454">
        <f t="shared" si="35"/>
        <v>1</v>
      </c>
      <c r="L44" s="454">
        <f t="shared" si="35"/>
        <v>1</v>
      </c>
      <c r="M44" s="454">
        <f t="shared" si="35"/>
        <v>1</v>
      </c>
      <c r="N44" s="454">
        <f t="shared" si="35"/>
        <v>1</v>
      </c>
      <c r="O44" s="454">
        <f t="shared" si="35"/>
        <v>1</v>
      </c>
      <c r="P44" s="454">
        <f t="shared" si="35"/>
        <v>1</v>
      </c>
      <c r="Q44" s="454">
        <f t="shared" si="35"/>
        <v>1</v>
      </c>
      <c r="R44" s="454">
        <f t="shared" si="35"/>
        <v>1</v>
      </c>
      <c r="S44" s="454">
        <f t="shared" si="35"/>
        <v>1</v>
      </c>
      <c r="T44" s="454">
        <f t="shared" si="35"/>
        <v>1</v>
      </c>
      <c r="U44" s="454">
        <f t="shared" si="35"/>
        <v>1</v>
      </c>
      <c r="V44" s="454">
        <f t="shared" si="35"/>
        <v>1</v>
      </c>
      <c r="W44" s="454">
        <f t="shared" si="35"/>
        <v>1</v>
      </c>
      <c r="X44" s="454">
        <f t="shared" si="35"/>
        <v>1</v>
      </c>
      <c r="Y44" s="454">
        <f t="shared" si="35"/>
        <v>1</v>
      </c>
      <c r="Z44" s="454">
        <f t="shared" si="35"/>
        <v>1</v>
      </c>
      <c r="AA44" s="454">
        <f t="shared" si="35"/>
        <v>1</v>
      </c>
      <c r="AB44" s="454">
        <f t="shared" si="35"/>
        <v>1</v>
      </c>
      <c r="AC44" s="454">
        <f t="shared" si="35"/>
        <v>1</v>
      </c>
      <c r="AD44" s="454">
        <f t="shared" si="35"/>
        <v>1</v>
      </c>
      <c r="AE44" s="454">
        <f>IF(AE9="",0,1)</f>
        <v>1</v>
      </c>
      <c r="AF44" s="454">
        <f t="shared" si="35"/>
        <v>1</v>
      </c>
      <c r="AG44" s="1"/>
      <c r="AH44" s="563">
        <f>SUM(B44:AF44)</f>
        <v>31</v>
      </c>
    </row>
    <row r="45" spans="1:256" s="560"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H45" s="562"/>
    </row>
    <row r="46" spans="1:256" s="3" customFormat="1" ht="15" customHeight="1" x14ac:dyDescent="0.4">
      <c r="A46" s="13"/>
      <c r="B46" s="21"/>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2"/>
    </row>
    <row r="47" spans="1:256" s="461" customFormat="1" ht="15" customHeight="1" x14ac:dyDescent="0.4">
      <c r="A47" s="463"/>
      <c r="B47" s="21"/>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
    </row>
    <row r="48" spans="1:256" ht="15" customHeight="1" x14ac:dyDescent="0.25">
      <c r="A48" s="13"/>
      <c r="B48" s="21"/>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ht="15" customHeight="1" x14ac:dyDescent="0.25">
      <c r="A49" s="13"/>
      <c r="B49" s="21"/>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spans="1:32" ht="15" customHeight="1" x14ac:dyDescent="0.25">
      <c r="A50" s="13"/>
      <c r="B50" s="21"/>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ht="15" customHeight="1" x14ac:dyDescent="0.25">
      <c r="A51" s="23"/>
      <c r="B51" s="21"/>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ht="15" customHeight="1" x14ac:dyDescent="0.25">
      <c r="A52" s="23"/>
      <c r="B52" s="21"/>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ht="15" customHeight="1" x14ac:dyDescent="0.25">
      <c r="A53" s="23"/>
      <c r="B53" s="21"/>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ht="15" customHeight="1" x14ac:dyDescent="0.25">
      <c r="A54" s="23"/>
      <c r="B54" s="21"/>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ht="15" customHeight="1" x14ac:dyDescent="0.25">
      <c r="A55" s="23"/>
      <c r="B55" s="21"/>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spans="1:32" ht="15" customHeight="1" x14ac:dyDescent="0.25">
      <c r="A56" s="23"/>
      <c r="B56" s="21"/>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8" spans="1:32" ht="15" customHeight="1" x14ac:dyDescent="0.25">
      <c r="A58" s="23"/>
      <c r="B58" s="21"/>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ht="15" customHeight="1" x14ac:dyDescent="0.25">
      <c r="A59" s="23"/>
      <c r="B59" s="21"/>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ht="15" customHeight="1" x14ac:dyDescent="0.25">
      <c r="A60" s="23"/>
      <c r="B60" s="21"/>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spans="1:32" ht="15" customHeight="1" x14ac:dyDescent="0.25">
      <c r="A61" s="23"/>
      <c r="B61" s="21"/>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spans="1:32" ht="15" customHeight="1" x14ac:dyDescent="0.25">
      <c r="A62" s="23"/>
      <c r="B62" s="21"/>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spans="1:32" ht="15" customHeight="1" x14ac:dyDescent="0.25">
      <c r="A63" s="23"/>
      <c r="B63" s="21"/>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spans="1:32" ht="15" customHeight="1" x14ac:dyDescent="0.25">
      <c r="A64" s="23"/>
      <c r="B64" s="21"/>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spans="1:32" ht="15" customHeight="1" x14ac:dyDescent="0.25">
      <c r="A65" s="23"/>
      <c r="B65" s="21"/>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spans="1:32" ht="15" customHeight="1" x14ac:dyDescent="0.25">
      <c r="A66" s="23"/>
      <c r="B66" s="21"/>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spans="1:32" ht="15" customHeight="1" x14ac:dyDescent="0.25">
      <c r="A67" s="23"/>
      <c r="B67" s="21"/>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spans="1:32" ht="15" customHeight="1" x14ac:dyDescent="0.25">
      <c r="A68" s="23"/>
      <c r="B68" s="21"/>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spans="1:32" ht="15" customHeight="1" x14ac:dyDescent="0.25">
      <c r="A69" s="23"/>
      <c r="B69" s="21"/>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spans="1:32" ht="15" customHeight="1" x14ac:dyDescent="0.25">
      <c r="A70" s="23"/>
      <c r="B70" s="21"/>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spans="1:32" ht="15" customHeight="1" x14ac:dyDescent="0.25">
      <c r="A71" s="23"/>
      <c r="B71" s="21"/>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spans="1:32" ht="15" customHeight="1" x14ac:dyDescent="0.25">
      <c r="A72" s="23"/>
      <c r="B72" s="21"/>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spans="1:32" ht="18.600000000000001" x14ac:dyDescent="0.25">
      <c r="A73" s="23"/>
      <c r="B73" s="21"/>
    </row>
    <row r="74" spans="1:32" ht="18.600000000000001" x14ac:dyDescent="0.25">
      <c r="A74" s="23"/>
      <c r="B74" s="21"/>
    </row>
    <row r="75" spans="1:32" ht="18.600000000000001" x14ac:dyDescent="0.25">
      <c r="A75" s="23"/>
      <c r="B75" s="21"/>
    </row>
    <row r="76" spans="1:32" ht="18.600000000000001" x14ac:dyDescent="0.25">
      <c r="A76" s="23"/>
      <c r="B76" s="21"/>
    </row>
    <row r="77" spans="1:32" ht="18.600000000000001" x14ac:dyDescent="0.25">
      <c r="A77" s="23"/>
    </row>
    <row r="78" spans="1:32" ht="18.600000000000001" x14ac:dyDescent="0.25">
      <c r="A78" s="23"/>
    </row>
    <row r="79" spans="1:32" ht="18.600000000000001" x14ac:dyDescent="0.25">
      <c r="A79" s="23"/>
    </row>
    <row r="80" spans="1:32" ht="18.600000000000001" x14ac:dyDescent="0.25">
      <c r="A80" s="23"/>
    </row>
    <row r="81" spans="1:1" ht="18.600000000000001" x14ac:dyDescent="0.25">
      <c r="A81" s="23"/>
    </row>
  </sheetData>
  <customSheetViews>
    <customSheetView guid="{0CC54A28-7FC1-4543-ABB1-95D1AD8E8D9F}"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1"/>
      <headerFooter alignWithMargins="0">
        <oddFooter>&amp;R&amp;"Comic Sans MS,Gras italique"&amp;UEdition du &amp;D, &amp;T</oddFooter>
      </headerFooter>
    </customSheetView>
    <customSheetView guid="{45244E67-D811-4150-BEA1-A7A1C54045A9}" scale="75" showGridLines="0" zeroValues="0" fitToPage="1" hiddenRows="1" hiddenColumns="1" showRuler="0">
      <pane xSplit="1" ySplit="20" topLeftCell="O21" activePane="bottomRight" state="frozen"/>
      <selection pane="bottomRight" activeCell="D9" sqref="D9"/>
      <pageMargins left="0" right="0" top="0" bottom="0.3" header="0" footer="0"/>
      <printOptions horizontalCentered="1" verticalCentered="1"/>
      <pageSetup paperSize="9" scale="50" orientation="landscape" verticalDpi="300" r:id="rId2"/>
      <headerFooter alignWithMargins="0">
        <oddFooter>&amp;R&amp;"Comic Sans MS,Gras italique"&amp;UEdition du &amp;D, &amp;T</oddFooter>
      </headerFooter>
    </customSheetView>
  </customSheetViews>
  <mergeCells count="3">
    <mergeCell ref="B1:U1"/>
    <mergeCell ref="J6:M6"/>
    <mergeCell ref="S6:U6"/>
  </mergeCells>
  <phoneticPr fontId="8" type="noConversion"/>
  <conditionalFormatting sqref="A6">
    <cfRule type="expression" dxfId="292" priority="396" stopIfTrue="1">
      <formula>$O6="ALERTE"</formula>
    </cfRule>
  </conditionalFormatting>
  <conditionalFormatting sqref="A14:A34">
    <cfRule type="expression" dxfId="291" priority="232" stopIfTrue="1">
      <formula>$P14="ALERTE"</formula>
    </cfRule>
  </conditionalFormatting>
  <conditionalFormatting sqref="A45">
    <cfRule type="expression" dxfId="290" priority="3" stopIfTrue="1">
      <formula>$P45="ALERTE"</formula>
    </cfRule>
  </conditionalFormatting>
  <conditionalFormatting sqref="A3:AF5 A7:A10 B35:AF35 C73:AF163 B77:B163">
    <cfRule type="expression" dxfId="289" priority="304" stopIfTrue="1">
      <formula>$P3="ALERTE"</formula>
    </cfRule>
  </conditionalFormatting>
  <conditionalFormatting sqref="B7">
    <cfRule type="expression" dxfId="288" priority="73" stopIfTrue="1">
      <formula>$BG7="ALERTE"</formula>
    </cfRule>
  </conditionalFormatting>
  <conditionalFormatting sqref="B9:F10">
    <cfRule type="expression" dxfId="287" priority="21" stopIfTrue="1">
      <formula>$BJ9="ALERTE"</formula>
    </cfRule>
  </conditionalFormatting>
  <conditionalFormatting sqref="B6:J6">
    <cfRule type="expression" dxfId="286" priority="69" stopIfTrue="1">
      <formula>$BI6="ALERTE"</formula>
    </cfRule>
  </conditionalFormatting>
  <conditionalFormatting sqref="B14:L14">
    <cfRule type="expression" dxfId="285" priority="13" stopIfTrue="1">
      <formula>$BH14="ALERTE"</formula>
    </cfRule>
  </conditionalFormatting>
  <conditionalFormatting sqref="B8:AF8">
    <cfRule type="expression" dxfId="284" priority="11" stopIfTrue="1">
      <formula>$BH8="ALERTE"</formula>
    </cfRule>
  </conditionalFormatting>
  <conditionalFormatting sqref="B15:AF21">
    <cfRule type="expression" dxfId="283" priority="14" stopIfTrue="1">
      <formula>$P15="ALERTE"</formula>
    </cfRule>
  </conditionalFormatting>
  <conditionalFormatting sqref="B36:AF40">
    <cfRule type="cellIs" dxfId="282" priority="201" stopIfTrue="1" operator="equal">
      <formula>"THF"</formula>
    </cfRule>
    <cfRule type="cellIs" dxfId="281" priority="202" stopIfTrue="1" operator="equal">
      <formula>"HF"</formula>
    </cfRule>
    <cfRule type="cellIs" dxfId="280" priority="203" stopIfTrue="1" operator="equal">
      <formula>"MF"</formula>
    </cfRule>
  </conditionalFormatting>
  <conditionalFormatting sqref="B44:AF44">
    <cfRule type="expression" dxfId="279" priority="227" stopIfTrue="1">
      <formula>$P44="ALERTE"</formula>
    </cfRule>
  </conditionalFormatting>
  <conditionalFormatting sqref="B45:AF45">
    <cfRule type="expression" dxfId="278" priority="1" stopIfTrue="1">
      <formula>$BH45="ALERTE"</formula>
    </cfRule>
  </conditionalFormatting>
  <conditionalFormatting sqref="C7:F7">
    <cfRule type="expression" dxfId="277" priority="148" stopIfTrue="1">
      <formula>$BF7="ALERTE"</formula>
    </cfRule>
  </conditionalFormatting>
  <conditionalFormatting sqref="G7:H7">
    <cfRule type="expression" dxfId="276" priority="288" stopIfTrue="1">
      <formula>$AX7="ALERTE"</formula>
    </cfRule>
  </conditionalFormatting>
  <conditionalFormatting sqref="G9:H9">
    <cfRule type="expression" dxfId="275" priority="16" stopIfTrue="1">
      <formula>$BJ9="ALERTE"</formula>
    </cfRule>
  </conditionalFormatting>
  <conditionalFormatting sqref="G10:H10">
    <cfRule type="expression" dxfId="274" priority="17" stopIfTrue="1">
      <formula>$BS10="ALERTE"</formula>
    </cfRule>
  </conditionalFormatting>
  <conditionalFormatting sqref="I7:M7">
    <cfRule type="expression" dxfId="273" priority="68" stopIfTrue="1">
      <formula>$BG7="ALERTE"</formula>
    </cfRule>
  </conditionalFormatting>
  <conditionalFormatting sqref="I9:M10">
    <cfRule type="expression" dxfId="272" priority="12" stopIfTrue="1">
      <formula>$BJ9="ALERTE"</formula>
    </cfRule>
  </conditionalFormatting>
  <conditionalFormatting sqref="M14:AF14">
    <cfRule type="expression" dxfId="271" priority="6" stopIfTrue="1">
      <formula>$BI14="ALERTE"</formula>
    </cfRule>
  </conditionalFormatting>
  <conditionalFormatting sqref="N9:R9">
    <cfRule type="expression" dxfId="270" priority="36" stopIfTrue="1">
      <formula>$BJ9="ALERTE"</formula>
    </cfRule>
  </conditionalFormatting>
  <conditionalFormatting sqref="N10:R10">
    <cfRule type="expression" dxfId="269" priority="37" stopIfTrue="1">
      <formula>$BS10="ALERTE"</formula>
    </cfRule>
  </conditionalFormatting>
  <conditionalFormatting sqref="N6:S6">
    <cfRule type="expression" dxfId="268" priority="65" stopIfTrue="1">
      <formula>$BI6="ALERTE"</formula>
    </cfRule>
  </conditionalFormatting>
  <conditionalFormatting sqref="S9:U10">
    <cfRule type="expression" dxfId="267" priority="30" stopIfTrue="1">
      <formula>$BJ9="ALERTE"</formula>
    </cfRule>
  </conditionalFormatting>
  <conditionalFormatting sqref="V9:Y9">
    <cfRule type="expression" dxfId="266" priority="7" stopIfTrue="1">
      <formula>$BJ9="ALERTE"</formula>
    </cfRule>
  </conditionalFormatting>
  <conditionalFormatting sqref="V10:Y10">
    <cfRule type="expression" dxfId="265" priority="8" stopIfTrue="1">
      <formula>$BS10="ALERTE"</formula>
    </cfRule>
  </conditionalFormatting>
  <conditionalFormatting sqref="V6:AE6">
    <cfRule type="expression" dxfId="264" priority="172" stopIfTrue="1">
      <formula>$BI6="ALERTE"</formula>
    </cfRule>
  </conditionalFormatting>
  <conditionalFormatting sqref="Z9:Z10">
    <cfRule type="expression" dxfId="263" priority="24" stopIfTrue="1">
      <formula>$BJ9="ALERTE"</formula>
    </cfRule>
  </conditionalFormatting>
  <conditionalFormatting sqref="AA9:AF9">
    <cfRule type="expression" dxfId="262" priority="4" stopIfTrue="1">
      <formula>$BJ9="ALERTE"</formula>
    </cfRule>
  </conditionalFormatting>
  <conditionalFormatting sqref="AA10:AF10">
    <cfRule type="expression" dxfId="261" priority="5" stopIfTrue="1">
      <formula>$BS10="ALERTE"</formula>
    </cfRule>
  </conditionalFormatting>
  <conditionalFormatting sqref="AF6:AF7 N7:AE7">
    <cfRule type="expression" dxfId="260" priority="305" stopIfTrue="1">
      <formula>$BI6="ALERTE"</formula>
    </cfRule>
  </conditionalFormatting>
  <conditionalFormatting sqref="AH6:AH10">
    <cfRule type="expression" dxfId="259" priority="228" stopIfTrue="1">
      <formula>$BI6="ALERTE"</formula>
    </cfRule>
  </conditionalFormatting>
  <conditionalFormatting sqref="AH14">
    <cfRule type="expression" dxfId="258" priority="234" stopIfTrue="1">
      <formula>$BI14="ALERTE"</formula>
    </cfRule>
  </conditionalFormatting>
  <conditionalFormatting sqref="AH15:AH16">
    <cfRule type="expression" dxfId="257" priority="233" stopIfTrue="1">
      <formula>$P15="ALERTE"</formula>
    </cfRule>
  </conditionalFormatting>
  <conditionalFormatting sqref="AH45">
    <cfRule type="expression" dxfId="256" priority="2" stopIfTrue="1">
      <formula>$BI45="ALERTE"</formula>
    </cfRule>
  </conditionalFormatting>
  <conditionalFormatting sqref="AI40:IV40 B46:B56 C48:AF56 C58:AF70 B58:B76">
    <cfRule type="cellIs" dxfId="255" priority="307" stopIfTrue="1" operator="equal">
      <formula>"THF"</formula>
    </cfRule>
    <cfRule type="cellIs" dxfId="254" priority="308" stopIfTrue="1" operator="equal">
      <formula>"HF"</formula>
    </cfRule>
    <cfRule type="cellIs" dxfId="253" priority="309" stopIfTrue="1" operator="equal">
      <formula>"MF"</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2">
    <pageSetUpPr fitToPage="1"/>
  </sheetPr>
  <dimension ref="A1:IV81"/>
  <sheetViews>
    <sheetView showGridLines="0" showZeros="0" zoomScale="80" zoomScaleNormal="80" workbookViewId="0">
      <pane xSplit="1" ySplit="20" topLeftCell="B21" activePane="bottomRight" state="frozen"/>
      <selection activeCell="P31" sqref="P31"/>
      <selection pane="topRight" activeCell="P31" sqref="P31"/>
      <selection pane="bottomLeft" activeCell="P31" sqref="P31"/>
      <selection pane="bottomRight" activeCell="P31" sqref="P31"/>
    </sheetView>
  </sheetViews>
  <sheetFormatPr baseColWidth="10" defaultColWidth="0" defaultRowHeight="16.8" x14ac:dyDescent="0.4"/>
  <cols>
    <col min="1" max="1" width="26.33203125" style="10" customWidth="1"/>
    <col min="2" max="2" width="8.5546875" style="8" bestFit="1" customWidth="1"/>
    <col min="3" max="3" width="7.6640625" style="8" bestFit="1" customWidth="1"/>
    <col min="4" max="17" width="8.6640625" style="8" customWidth="1"/>
    <col min="18" max="18" width="10.6640625" style="8" customWidth="1"/>
    <col min="19" max="30" width="8.6640625" style="8" customWidth="1"/>
    <col min="31" max="31" width="8" style="8" customWidth="1"/>
    <col min="32" max="32" width="11.44140625" style="8" customWidth="1"/>
    <col min="33" max="33" width="2.6640625" style="8" customWidth="1"/>
    <col min="34" max="34" width="16.88671875" style="2" customWidth="1"/>
    <col min="35" max="16384" width="0" style="8" hidden="1"/>
  </cols>
  <sheetData>
    <row r="1" spans="1:135" s="505" customFormat="1" ht="42.75" customHeight="1" x14ac:dyDescent="0.25">
      <c r="A1" s="641">
        <v>45444</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33" t="s">
        <v>0</v>
      </c>
      <c r="B3" s="634">
        <f>+A1</f>
        <v>45444</v>
      </c>
      <c r="C3" s="634">
        <f t="shared" ref="C3:AE3" si="0">+B3+1</f>
        <v>45445</v>
      </c>
      <c r="D3" s="634">
        <f t="shared" si="0"/>
        <v>45446</v>
      </c>
      <c r="E3" s="634">
        <f t="shared" si="0"/>
        <v>45447</v>
      </c>
      <c r="F3" s="634">
        <f t="shared" si="0"/>
        <v>45448</v>
      </c>
      <c r="G3" s="634">
        <f t="shared" si="0"/>
        <v>45449</v>
      </c>
      <c r="H3" s="634">
        <f t="shared" si="0"/>
        <v>45450</v>
      </c>
      <c r="I3" s="634">
        <f t="shared" si="0"/>
        <v>45451</v>
      </c>
      <c r="J3" s="634">
        <f t="shared" si="0"/>
        <v>45452</v>
      </c>
      <c r="K3" s="634">
        <f t="shared" si="0"/>
        <v>45453</v>
      </c>
      <c r="L3" s="634">
        <f t="shared" si="0"/>
        <v>45454</v>
      </c>
      <c r="M3" s="634">
        <f t="shared" si="0"/>
        <v>45455</v>
      </c>
      <c r="N3" s="634">
        <f t="shared" si="0"/>
        <v>45456</v>
      </c>
      <c r="O3" s="634">
        <f t="shared" si="0"/>
        <v>45457</v>
      </c>
      <c r="P3" s="634">
        <f t="shared" si="0"/>
        <v>45458</v>
      </c>
      <c r="Q3" s="634">
        <f t="shared" si="0"/>
        <v>45459</v>
      </c>
      <c r="R3" s="634">
        <f t="shared" si="0"/>
        <v>45460</v>
      </c>
      <c r="S3" s="634">
        <f t="shared" si="0"/>
        <v>45461</v>
      </c>
      <c r="T3" s="634">
        <f t="shared" si="0"/>
        <v>45462</v>
      </c>
      <c r="U3" s="634">
        <f t="shared" si="0"/>
        <v>45463</v>
      </c>
      <c r="V3" s="634">
        <f t="shared" si="0"/>
        <v>45464</v>
      </c>
      <c r="W3" s="634">
        <f t="shared" si="0"/>
        <v>45465</v>
      </c>
      <c r="X3" s="634">
        <f t="shared" si="0"/>
        <v>45466</v>
      </c>
      <c r="Y3" s="634">
        <f t="shared" si="0"/>
        <v>45467</v>
      </c>
      <c r="Z3" s="634">
        <f t="shared" si="0"/>
        <v>45468</v>
      </c>
      <c r="AA3" s="634">
        <f t="shared" si="0"/>
        <v>45469</v>
      </c>
      <c r="AB3" s="634">
        <f t="shared" si="0"/>
        <v>45470</v>
      </c>
      <c r="AC3" s="634">
        <f t="shared" si="0"/>
        <v>45471</v>
      </c>
      <c r="AD3" s="634">
        <f t="shared" si="0"/>
        <v>45472</v>
      </c>
      <c r="AE3" s="634">
        <f t="shared" si="0"/>
        <v>45473</v>
      </c>
      <c r="AF3" s="634">
        <f t="shared" ref="D3:AF4" si="1">+AE3+1</f>
        <v>45474</v>
      </c>
      <c r="AG3" s="158"/>
      <c r="AH3" s="158"/>
    </row>
    <row r="4" spans="1:135" s="157" customFormat="1" ht="20.100000000000001" customHeight="1" x14ac:dyDescent="0.25">
      <c r="A4" s="527" t="s">
        <v>1</v>
      </c>
      <c r="B4" s="531">
        <f>+A1</f>
        <v>45444</v>
      </c>
      <c r="C4" s="531">
        <f>+B4+1</f>
        <v>45445</v>
      </c>
      <c r="D4" s="531">
        <f t="shared" si="1"/>
        <v>45446</v>
      </c>
      <c r="E4" s="531">
        <f t="shared" si="1"/>
        <v>45447</v>
      </c>
      <c r="F4" s="531">
        <f t="shared" si="1"/>
        <v>45448</v>
      </c>
      <c r="G4" s="531">
        <f t="shared" si="1"/>
        <v>45449</v>
      </c>
      <c r="H4" s="531">
        <f t="shared" si="1"/>
        <v>45450</v>
      </c>
      <c r="I4" s="531">
        <f t="shared" si="1"/>
        <v>45451</v>
      </c>
      <c r="J4" s="531">
        <f t="shared" si="1"/>
        <v>45452</v>
      </c>
      <c r="K4" s="531">
        <f t="shared" si="1"/>
        <v>45453</v>
      </c>
      <c r="L4" s="531">
        <f t="shared" si="1"/>
        <v>45454</v>
      </c>
      <c r="M4" s="531">
        <f t="shared" si="1"/>
        <v>45455</v>
      </c>
      <c r="N4" s="531">
        <f t="shared" si="1"/>
        <v>45456</v>
      </c>
      <c r="O4" s="531">
        <f t="shared" si="1"/>
        <v>45457</v>
      </c>
      <c r="P4" s="531">
        <f t="shared" si="1"/>
        <v>45458</v>
      </c>
      <c r="Q4" s="531">
        <f t="shared" si="1"/>
        <v>45459</v>
      </c>
      <c r="R4" s="531">
        <f t="shared" si="1"/>
        <v>45460</v>
      </c>
      <c r="S4" s="531">
        <f t="shared" si="1"/>
        <v>45461</v>
      </c>
      <c r="T4" s="531">
        <f t="shared" si="1"/>
        <v>45462</v>
      </c>
      <c r="U4" s="531">
        <f t="shared" si="1"/>
        <v>45463</v>
      </c>
      <c r="V4" s="531">
        <f t="shared" si="1"/>
        <v>45464</v>
      </c>
      <c r="W4" s="531">
        <f t="shared" si="1"/>
        <v>45465</v>
      </c>
      <c r="X4" s="531">
        <f t="shared" si="1"/>
        <v>45466</v>
      </c>
      <c r="Y4" s="531">
        <f t="shared" si="1"/>
        <v>45467</v>
      </c>
      <c r="Z4" s="531">
        <f t="shared" si="1"/>
        <v>45468</v>
      </c>
      <c r="AA4" s="531">
        <f t="shared" si="1"/>
        <v>45469</v>
      </c>
      <c r="AB4" s="531">
        <f t="shared" si="1"/>
        <v>45470</v>
      </c>
      <c r="AC4" s="531">
        <f t="shared" si="1"/>
        <v>45471</v>
      </c>
      <c r="AD4" s="531">
        <f t="shared" si="1"/>
        <v>45472</v>
      </c>
      <c r="AE4" s="531">
        <f t="shared" si="1"/>
        <v>45473</v>
      </c>
      <c r="AF4" s="531"/>
      <c r="AG4" s="158"/>
      <c r="AH4" s="158"/>
    </row>
    <row r="5" spans="1:135" s="180" customFormat="1" ht="9.9" customHeight="1" thickBot="1" x14ac:dyDescent="0.45">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9" t="s">
        <v>2</v>
      </c>
      <c r="B6" s="489"/>
      <c r="C6" s="489"/>
      <c r="D6" s="487"/>
      <c r="E6" s="487"/>
      <c r="F6" s="487"/>
      <c r="G6" s="487"/>
      <c r="H6" s="487"/>
      <c r="I6" s="487"/>
      <c r="J6" s="487"/>
      <c r="K6" s="487"/>
      <c r="L6" s="487"/>
      <c r="M6" s="690"/>
      <c r="N6" s="690"/>
      <c r="O6" s="488"/>
      <c r="P6" s="487"/>
      <c r="Q6" s="487"/>
      <c r="R6" s="487"/>
      <c r="S6" s="487"/>
      <c r="T6" s="488"/>
      <c r="U6" s="488"/>
      <c r="V6" s="488"/>
      <c r="W6" s="487"/>
      <c r="X6" s="487"/>
      <c r="Y6" s="487"/>
      <c r="Z6" s="487"/>
      <c r="AA6" s="488"/>
      <c r="AB6" s="488"/>
      <c r="AC6" s="488"/>
      <c r="AD6" s="487"/>
      <c r="AE6" s="487"/>
      <c r="AF6" s="487"/>
      <c r="AG6" s="467"/>
      <c r="AH6" s="470"/>
    </row>
    <row r="7" spans="1:135" s="180" customFormat="1" ht="20.100000000000001" customHeight="1" x14ac:dyDescent="0.4">
      <c r="A7" s="530" t="s">
        <v>3</v>
      </c>
      <c r="B7" s="173"/>
      <c r="C7" s="173"/>
      <c r="D7" s="173"/>
      <c r="E7" s="173"/>
      <c r="F7" s="173"/>
      <c r="G7" s="173"/>
      <c r="H7" s="173"/>
      <c r="I7" s="173"/>
      <c r="J7" s="173"/>
      <c r="K7" s="173"/>
      <c r="L7" s="173"/>
      <c r="M7" s="496"/>
      <c r="N7" s="496"/>
      <c r="O7" s="496"/>
      <c r="P7" s="496"/>
      <c r="Q7" s="496"/>
      <c r="R7" s="173"/>
      <c r="S7" s="173"/>
      <c r="T7" s="173"/>
      <c r="U7" s="173"/>
      <c r="V7" s="173"/>
      <c r="W7" s="173"/>
      <c r="X7" s="173"/>
      <c r="Y7" s="173"/>
      <c r="Z7" s="173"/>
      <c r="AA7" s="173"/>
      <c r="AB7" s="173"/>
      <c r="AC7" s="173"/>
      <c r="AD7" s="173"/>
      <c r="AE7" s="173"/>
      <c r="AF7" s="173"/>
      <c r="AG7" s="171"/>
      <c r="AH7" s="165"/>
    </row>
    <row r="8" spans="1:135" s="561" customFormat="1" ht="25.5" customHeight="1" x14ac:dyDescent="0.3">
      <c r="A8" s="559" t="s">
        <v>132</v>
      </c>
      <c r="B8" s="562">
        <v>0.36458333333333331</v>
      </c>
      <c r="C8" s="562">
        <v>0.36458333333333331</v>
      </c>
      <c r="D8" s="562">
        <v>0.41666666666666669</v>
      </c>
      <c r="E8" s="562">
        <v>0.41666666666666669</v>
      </c>
      <c r="F8" s="562">
        <v>0.41666666666666669</v>
      </c>
      <c r="G8" s="562">
        <v>0.41666666666666669</v>
      </c>
      <c r="H8" s="562">
        <v>0.41666666666666669</v>
      </c>
      <c r="I8" s="562">
        <v>0.36458333333333331</v>
      </c>
      <c r="J8" s="562">
        <v>0.36458333333333331</v>
      </c>
      <c r="K8" s="562">
        <v>0.41666666666666669</v>
      </c>
      <c r="L8" s="562">
        <v>0.41666666666666669</v>
      </c>
      <c r="M8" s="562">
        <v>0.41666666666666669</v>
      </c>
      <c r="N8" s="562">
        <v>0.41666666666666669</v>
      </c>
      <c r="O8" s="562">
        <v>0.41666666666666669</v>
      </c>
      <c r="P8" s="562">
        <v>0.36458333333333331</v>
      </c>
      <c r="Q8" s="562">
        <v>0.36458333333333331</v>
      </c>
      <c r="R8" s="562">
        <v>0.41666666666666669</v>
      </c>
      <c r="S8" s="562">
        <v>0.41666666666666669</v>
      </c>
      <c r="T8" s="562">
        <v>0.41666666666666669</v>
      </c>
      <c r="U8" s="562">
        <v>0.41666666666666669</v>
      </c>
      <c r="V8" s="562">
        <v>0.41666666666666669</v>
      </c>
      <c r="W8" s="562">
        <v>0.36458333333333331</v>
      </c>
      <c r="X8" s="562">
        <v>0.36458333333333331</v>
      </c>
      <c r="Y8" s="562">
        <v>0.41666666666666669</v>
      </c>
      <c r="Z8" s="562">
        <v>0.41666666666666669</v>
      </c>
      <c r="AA8" s="562">
        <v>0.41666666666666669</v>
      </c>
      <c r="AB8" s="562">
        <v>0.41666666666666669</v>
      </c>
      <c r="AC8" s="562">
        <v>0.41666666666666669</v>
      </c>
      <c r="AD8" s="562">
        <v>0.36458333333333331</v>
      </c>
      <c r="AE8" s="562">
        <v>0.36458333333333331</v>
      </c>
      <c r="AF8" s="562"/>
      <c r="AG8" s="560"/>
      <c r="AH8" s="562"/>
    </row>
    <row r="9" spans="1:135" s="180" customFormat="1" ht="20.25" customHeight="1" x14ac:dyDescent="0.4">
      <c r="A9" s="519" t="s">
        <v>36</v>
      </c>
      <c r="B9" s="511">
        <v>0.36458333333333331</v>
      </c>
      <c r="C9" s="511">
        <v>0.36458333333333331</v>
      </c>
      <c r="D9" s="511">
        <v>0.40625</v>
      </c>
      <c r="E9" s="511">
        <v>0.40625</v>
      </c>
      <c r="F9" s="511">
        <v>0.40625</v>
      </c>
      <c r="G9" s="511">
        <v>0.40625</v>
      </c>
      <c r="H9" s="511">
        <v>0.40625</v>
      </c>
      <c r="I9" s="511">
        <v>0.36458333333333331</v>
      </c>
      <c r="J9" s="511">
        <v>0.36458333333333331</v>
      </c>
      <c r="K9" s="511">
        <v>0.40625</v>
      </c>
      <c r="L9" s="511">
        <v>0.40625</v>
      </c>
      <c r="M9" s="511">
        <v>0.40625</v>
      </c>
      <c r="N9" s="511">
        <v>0.40625</v>
      </c>
      <c r="O9" s="511">
        <v>0.40625</v>
      </c>
      <c r="P9" s="511">
        <v>0.36458333333333331</v>
      </c>
      <c r="Q9" s="511">
        <v>0.36458333333333331</v>
      </c>
      <c r="R9" s="511">
        <v>0.40625</v>
      </c>
      <c r="S9" s="511">
        <v>0.40625</v>
      </c>
      <c r="T9" s="511">
        <v>0.40625</v>
      </c>
      <c r="U9" s="511">
        <v>0.40625</v>
      </c>
      <c r="V9" s="511">
        <v>0.40625</v>
      </c>
      <c r="W9" s="511">
        <v>0.36458333333333331</v>
      </c>
      <c r="X9" s="511">
        <v>0.36458333333333331</v>
      </c>
      <c r="Y9" s="511">
        <v>0.40625</v>
      </c>
      <c r="Z9" s="511">
        <v>0.40625</v>
      </c>
      <c r="AA9" s="511">
        <v>0.40625</v>
      </c>
      <c r="AB9" s="511">
        <v>0.40625</v>
      </c>
      <c r="AC9" s="511">
        <v>0.40625</v>
      </c>
      <c r="AD9" s="511">
        <v>0.36458333333333331</v>
      </c>
      <c r="AE9" s="511">
        <v>0.36458333333333331</v>
      </c>
      <c r="AF9" s="511"/>
      <c r="AG9" s="172"/>
      <c r="AH9" s="554"/>
    </row>
    <row r="10" spans="1:135" s="180" customFormat="1" ht="20.100000000000001" customHeight="1" x14ac:dyDescent="0.4">
      <c r="A10" s="520" t="s">
        <v>5</v>
      </c>
      <c r="B10" s="626">
        <v>0.39583333333333331</v>
      </c>
      <c r="C10" s="626">
        <v>0.39583333333333331</v>
      </c>
      <c r="D10" s="626">
        <v>0.41666666666666669</v>
      </c>
      <c r="E10" s="626">
        <v>0.41666666666666669</v>
      </c>
      <c r="F10" s="626">
        <v>0.41666666666666669</v>
      </c>
      <c r="G10" s="626">
        <v>0.41666666666666669</v>
      </c>
      <c r="H10" s="626">
        <v>0.41666666666666669</v>
      </c>
      <c r="I10" s="626">
        <v>0.39583333333333331</v>
      </c>
      <c r="J10" s="626">
        <v>0.39583333333333331</v>
      </c>
      <c r="K10" s="626">
        <v>0.41666666666666669</v>
      </c>
      <c r="L10" s="626">
        <v>0.41666666666666669</v>
      </c>
      <c r="M10" s="626">
        <v>0.41666666666666669</v>
      </c>
      <c r="N10" s="626">
        <v>0.41666666666666669</v>
      </c>
      <c r="O10" s="626">
        <v>0.41666666666666669</v>
      </c>
      <c r="P10" s="626">
        <v>0.39583333333333331</v>
      </c>
      <c r="Q10" s="626">
        <v>0.39583333333333331</v>
      </c>
      <c r="R10" s="626">
        <v>0.41666666666666669</v>
      </c>
      <c r="S10" s="626">
        <v>0.41666666666666669</v>
      </c>
      <c r="T10" s="626">
        <v>0.41666666666666669</v>
      </c>
      <c r="U10" s="626">
        <v>0.41666666666666669</v>
      </c>
      <c r="V10" s="626">
        <v>0.41666666666666669</v>
      </c>
      <c r="W10" s="626">
        <v>0.39583333333333331</v>
      </c>
      <c r="X10" s="626">
        <v>0.39583333333333331</v>
      </c>
      <c r="Y10" s="626">
        <v>0.41666666666666669</v>
      </c>
      <c r="Z10" s="626">
        <v>0.41666666666666669</v>
      </c>
      <c r="AA10" s="626">
        <v>0.41666666666666669</v>
      </c>
      <c r="AB10" s="626">
        <v>0.41666666666666669</v>
      </c>
      <c r="AC10" s="626">
        <v>0.41666666666666669</v>
      </c>
      <c r="AD10" s="626">
        <v>0.39583333333333331</v>
      </c>
      <c r="AE10" s="626">
        <v>0.39583333333333331</v>
      </c>
      <c r="AF10" s="626"/>
      <c r="AG10" s="171"/>
      <c r="AH10" s="626"/>
    </row>
    <row r="11" spans="1:135" s="180" customFormat="1" ht="20.100000000000001" customHeight="1" x14ac:dyDescent="0.4">
      <c r="A11" s="520" t="s">
        <v>6</v>
      </c>
      <c r="B11" s="627">
        <f t="shared" ref="B11:C11" si="2">IF(B10="","",IF(B15=0,B14+"0:30",+B15+"0:30"))</f>
        <v>0.96875</v>
      </c>
      <c r="C11" s="627">
        <f t="shared" si="2"/>
        <v>0.96875</v>
      </c>
      <c r="D11" s="627">
        <f t="shared" ref="D11:AE11" si="3">IF(D10="","",IF(D15=0,D14+"0:30",+D15+"0:30"))</f>
        <v>0.96875</v>
      </c>
      <c r="E11" s="627">
        <f t="shared" si="3"/>
        <v>0.96875</v>
      </c>
      <c r="F11" s="627">
        <f t="shared" si="3"/>
        <v>0.96875</v>
      </c>
      <c r="G11" s="627">
        <f t="shared" si="3"/>
        <v>0.96875</v>
      </c>
      <c r="H11" s="627">
        <f t="shared" si="3"/>
        <v>0.96875</v>
      </c>
      <c r="I11" s="627">
        <f t="shared" si="3"/>
        <v>0.96875</v>
      </c>
      <c r="J11" s="627">
        <f t="shared" si="3"/>
        <v>0.96875</v>
      </c>
      <c r="K11" s="627">
        <f t="shared" si="3"/>
        <v>0.96875</v>
      </c>
      <c r="L11" s="627">
        <f t="shared" si="3"/>
        <v>0.96875</v>
      </c>
      <c r="M11" s="627">
        <f t="shared" si="3"/>
        <v>0.96875</v>
      </c>
      <c r="N11" s="627">
        <f t="shared" si="3"/>
        <v>0.96875</v>
      </c>
      <c r="O11" s="627">
        <f t="shared" si="3"/>
        <v>0.96875</v>
      </c>
      <c r="P11" s="627">
        <f t="shared" si="3"/>
        <v>0.96875</v>
      </c>
      <c r="Q11" s="627">
        <f t="shared" si="3"/>
        <v>0.96875</v>
      </c>
      <c r="R11" s="627">
        <f t="shared" si="3"/>
        <v>0.96875</v>
      </c>
      <c r="S11" s="627">
        <f t="shared" si="3"/>
        <v>0.96875</v>
      </c>
      <c r="T11" s="627">
        <f t="shared" si="3"/>
        <v>0.96875</v>
      </c>
      <c r="U11" s="627">
        <f t="shared" si="3"/>
        <v>0.96875</v>
      </c>
      <c r="V11" s="627">
        <f t="shared" si="3"/>
        <v>0.96875</v>
      </c>
      <c r="W11" s="627">
        <f t="shared" si="3"/>
        <v>0.96875</v>
      </c>
      <c r="X11" s="627">
        <f t="shared" si="3"/>
        <v>0.96875</v>
      </c>
      <c r="Y11" s="627">
        <f t="shared" si="3"/>
        <v>0.96875</v>
      </c>
      <c r="Z11" s="627">
        <f t="shared" si="3"/>
        <v>0.96875</v>
      </c>
      <c r="AA11" s="627">
        <f t="shared" si="3"/>
        <v>0.96875</v>
      </c>
      <c r="AB11" s="627">
        <f t="shared" si="3"/>
        <v>0.96875</v>
      </c>
      <c r="AC11" s="627">
        <f t="shared" si="3"/>
        <v>0.96875</v>
      </c>
      <c r="AD11" s="627">
        <f t="shared" si="3"/>
        <v>0.96875</v>
      </c>
      <c r="AE11" s="627">
        <f t="shared" si="3"/>
        <v>0.96875</v>
      </c>
      <c r="AF11" s="627"/>
      <c r="AG11" s="171"/>
      <c r="AH11" s="626"/>
    </row>
    <row r="12" spans="1:135" s="180" customFormat="1" ht="20.100000000000001" customHeight="1" x14ac:dyDescent="0.4">
      <c r="A12" s="521" t="s">
        <v>7</v>
      </c>
      <c r="B12" s="623">
        <f t="shared" ref="B12:C12" si="4">+IF(B10="","",(B11-B10))</f>
        <v>0.57291666666666674</v>
      </c>
      <c r="C12" s="623">
        <f t="shared" si="4"/>
        <v>0.57291666666666674</v>
      </c>
      <c r="D12" s="623">
        <f t="shared" ref="D12:J12" si="5">+IF(D10="","",(D11-D10))</f>
        <v>0.55208333333333326</v>
      </c>
      <c r="E12" s="623">
        <f t="shared" si="5"/>
        <v>0.55208333333333326</v>
      </c>
      <c r="F12" s="623">
        <f t="shared" si="5"/>
        <v>0.55208333333333326</v>
      </c>
      <c r="G12" s="623">
        <f t="shared" si="5"/>
        <v>0.55208333333333326</v>
      </c>
      <c r="H12" s="623">
        <f t="shared" si="5"/>
        <v>0.55208333333333326</v>
      </c>
      <c r="I12" s="623">
        <f t="shared" si="5"/>
        <v>0.57291666666666674</v>
      </c>
      <c r="J12" s="623">
        <f t="shared" si="5"/>
        <v>0.57291666666666674</v>
      </c>
      <c r="K12" s="623">
        <f t="shared" ref="K12:Q12" si="6">+IF(K10="","",(K11-K10))</f>
        <v>0.55208333333333326</v>
      </c>
      <c r="L12" s="623">
        <f t="shared" si="6"/>
        <v>0.55208333333333326</v>
      </c>
      <c r="M12" s="623">
        <f t="shared" si="6"/>
        <v>0.55208333333333326</v>
      </c>
      <c r="N12" s="623">
        <f t="shared" si="6"/>
        <v>0.55208333333333326</v>
      </c>
      <c r="O12" s="623">
        <f t="shared" si="6"/>
        <v>0.55208333333333326</v>
      </c>
      <c r="P12" s="623">
        <f t="shared" si="6"/>
        <v>0.57291666666666674</v>
      </c>
      <c r="Q12" s="623">
        <f t="shared" si="6"/>
        <v>0.57291666666666674</v>
      </c>
      <c r="R12" s="623">
        <f t="shared" ref="R12:X12" si="7">+IF(R10="","",(R11-R10))</f>
        <v>0.55208333333333326</v>
      </c>
      <c r="S12" s="623">
        <f t="shared" si="7"/>
        <v>0.55208333333333326</v>
      </c>
      <c r="T12" s="623">
        <f t="shared" si="7"/>
        <v>0.55208333333333326</v>
      </c>
      <c r="U12" s="623">
        <f t="shared" si="7"/>
        <v>0.55208333333333326</v>
      </c>
      <c r="V12" s="623">
        <f t="shared" si="7"/>
        <v>0.55208333333333326</v>
      </c>
      <c r="W12" s="623">
        <f t="shared" si="7"/>
        <v>0.57291666666666674</v>
      </c>
      <c r="X12" s="623">
        <f t="shared" si="7"/>
        <v>0.57291666666666674</v>
      </c>
      <c r="Y12" s="623">
        <f t="shared" ref="Y12:AE12" si="8">+IF(Y10="","",(Y11-Y10))</f>
        <v>0.55208333333333326</v>
      </c>
      <c r="Z12" s="623">
        <f t="shared" si="8"/>
        <v>0.55208333333333326</v>
      </c>
      <c r="AA12" s="623">
        <f t="shared" si="8"/>
        <v>0.55208333333333326</v>
      </c>
      <c r="AB12" s="623">
        <f t="shared" si="8"/>
        <v>0.55208333333333326</v>
      </c>
      <c r="AC12" s="623">
        <f t="shared" si="8"/>
        <v>0.55208333333333326</v>
      </c>
      <c r="AD12" s="623">
        <f t="shared" si="8"/>
        <v>0.57291666666666674</v>
      </c>
      <c r="AE12" s="623">
        <f t="shared" si="8"/>
        <v>0.57291666666666674</v>
      </c>
      <c r="AF12" s="623"/>
      <c r="AG12" s="486"/>
      <c r="AH12" s="624">
        <f>SUM(B12:AF12)</f>
        <v>16.770833333333336</v>
      </c>
    </row>
    <row r="13" spans="1:135" s="180" customFormat="1" ht="9.9" customHeight="1" x14ac:dyDescent="0.4">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2"/>
      <c r="AH13" s="174"/>
    </row>
    <row r="14" spans="1:135" s="180" customFormat="1" ht="20.100000000000001" customHeight="1" x14ac:dyDescent="0.4">
      <c r="A14" s="616" t="s">
        <v>8</v>
      </c>
      <c r="B14" s="176">
        <v>0.94791666666666663</v>
      </c>
      <c r="C14" s="176">
        <v>0.94791666666666663</v>
      </c>
      <c r="D14" s="176">
        <v>0.94791666666666663</v>
      </c>
      <c r="E14" s="176">
        <v>0.94791666666666663</v>
      </c>
      <c r="F14" s="176">
        <v>0.94791666666666663</v>
      </c>
      <c r="G14" s="176">
        <v>0.94791666666666663</v>
      </c>
      <c r="H14" s="176">
        <v>0.94791666666666663</v>
      </c>
      <c r="I14" s="176">
        <v>0.94791666666666663</v>
      </c>
      <c r="J14" s="176">
        <v>0.94791666666666663</v>
      </c>
      <c r="K14" s="176">
        <v>0.94791666666666663</v>
      </c>
      <c r="L14" s="176">
        <v>0.94791666666666663</v>
      </c>
      <c r="M14" s="176">
        <v>0.94791666666666663</v>
      </c>
      <c r="N14" s="176">
        <v>0.94791666666666663</v>
      </c>
      <c r="O14" s="176">
        <v>0.94791666666666663</v>
      </c>
      <c r="P14" s="176">
        <v>0.94791666666666663</v>
      </c>
      <c r="Q14" s="176">
        <v>0.94791666666666663</v>
      </c>
      <c r="R14" s="176">
        <v>0.94791666666666663</v>
      </c>
      <c r="S14" s="176">
        <v>0.94791666666666663</v>
      </c>
      <c r="T14" s="176">
        <v>0.94791666666666663</v>
      </c>
      <c r="U14" s="176">
        <v>0.94791666666666663</v>
      </c>
      <c r="V14" s="176">
        <v>0.94791666666666663</v>
      </c>
      <c r="W14" s="176">
        <v>0.94791666666666663</v>
      </c>
      <c r="X14" s="176">
        <v>0.94791666666666663</v>
      </c>
      <c r="Y14" s="176">
        <v>0.94791666666666663</v>
      </c>
      <c r="Z14" s="176">
        <v>0.94791666666666663</v>
      </c>
      <c r="AA14" s="176">
        <v>0.94791666666666663</v>
      </c>
      <c r="AB14" s="176">
        <v>0.94791666666666663</v>
      </c>
      <c r="AC14" s="176">
        <v>0.94791666666666663</v>
      </c>
      <c r="AD14" s="176">
        <v>0.94791666666666663</v>
      </c>
      <c r="AE14" s="176">
        <v>0.94791666666666663</v>
      </c>
      <c r="AF14" s="176"/>
      <c r="AG14" s="171"/>
      <c r="AH14" s="176"/>
    </row>
    <row r="15" spans="1:135" s="180" customFormat="1" ht="20.100000000000001" customHeight="1" thickBot="1" x14ac:dyDescent="0.45">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575"/>
      <c r="AG15" s="171"/>
      <c r="AH15" s="555"/>
    </row>
    <row r="16" spans="1:135" s="180" customFormat="1" ht="20.100000000000001" hidden="1" customHeight="1" thickBot="1" x14ac:dyDescent="0.45">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9" t="s">
        <v>10</v>
      </c>
      <c r="B17" s="179">
        <f t="shared" ref="B17:AE17" si="9">COUNTIF(B14,"&gt;0")</f>
        <v>1</v>
      </c>
      <c r="C17" s="179">
        <f t="shared" si="9"/>
        <v>1</v>
      </c>
      <c r="D17" s="179">
        <f t="shared" si="9"/>
        <v>1</v>
      </c>
      <c r="E17" s="179">
        <f t="shared" si="9"/>
        <v>1</v>
      </c>
      <c r="F17" s="179">
        <f t="shared" si="9"/>
        <v>1</v>
      </c>
      <c r="G17" s="179">
        <f t="shared" si="9"/>
        <v>1</v>
      </c>
      <c r="H17" s="179">
        <f t="shared" si="9"/>
        <v>1</v>
      </c>
      <c r="I17" s="179">
        <f t="shared" si="9"/>
        <v>1</v>
      </c>
      <c r="J17" s="179">
        <f t="shared" si="9"/>
        <v>1</v>
      </c>
      <c r="K17" s="179">
        <f t="shared" si="9"/>
        <v>1</v>
      </c>
      <c r="L17" s="179">
        <f t="shared" si="9"/>
        <v>1</v>
      </c>
      <c r="M17" s="179">
        <f t="shared" si="9"/>
        <v>1</v>
      </c>
      <c r="N17" s="179">
        <f t="shared" si="9"/>
        <v>1</v>
      </c>
      <c r="O17" s="179">
        <f t="shared" si="9"/>
        <v>1</v>
      </c>
      <c r="P17" s="179">
        <f t="shared" si="9"/>
        <v>1</v>
      </c>
      <c r="Q17" s="179">
        <f t="shared" si="9"/>
        <v>1</v>
      </c>
      <c r="R17" s="179">
        <f t="shared" si="9"/>
        <v>1</v>
      </c>
      <c r="S17" s="179">
        <f t="shared" si="9"/>
        <v>1</v>
      </c>
      <c r="T17" s="179">
        <f t="shared" si="9"/>
        <v>1</v>
      </c>
      <c r="U17" s="179">
        <f t="shared" si="9"/>
        <v>1</v>
      </c>
      <c r="V17" s="179">
        <f t="shared" si="9"/>
        <v>1</v>
      </c>
      <c r="W17" s="179">
        <f t="shared" si="9"/>
        <v>1</v>
      </c>
      <c r="X17" s="179">
        <f t="shared" si="9"/>
        <v>1</v>
      </c>
      <c r="Y17" s="179">
        <f t="shared" si="9"/>
        <v>1</v>
      </c>
      <c r="Z17" s="179">
        <f t="shared" si="9"/>
        <v>1</v>
      </c>
      <c r="AA17" s="179">
        <f t="shared" si="9"/>
        <v>1</v>
      </c>
      <c r="AB17" s="179">
        <f t="shared" si="9"/>
        <v>1</v>
      </c>
      <c r="AC17" s="179">
        <f t="shared" si="9"/>
        <v>1</v>
      </c>
      <c r="AD17" s="179">
        <f t="shared" si="9"/>
        <v>1</v>
      </c>
      <c r="AE17" s="179">
        <f t="shared" si="9"/>
        <v>1</v>
      </c>
      <c r="AF17" s="179"/>
      <c r="AG17" s="171"/>
      <c r="AH17" s="163"/>
    </row>
    <row r="18" spans="1:135" s="180" customFormat="1" ht="20.100000000000001" hidden="1" customHeight="1" x14ac:dyDescent="0.4">
      <c r="A18" s="519" t="s">
        <v>11</v>
      </c>
      <c r="B18" s="179">
        <f>COUNTIF(B15,"&gt;0")</f>
        <v>0</v>
      </c>
      <c r="C18" s="179">
        <f t="shared" ref="C18:AE18" si="10">COUNTIF(C15,"&gt;0")</f>
        <v>0</v>
      </c>
      <c r="D18" s="179">
        <f t="shared" si="10"/>
        <v>0</v>
      </c>
      <c r="E18" s="179">
        <f t="shared" si="10"/>
        <v>0</v>
      </c>
      <c r="F18" s="179">
        <f t="shared" si="10"/>
        <v>0</v>
      </c>
      <c r="G18" s="179">
        <f t="shared" si="10"/>
        <v>0</v>
      </c>
      <c r="H18" s="179">
        <f t="shared" si="10"/>
        <v>0</v>
      </c>
      <c r="I18" s="179">
        <f t="shared" si="10"/>
        <v>0</v>
      </c>
      <c r="J18" s="179">
        <f t="shared" si="10"/>
        <v>0</v>
      </c>
      <c r="K18" s="179">
        <f t="shared" si="10"/>
        <v>0</v>
      </c>
      <c r="L18" s="179">
        <f t="shared" si="10"/>
        <v>0</v>
      </c>
      <c r="M18" s="179">
        <f t="shared" si="10"/>
        <v>0</v>
      </c>
      <c r="N18" s="179">
        <f t="shared" si="10"/>
        <v>0</v>
      </c>
      <c r="O18" s="179">
        <f t="shared" si="10"/>
        <v>0</v>
      </c>
      <c r="P18" s="179">
        <f t="shared" si="10"/>
        <v>0</v>
      </c>
      <c r="Q18" s="179">
        <f t="shared" si="10"/>
        <v>0</v>
      </c>
      <c r="R18" s="179">
        <f t="shared" si="10"/>
        <v>0</v>
      </c>
      <c r="S18" s="179">
        <f t="shared" si="10"/>
        <v>0</v>
      </c>
      <c r="T18" s="179">
        <f t="shared" si="10"/>
        <v>0</v>
      </c>
      <c r="U18" s="179">
        <f t="shared" si="10"/>
        <v>0</v>
      </c>
      <c r="V18" s="179">
        <f t="shared" si="10"/>
        <v>0</v>
      </c>
      <c r="W18" s="179">
        <f t="shared" si="10"/>
        <v>0</v>
      </c>
      <c r="X18" s="179">
        <f t="shared" si="10"/>
        <v>0</v>
      </c>
      <c r="Y18" s="179">
        <f t="shared" si="10"/>
        <v>0</v>
      </c>
      <c r="Z18" s="179">
        <f t="shared" si="10"/>
        <v>0</v>
      </c>
      <c r="AA18" s="179">
        <f t="shared" si="10"/>
        <v>0</v>
      </c>
      <c r="AB18" s="179">
        <f t="shared" si="10"/>
        <v>0</v>
      </c>
      <c r="AC18" s="179">
        <f t="shared" si="10"/>
        <v>0</v>
      </c>
      <c r="AD18" s="179">
        <f t="shared" si="10"/>
        <v>0</v>
      </c>
      <c r="AE18" s="179">
        <f t="shared" si="10"/>
        <v>0</v>
      </c>
      <c r="AF18" s="179"/>
      <c r="AG18" s="171"/>
      <c r="AH18" s="163"/>
    </row>
    <row r="19" spans="1:135" s="180" customFormat="1" ht="20.100000000000001" hidden="1" customHeight="1" thickBot="1" x14ac:dyDescent="0.45">
      <c r="A19" s="519" t="s">
        <v>20</v>
      </c>
      <c r="B19" s="179">
        <f>COUNTIF(B16,"&gt;0")</f>
        <v>0</v>
      </c>
      <c r="C19" s="179">
        <f t="shared" ref="C19:AE19" si="11">COUNTIF(C16,"&gt;0")</f>
        <v>0</v>
      </c>
      <c r="D19" s="179">
        <f t="shared" si="11"/>
        <v>0</v>
      </c>
      <c r="E19" s="179">
        <f t="shared" si="11"/>
        <v>0</v>
      </c>
      <c r="F19" s="179">
        <f t="shared" si="11"/>
        <v>0</v>
      </c>
      <c r="G19" s="179">
        <f t="shared" si="11"/>
        <v>0</v>
      </c>
      <c r="H19" s="179">
        <f t="shared" si="11"/>
        <v>0</v>
      </c>
      <c r="I19" s="179">
        <f t="shared" si="11"/>
        <v>0</v>
      </c>
      <c r="J19" s="179">
        <f t="shared" si="11"/>
        <v>0</v>
      </c>
      <c r="K19" s="179">
        <f t="shared" si="11"/>
        <v>0</v>
      </c>
      <c r="L19" s="179">
        <f t="shared" si="11"/>
        <v>0</v>
      </c>
      <c r="M19" s="179">
        <f t="shared" si="11"/>
        <v>0</v>
      </c>
      <c r="N19" s="179">
        <f t="shared" si="11"/>
        <v>0</v>
      </c>
      <c r="O19" s="179">
        <f t="shared" si="11"/>
        <v>0</v>
      </c>
      <c r="P19" s="179">
        <f t="shared" si="11"/>
        <v>0</v>
      </c>
      <c r="Q19" s="179">
        <f t="shared" si="11"/>
        <v>0</v>
      </c>
      <c r="R19" s="179">
        <f t="shared" si="11"/>
        <v>0</v>
      </c>
      <c r="S19" s="179">
        <f t="shared" si="11"/>
        <v>0</v>
      </c>
      <c r="T19" s="179">
        <f t="shared" si="11"/>
        <v>0</v>
      </c>
      <c r="U19" s="179">
        <f t="shared" si="11"/>
        <v>0</v>
      </c>
      <c r="V19" s="179">
        <f t="shared" si="11"/>
        <v>0</v>
      </c>
      <c r="W19" s="179">
        <f t="shared" si="11"/>
        <v>0</v>
      </c>
      <c r="X19" s="179">
        <f t="shared" si="11"/>
        <v>0</v>
      </c>
      <c r="Y19" s="179">
        <f t="shared" si="11"/>
        <v>0</v>
      </c>
      <c r="Z19" s="179">
        <f t="shared" si="11"/>
        <v>0</v>
      </c>
      <c r="AA19" s="179">
        <f t="shared" si="11"/>
        <v>0</v>
      </c>
      <c r="AB19" s="179">
        <f t="shared" si="11"/>
        <v>0</v>
      </c>
      <c r="AC19" s="179">
        <f t="shared" si="11"/>
        <v>0</v>
      </c>
      <c r="AD19" s="179">
        <f t="shared" si="11"/>
        <v>0</v>
      </c>
      <c r="AE19" s="179">
        <f t="shared" si="11"/>
        <v>0</v>
      </c>
      <c r="AF19" s="179"/>
      <c r="AG19" s="171"/>
      <c r="AH19" s="163"/>
    </row>
    <row r="20" spans="1:135" s="180" customFormat="1" ht="20.100000000000001" customHeight="1" thickBot="1" x14ac:dyDescent="0.45">
      <c r="A20" s="616" t="s">
        <v>12</v>
      </c>
      <c r="B20" s="618">
        <f>SUM(B17:B19)</f>
        <v>1</v>
      </c>
      <c r="C20" s="618">
        <f>SUM(C17:C19)</f>
        <v>1</v>
      </c>
      <c r="D20" s="618">
        <f t="shared" ref="D20:AE20" si="12">SUM(D17:D19)</f>
        <v>1</v>
      </c>
      <c r="E20" s="618">
        <f t="shared" si="12"/>
        <v>1</v>
      </c>
      <c r="F20" s="618">
        <f t="shared" si="12"/>
        <v>1</v>
      </c>
      <c r="G20" s="618">
        <f t="shared" si="12"/>
        <v>1</v>
      </c>
      <c r="H20" s="618">
        <f t="shared" si="12"/>
        <v>1</v>
      </c>
      <c r="I20" s="618">
        <f t="shared" si="12"/>
        <v>1</v>
      </c>
      <c r="J20" s="618">
        <f t="shared" si="12"/>
        <v>1</v>
      </c>
      <c r="K20" s="618">
        <f t="shared" si="12"/>
        <v>1</v>
      </c>
      <c r="L20" s="618">
        <f t="shared" si="12"/>
        <v>1</v>
      </c>
      <c r="M20" s="618">
        <f t="shared" si="12"/>
        <v>1</v>
      </c>
      <c r="N20" s="618">
        <f t="shared" si="12"/>
        <v>1</v>
      </c>
      <c r="O20" s="618">
        <f t="shared" si="12"/>
        <v>1</v>
      </c>
      <c r="P20" s="618">
        <f t="shared" si="12"/>
        <v>1</v>
      </c>
      <c r="Q20" s="618">
        <f t="shared" si="12"/>
        <v>1</v>
      </c>
      <c r="R20" s="618">
        <f t="shared" si="12"/>
        <v>1</v>
      </c>
      <c r="S20" s="618">
        <f t="shared" si="12"/>
        <v>1</v>
      </c>
      <c r="T20" s="618">
        <f t="shared" si="12"/>
        <v>1</v>
      </c>
      <c r="U20" s="618">
        <f t="shared" si="12"/>
        <v>1</v>
      </c>
      <c r="V20" s="618">
        <f t="shared" si="12"/>
        <v>1</v>
      </c>
      <c r="W20" s="618">
        <f t="shared" si="12"/>
        <v>1</v>
      </c>
      <c r="X20" s="618">
        <f t="shared" si="12"/>
        <v>1</v>
      </c>
      <c r="Y20" s="618">
        <f t="shared" si="12"/>
        <v>1</v>
      </c>
      <c r="Z20" s="618">
        <f t="shared" si="12"/>
        <v>1</v>
      </c>
      <c r="AA20" s="618">
        <f t="shared" si="12"/>
        <v>1</v>
      </c>
      <c r="AB20" s="618">
        <f t="shared" si="12"/>
        <v>1</v>
      </c>
      <c r="AC20" s="618">
        <f t="shared" si="12"/>
        <v>1</v>
      </c>
      <c r="AD20" s="618">
        <f t="shared" si="12"/>
        <v>1</v>
      </c>
      <c r="AE20" s="618">
        <f t="shared" si="12"/>
        <v>1</v>
      </c>
      <c r="AF20" s="618"/>
      <c r="AG20" s="171"/>
      <c r="AH20" s="619">
        <f>SUM(B20:AF20)</f>
        <v>30</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8" t="s">
        <v>21</v>
      </c>
      <c r="B22" s="600">
        <v>1800</v>
      </c>
      <c r="C22" s="600">
        <v>1000</v>
      </c>
      <c r="D22" s="600">
        <v>400</v>
      </c>
      <c r="E22" s="600">
        <v>350</v>
      </c>
      <c r="F22" s="600">
        <v>350</v>
      </c>
      <c r="G22" s="600">
        <v>300</v>
      </c>
      <c r="H22" s="600">
        <v>400</v>
      </c>
      <c r="I22" s="600">
        <v>2400</v>
      </c>
      <c r="J22" s="600">
        <v>1700</v>
      </c>
      <c r="K22" s="600">
        <v>400</v>
      </c>
      <c r="L22" s="600">
        <v>400</v>
      </c>
      <c r="M22" s="600">
        <v>400</v>
      </c>
      <c r="N22" s="600">
        <v>400</v>
      </c>
      <c r="O22" s="600">
        <v>500</v>
      </c>
      <c r="P22" s="600">
        <v>1900</v>
      </c>
      <c r="Q22" s="600">
        <v>1000</v>
      </c>
      <c r="R22" s="600">
        <v>400</v>
      </c>
      <c r="S22" s="600">
        <v>400</v>
      </c>
      <c r="T22" s="600">
        <v>400</v>
      </c>
      <c r="U22" s="600">
        <v>400</v>
      </c>
      <c r="V22" s="600">
        <v>600</v>
      </c>
      <c r="W22" s="600">
        <v>1900</v>
      </c>
      <c r="X22" s="600">
        <v>1000</v>
      </c>
      <c r="Y22" s="600">
        <v>500</v>
      </c>
      <c r="Z22" s="600">
        <v>600</v>
      </c>
      <c r="AA22" s="600">
        <v>600</v>
      </c>
      <c r="AB22" s="600">
        <v>600</v>
      </c>
      <c r="AC22" s="600">
        <v>600</v>
      </c>
      <c r="AD22" s="600">
        <v>1900</v>
      </c>
      <c r="AE22" s="600">
        <v>1300</v>
      </c>
      <c r="AF22" s="600"/>
      <c r="AG22" s="522"/>
      <c r="AH22" s="594">
        <f>SUM(B22:AG22)</f>
        <v>24900</v>
      </c>
    </row>
    <row r="23" spans="1:135" s="1" customFormat="1" ht="33.9" customHeight="1" x14ac:dyDescent="0.25">
      <c r="A23" s="590" t="s">
        <v>22</v>
      </c>
      <c r="B23" s="602">
        <v>3200</v>
      </c>
      <c r="C23" s="602">
        <v>2000</v>
      </c>
      <c r="D23" s="602">
        <v>800</v>
      </c>
      <c r="E23" s="602">
        <v>700</v>
      </c>
      <c r="F23" s="602">
        <v>700</v>
      </c>
      <c r="G23" s="602">
        <v>800</v>
      </c>
      <c r="H23" s="602">
        <v>900</v>
      </c>
      <c r="I23" s="602">
        <v>3300</v>
      </c>
      <c r="J23" s="602">
        <v>2200</v>
      </c>
      <c r="K23" s="602">
        <v>800</v>
      </c>
      <c r="L23" s="602">
        <v>800</v>
      </c>
      <c r="M23" s="602">
        <v>750</v>
      </c>
      <c r="N23" s="602">
        <v>750</v>
      </c>
      <c r="O23" s="602">
        <v>1000</v>
      </c>
      <c r="P23" s="602">
        <v>3600</v>
      </c>
      <c r="Q23" s="602">
        <v>2300</v>
      </c>
      <c r="R23" s="602">
        <v>800</v>
      </c>
      <c r="S23" s="602">
        <v>900</v>
      </c>
      <c r="T23" s="602">
        <v>800</v>
      </c>
      <c r="U23" s="602">
        <v>800</v>
      </c>
      <c r="V23" s="602">
        <v>1000</v>
      </c>
      <c r="W23" s="602">
        <v>3600</v>
      </c>
      <c r="X23" s="602">
        <v>2300</v>
      </c>
      <c r="Y23" s="602">
        <v>1300</v>
      </c>
      <c r="Z23" s="602">
        <v>1500</v>
      </c>
      <c r="AA23" s="602">
        <v>1500</v>
      </c>
      <c r="AB23" s="602">
        <v>1600</v>
      </c>
      <c r="AC23" s="602">
        <v>1500</v>
      </c>
      <c r="AD23" s="602">
        <v>3200</v>
      </c>
      <c r="AE23" s="602">
        <v>2400</v>
      </c>
      <c r="AF23" s="602"/>
      <c r="AG23" s="522"/>
      <c r="AH23" s="595">
        <f t="shared" ref="AH23:AH32" si="13">SUM(B23:AG23)</f>
        <v>47800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603">
        <v>5000</v>
      </c>
      <c r="C24" s="603">
        <v>3000</v>
      </c>
      <c r="D24" s="603">
        <v>1200</v>
      </c>
      <c r="E24" s="603">
        <v>1050</v>
      </c>
      <c r="F24" s="603">
        <v>1050</v>
      </c>
      <c r="G24" s="603">
        <v>1100</v>
      </c>
      <c r="H24" s="603">
        <v>1300</v>
      </c>
      <c r="I24" s="603">
        <v>5700</v>
      </c>
      <c r="J24" s="603">
        <v>3900</v>
      </c>
      <c r="K24" s="603">
        <v>1200</v>
      </c>
      <c r="L24" s="603">
        <v>1200</v>
      </c>
      <c r="M24" s="603">
        <v>1150</v>
      </c>
      <c r="N24" s="603">
        <v>1150</v>
      </c>
      <c r="O24" s="603">
        <v>1500</v>
      </c>
      <c r="P24" s="603">
        <v>5500</v>
      </c>
      <c r="Q24" s="603">
        <v>3300</v>
      </c>
      <c r="R24" s="603">
        <v>1200</v>
      </c>
      <c r="S24" s="603">
        <v>1300</v>
      </c>
      <c r="T24" s="603">
        <v>1200</v>
      </c>
      <c r="U24" s="603">
        <v>1200</v>
      </c>
      <c r="V24" s="603">
        <v>1600</v>
      </c>
      <c r="W24" s="603">
        <v>5500</v>
      </c>
      <c r="X24" s="603">
        <v>3300</v>
      </c>
      <c r="Y24" s="603">
        <v>1800</v>
      </c>
      <c r="Z24" s="603">
        <v>2100</v>
      </c>
      <c r="AA24" s="603">
        <v>2100</v>
      </c>
      <c r="AB24" s="603">
        <v>2200</v>
      </c>
      <c r="AC24" s="603">
        <v>2100</v>
      </c>
      <c r="AD24" s="603">
        <v>5100</v>
      </c>
      <c r="AE24" s="603">
        <v>3700</v>
      </c>
      <c r="AF24" s="603"/>
      <c r="AG24" s="513"/>
      <c r="AH24" s="596">
        <f t="shared" si="13"/>
        <v>72700</v>
      </c>
    </row>
    <row r="25" spans="1:135" s="1" customFormat="1" ht="33.9" customHeight="1" x14ac:dyDescent="0.25">
      <c r="A25" s="588" t="s">
        <v>43</v>
      </c>
      <c r="B25" s="600">
        <v>2050</v>
      </c>
      <c r="C25" s="600">
        <v>1380</v>
      </c>
      <c r="D25" s="600">
        <v>30</v>
      </c>
      <c r="E25" s="600">
        <v>20</v>
      </c>
      <c r="F25" s="600">
        <v>100</v>
      </c>
      <c r="G25" s="600">
        <v>130</v>
      </c>
      <c r="H25" s="600">
        <v>270</v>
      </c>
      <c r="I25" s="600">
        <v>1560</v>
      </c>
      <c r="J25" s="600">
        <v>1070</v>
      </c>
      <c r="K25" s="600">
        <v>70</v>
      </c>
      <c r="L25" s="600">
        <v>0</v>
      </c>
      <c r="M25" s="600">
        <v>100</v>
      </c>
      <c r="N25" s="600">
        <v>20</v>
      </c>
      <c r="O25" s="600">
        <v>60</v>
      </c>
      <c r="P25" s="600">
        <v>1590</v>
      </c>
      <c r="Q25" s="600">
        <v>1330</v>
      </c>
      <c r="R25" s="600">
        <v>0</v>
      </c>
      <c r="S25" s="600">
        <v>0</v>
      </c>
      <c r="T25" s="600">
        <v>70</v>
      </c>
      <c r="U25" s="600">
        <v>0</v>
      </c>
      <c r="V25" s="600">
        <v>60</v>
      </c>
      <c r="W25" s="600">
        <v>2450</v>
      </c>
      <c r="X25" s="600">
        <v>2200</v>
      </c>
      <c r="Y25" s="600">
        <v>20</v>
      </c>
      <c r="Z25" s="600">
        <v>140</v>
      </c>
      <c r="AA25" s="600">
        <v>390</v>
      </c>
      <c r="AB25" s="600">
        <v>0</v>
      </c>
      <c r="AC25" s="600">
        <v>150</v>
      </c>
      <c r="AD25" s="600">
        <v>2470</v>
      </c>
      <c r="AE25" s="600">
        <v>2190</v>
      </c>
      <c r="AF25" s="600"/>
      <c r="AG25" s="522"/>
      <c r="AH25" s="594">
        <f t="shared" si="13"/>
        <v>19920</v>
      </c>
    </row>
    <row r="26" spans="1:135" s="1" customFormat="1" ht="33.9" customHeight="1" x14ac:dyDescent="0.25">
      <c r="A26" s="590" t="s">
        <v>44</v>
      </c>
      <c r="B26" s="602">
        <v>160</v>
      </c>
      <c r="C26" s="602">
        <v>260</v>
      </c>
      <c r="D26" s="602">
        <v>1330</v>
      </c>
      <c r="E26" s="602">
        <v>1840</v>
      </c>
      <c r="F26" s="602">
        <v>1960</v>
      </c>
      <c r="G26" s="602">
        <v>2100</v>
      </c>
      <c r="H26" s="602">
        <v>1600</v>
      </c>
      <c r="I26" s="602">
        <v>180</v>
      </c>
      <c r="J26" s="602">
        <v>270</v>
      </c>
      <c r="K26" s="602">
        <v>1290</v>
      </c>
      <c r="L26" s="602">
        <v>1840</v>
      </c>
      <c r="M26" s="602">
        <v>1740</v>
      </c>
      <c r="N26" s="602">
        <v>2250</v>
      </c>
      <c r="O26" s="602">
        <v>1260</v>
      </c>
      <c r="P26" s="602">
        <v>230</v>
      </c>
      <c r="Q26" s="602">
        <v>230</v>
      </c>
      <c r="R26" s="602">
        <v>1240</v>
      </c>
      <c r="S26" s="602">
        <v>2400</v>
      </c>
      <c r="T26" s="602">
        <v>1250</v>
      </c>
      <c r="U26" s="602">
        <v>2300</v>
      </c>
      <c r="V26" s="602">
        <v>2250</v>
      </c>
      <c r="W26" s="602">
        <v>730</v>
      </c>
      <c r="X26" s="602">
        <v>140</v>
      </c>
      <c r="Y26" s="602">
        <v>1760</v>
      </c>
      <c r="Z26" s="602">
        <v>3430</v>
      </c>
      <c r="AA26" s="602">
        <v>1100</v>
      </c>
      <c r="AB26" s="602">
        <v>2030</v>
      </c>
      <c r="AC26" s="602">
        <v>1300</v>
      </c>
      <c r="AD26" s="602">
        <v>220</v>
      </c>
      <c r="AE26" s="602">
        <v>150</v>
      </c>
      <c r="AF26" s="602"/>
      <c r="AG26" s="522"/>
      <c r="AH26" s="595">
        <f t="shared" si="13"/>
        <v>38840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603">
        <v>2210</v>
      </c>
      <c r="C27" s="603">
        <v>1640</v>
      </c>
      <c r="D27" s="603">
        <v>1360</v>
      </c>
      <c r="E27" s="603">
        <v>1860</v>
      </c>
      <c r="F27" s="603">
        <v>2060</v>
      </c>
      <c r="G27" s="603">
        <v>2230</v>
      </c>
      <c r="H27" s="603">
        <v>1870</v>
      </c>
      <c r="I27" s="603">
        <v>1740</v>
      </c>
      <c r="J27" s="603">
        <v>1340</v>
      </c>
      <c r="K27" s="603">
        <v>1360</v>
      </c>
      <c r="L27" s="603">
        <v>1840</v>
      </c>
      <c r="M27" s="603">
        <v>1840</v>
      </c>
      <c r="N27" s="603">
        <v>2270</v>
      </c>
      <c r="O27" s="603">
        <v>1320</v>
      </c>
      <c r="P27" s="603">
        <v>1820</v>
      </c>
      <c r="Q27" s="603">
        <v>1560</v>
      </c>
      <c r="R27" s="603">
        <v>1240</v>
      </c>
      <c r="S27" s="603">
        <v>2400</v>
      </c>
      <c r="T27" s="603">
        <v>1320</v>
      </c>
      <c r="U27" s="603">
        <v>2300</v>
      </c>
      <c r="V27" s="603">
        <v>2310</v>
      </c>
      <c r="W27" s="603">
        <v>3180</v>
      </c>
      <c r="X27" s="603">
        <v>2340</v>
      </c>
      <c r="Y27" s="603">
        <v>1780</v>
      </c>
      <c r="Z27" s="603">
        <v>3570</v>
      </c>
      <c r="AA27" s="603">
        <v>1490</v>
      </c>
      <c r="AB27" s="603">
        <v>2030</v>
      </c>
      <c r="AC27" s="603">
        <v>1450</v>
      </c>
      <c r="AD27" s="603">
        <v>2690</v>
      </c>
      <c r="AE27" s="603">
        <v>2340</v>
      </c>
      <c r="AF27" s="603"/>
      <c r="AG27" s="513"/>
      <c r="AH27" s="596">
        <f t="shared" si="13"/>
        <v>58760</v>
      </c>
    </row>
    <row r="28" spans="1:135" s="1" customFormat="1" ht="33.9" customHeight="1" x14ac:dyDescent="0.25">
      <c r="A28" s="588" t="s">
        <v>23</v>
      </c>
      <c r="B28" s="600">
        <v>140</v>
      </c>
      <c r="C28" s="600">
        <v>130</v>
      </c>
      <c r="D28" s="600">
        <v>100</v>
      </c>
      <c r="E28" s="600">
        <v>100</v>
      </c>
      <c r="F28" s="600">
        <v>100</v>
      </c>
      <c r="G28" s="600">
        <v>100</v>
      </c>
      <c r="H28" s="600">
        <v>100</v>
      </c>
      <c r="I28" s="600">
        <v>140</v>
      </c>
      <c r="J28" s="600">
        <v>130</v>
      </c>
      <c r="K28" s="600">
        <v>100</v>
      </c>
      <c r="L28" s="600">
        <v>130</v>
      </c>
      <c r="M28" s="600">
        <v>110</v>
      </c>
      <c r="N28" s="600">
        <v>130</v>
      </c>
      <c r="O28" s="600">
        <v>110</v>
      </c>
      <c r="P28" s="600">
        <v>140</v>
      </c>
      <c r="Q28" s="600">
        <v>130</v>
      </c>
      <c r="R28" s="600">
        <v>80</v>
      </c>
      <c r="S28" s="600">
        <v>100</v>
      </c>
      <c r="T28" s="600">
        <v>100</v>
      </c>
      <c r="U28" s="600">
        <v>110</v>
      </c>
      <c r="V28" s="600">
        <v>100</v>
      </c>
      <c r="W28" s="600">
        <v>140</v>
      </c>
      <c r="X28" s="600">
        <v>130</v>
      </c>
      <c r="Y28" s="600">
        <v>100</v>
      </c>
      <c r="Z28" s="600">
        <v>130</v>
      </c>
      <c r="AA28" s="600">
        <v>110</v>
      </c>
      <c r="AB28" s="600">
        <v>130</v>
      </c>
      <c r="AC28" s="600">
        <v>110</v>
      </c>
      <c r="AD28" s="600">
        <v>140</v>
      </c>
      <c r="AE28" s="600">
        <v>130</v>
      </c>
      <c r="AF28" s="600"/>
      <c r="AG28" s="522"/>
      <c r="AH28" s="594">
        <f t="shared" si="13"/>
        <v>3500</v>
      </c>
    </row>
    <row r="29" spans="1:135" s="1" customFormat="1" ht="33.9" customHeight="1" x14ac:dyDescent="0.25">
      <c r="A29" s="590" t="s">
        <v>26</v>
      </c>
      <c r="B29" s="602">
        <v>100</v>
      </c>
      <c r="C29" s="602">
        <v>90</v>
      </c>
      <c r="D29" s="602">
        <v>50</v>
      </c>
      <c r="E29" s="602">
        <v>60</v>
      </c>
      <c r="F29" s="602">
        <v>60</v>
      </c>
      <c r="G29" s="602">
        <v>60</v>
      </c>
      <c r="H29" s="602">
        <v>60</v>
      </c>
      <c r="I29" s="602">
        <v>100</v>
      </c>
      <c r="J29" s="602">
        <v>90</v>
      </c>
      <c r="K29" s="602">
        <v>70</v>
      </c>
      <c r="L29" s="602">
        <v>90</v>
      </c>
      <c r="M29" s="602">
        <v>80</v>
      </c>
      <c r="N29" s="602">
        <v>90</v>
      </c>
      <c r="O29" s="602">
        <v>80</v>
      </c>
      <c r="P29" s="602">
        <v>100</v>
      </c>
      <c r="Q29" s="602">
        <v>90</v>
      </c>
      <c r="R29" s="602">
        <v>60</v>
      </c>
      <c r="S29" s="602">
        <v>70</v>
      </c>
      <c r="T29" s="602">
        <v>70</v>
      </c>
      <c r="U29" s="602">
        <v>80</v>
      </c>
      <c r="V29" s="602">
        <v>70</v>
      </c>
      <c r="W29" s="602">
        <v>100</v>
      </c>
      <c r="X29" s="602">
        <v>90</v>
      </c>
      <c r="Y29" s="602">
        <v>70</v>
      </c>
      <c r="Z29" s="602">
        <v>90</v>
      </c>
      <c r="AA29" s="602">
        <v>80</v>
      </c>
      <c r="AB29" s="602">
        <v>90</v>
      </c>
      <c r="AC29" s="602">
        <v>80</v>
      </c>
      <c r="AD29" s="602">
        <v>100</v>
      </c>
      <c r="AE29" s="602">
        <v>90</v>
      </c>
      <c r="AF29" s="602"/>
      <c r="AG29" s="522"/>
      <c r="AH29" s="595">
        <f t="shared" si="13"/>
        <v>2410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600">
        <v>1150</v>
      </c>
      <c r="C30" s="600">
        <v>0</v>
      </c>
      <c r="D30" s="600">
        <v>50</v>
      </c>
      <c r="E30" s="600">
        <v>60</v>
      </c>
      <c r="F30" s="600">
        <v>0</v>
      </c>
      <c r="G30" s="600">
        <v>340</v>
      </c>
      <c r="H30" s="600">
        <v>750</v>
      </c>
      <c r="I30" s="600">
        <v>1250</v>
      </c>
      <c r="J30" s="600">
        <v>550</v>
      </c>
      <c r="K30" s="600">
        <v>0</v>
      </c>
      <c r="L30" s="600">
        <v>60</v>
      </c>
      <c r="M30" s="600">
        <v>180</v>
      </c>
      <c r="N30" s="600">
        <v>940</v>
      </c>
      <c r="O30" s="600">
        <v>300</v>
      </c>
      <c r="P30" s="600">
        <v>170</v>
      </c>
      <c r="Q30" s="600">
        <v>0</v>
      </c>
      <c r="R30" s="600">
        <v>0</v>
      </c>
      <c r="S30" s="600">
        <v>470</v>
      </c>
      <c r="T30" s="600">
        <v>720</v>
      </c>
      <c r="U30" s="600">
        <v>190</v>
      </c>
      <c r="V30" s="600">
        <v>0</v>
      </c>
      <c r="W30" s="600">
        <v>60</v>
      </c>
      <c r="X30" s="600">
        <v>30</v>
      </c>
      <c r="Y30" s="600">
        <v>20</v>
      </c>
      <c r="Z30" s="600">
        <v>40</v>
      </c>
      <c r="AA30" s="600">
        <v>420</v>
      </c>
      <c r="AB30" s="600">
        <v>440</v>
      </c>
      <c r="AC30" s="600">
        <v>20</v>
      </c>
      <c r="AD30" s="600">
        <v>0</v>
      </c>
      <c r="AE30" s="600">
        <v>0</v>
      </c>
      <c r="AF30" s="600"/>
      <c r="AG30" s="522"/>
      <c r="AH30" s="594">
        <f t="shared" si="13"/>
        <v>8210</v>
      </c>
    </row>
    <row r="31" spans="1:135" s="3" customFormat="1" ht="36" customHeight="1" x14ac:dyDescent="0.25">
      <c r="A31" s="590" t="s">
        <v>25</v>
      </c>
      <c r="B31" s="602">
        <v>300</v>
      </c>
      <c r="C31" s="602">
        <v>240</v>
      </c>
      <c r="D31" s="602">
        <v>130</v>
      </c>
      <c r="E31" s="602">
        <v>100</v>
      </c>
      <c r="F31" s="602">
        <v>100</v>
      </c>
      <c r="G31" s="602">
        <v>100</v>
      </c>
      <c r="H31" s="602">
        <v>180</v>
      </c>
      <c r="I31" s="602">
        <v>300</v>
      </c>
      <c r="J31" s="602">
        <v>280</v>
      </c>
      <c r="K31" s="602">
        <v>170</v>
      </c>
      <c r="L31" s="602">
        <v>120</v>
      </c>
      <c r="M31" s="602">
        <v>150</v>
      </c>
      <c r="N31" s="602">
        <v>190</v>
      </c>
      <c r="O31" s="602">
        <v>170</v>
      </c>
      <c r="P31" s="602">
        <v>300</v>
      </c>
      <c r="Q31" s="602">
        <v>280</v>
      </c>
      <c r="R31" s="602">
        <v>190</v>
      </c>
      <c r="S31" s="602">
        <v>270</v>
      </c>
      <c r="T31" s="602">
        <v>280</v>
      </c>
      <c r="U31" s="602">
        <v>210</v>
      </c>
      <c r="V31" s="602">
        <v>260</v>
      </c>
      <c r="W31" s="602">
        <v>450</v>
      </c>
      <c r="X31" s="602">
        <v>280</v>
      </c>
      <c r="Y31" s="602">
        <v>190</v>
      </c>
      <c r="Z31" s="602">
        <v>270</v>
      </c>
      <c r="AA31" s="602">
        <v>280</v>
      </c>
      <c r="AB31" s="602">
        <v>210</v>
      </c>
      <c r="AC31" s="602">
        <v>260</v>
      </c>
      <c r="AD31" s="602">
        <v>700</v>
      </c>
      <c r="AE31" s="602">
        <v>700</v>
      </c>
      <c r="AF31" s="602"/>
      <c r="AG31" s="522"/>
      <c r="AH31" s="595">
        <f t="shared" si="13"/>
        <v>7660</v>
      </c>
    </row>
    <row r="32" spans="1:135" s="514" customFormat="1" ht="33.9" customHeight="1" x14ac:dyDescent="0.25">
      <c r="A32" s="592" t="s">
        <v>30</v>
      </c>
      <c r="B32" s="603">
        <v>1690</v>
      </c>
      <c r="C32" s="603">
        <v>460</v>
      </c>
      <c r="D32" s="603">
        <v>330</v>
      </c>
      <c r="E32" s="603">
        <v>320</v>
      </c>
      <c r="F32" s="603">
        <v>260</v>
      </c>
      <c r="G32" s="603">
        <v>600</v>
      </c>
      <c r="H32" s="603">
        <v>1090</v>
      </c>
      <c r="I32" s="603">
        <v>1790</v>
      </c>
      <c r="J32" s="603">
        <v>1050</v>
      </c>
      <c r="K32" s="603">
        <v>340</v>
      </c>
      <c r="L32" s="603">
        <v>400</v>
      </c>
      <c r="M32" s="603">
        <v>520</v>
      </c>
      <c r="N32" s="603">
        <v>1350</v>
      </c>
      <c r="O32" s="603">
        <v>660</v>
      </c>
      <c r="P32" s="603">
        <v>710</v>
      </c>
      <c r="Q32" s="603">
        <v>500</v>
      </c>
      <c r="R32" s="603">
        <v>330</v>
      </c>
      <c r="S32" s="603">
        <v>910</v>
      </c>
      <c r="T32" s="603">
        <v>1170</v>
      </c>
      <c r="U32" s="603">
        <v>590</v>
      </c>
      <c r="V32" s="603">
        <v>430</v>
      </c>
      <c r="W32" s="603">
        <v>750</v>
      </c>
      <c r="X32" s="603">
        <v>530</v>
      </c>
      <c r="Y32" s="603">
        <v>380</v>
      </c>
      <c r="Z32" s="603">
        <v>530</v>
      </c>
      <c r="AA32" s="603">
        <v>890</v>
      </c>
      <c r="AB32" s="603">
        <v>870</v>
      </c>
      <c r="AC32" s="603">
        <v>470</v>
      </c>
      <c r="AD32" s="603">
        <v>940</v>
      </c>
      <c r="AE32" s="603">
        <v>920</v>
      </c>
      <c r="AF32" s="603"/>
      <c r="AG32" s="513"/>
      <c r="AH32" s="596">
        <f t="shared" si="13"/>
        <v>21780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 t="shared" ref="B34:AE34" si="14">+B32+B27+B24</f>
        <v>8900</v>
      </c>
      <c r="C34" s="599">
        <f t="shared" si="14"/>
        <v>5100</v>
      </c>
      <c r="D34" s="599">
        <f t="shared" si="14"/>
        <v>2890</v>
      </c>
      <c r="E34" s="599">
        <f t="shared" si="14"/>
        <v>3230</v>
      </c>
      <c r="F34" s="599">
        <f t="shared" si="14"/>
        <v>3370</v>
      </c>
      <c r="G34" s="599">
        <f t="shared" si="14"/>
        <v>3930</v>
      </c>
      <c r="H34" s="599">
        <f t="shared" si="14"/>
        <v>4260</v>
      </c>
      <c r="I34" s="599">
        <f t="shared" si="14"/>
        <v>9230</v>
      </c>
      <c r="J34" s="599">
        <f t="shared" si="14"/>
        <v>6290</v>
      </c>
      <c r="K34" s="599">
        <f t="shared" si="14"/>
        <v>2900</v>
      </c>
      <c r="L34" s="599">
        <f t="shared" si="14"/>
        <v>3440</v>
      </c>
      <c r="M34" s="599">
        <f t="shared" si="14"/>
        <v>3510</v>
      </c>
      <c r="N34" s="599">
        <f t="shared" si="14"/>
        <v>4770</v>
      </c>
      <c r="O34" s="599">
        <f t="shared" si="14"/>
        <v>3480</v>
      </c>
      <c r="P34" s="599">
        <f t="shared" si="14"/>
        <v>8030</v>
      </c>
      <c r="Q34" s="599">
        <f t="shared" si="14"/>
        <v>5360</v>
      </c>
      <c r="R34" s="599">
        <f t="shared" si="14"/>
        <v>2770</v>
      </c>
      <c r="S34" s="599">
        <f t="shared" si="14"/>
        <v>4610</v>
      </c>
      <c r="T34" s="599">
        <f t="shared" si="14"/>
        <v>3690</v>
      </c>
      <c r="U34" s="599">
        <f t="shared" si="14"/>
        <v>4090</v>
      </c>
      <c r="V34" s="599">
        <f t="shared" si="14"/>
        <v>4340</v>
      </c>
      <c r="W34" s="599">
        <f t="shared" si="14"/>
        <v>9430</v>
      </c>
      <c r="X34" s="599">
        <f t="shared" si="14"/>
        <v>6170</v>
      </c>
      <c r="Y34" s="599">
        <f t="shared" si="14"/>
        <v>3960</v>
      </c>
      <c r="Z34" s="599">
        <f t="shared" si="14"/>
        <v>6200</v>
      </c>
      <c r="AA34" s="599">
        <f t="shared" si="14"/>
        <v>4480</v>
      </c>
      <c r="AB34" s="599">
        <f t="shared" si="14"/>
        <v>5100</v>
      </c>
      <c r="AC34" s="599">
        <f t="shared" si="14"/>
        <v>4020</v>
      </c>
      <c r="AD34" s="599">
        <f t="shared" si="14"/>
        <v>8730</v>
      </c>
      <c r="AE34" s="599">
        <f t="shared" si="14"/>
        <v>6960</v>
      </c>
      <c r="AF34" s="599">
        <f>+AF32+AF27+AF24</f>
        <v>0</v>
      </c>
      <c r="AG34" s="586"/>
      <c r="AH34" s="597">
        <f>SUM(B34:AF34)</f>
        <v>153240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34"/>
      <c r="B36" s="536"/>
      <c r="C36" s="536"/>
      <c r="D36" s="536"/>
      <c r="E36" s="536"/>
      <c r="F36" s="536"/>
      <c r="G36" s="536"/>
      <c r="H36" s="536"/>
      <c r="I36" s="536"/>
      <c r="J36" s="536"/>
      <c r="K36" s="536"/>
      <c r="L36" s="536"/>
      <c r="M36" s="536"/>
      <c r="N36" s="536"/>
      <c r="O36" s="536"/>
      <c r="P36" s="536"/>
      <c r="Q36" s="536"/>
      <c r="R36" s="536"/>
      <c r="S36" s="536"/>
      <c r="T36" s="536"/>
      <c r="U36" s="536"/>
      <c r="V36" s="536"/>
      <c r="W36" s="536"/>
      <c r="X36" s="536"/>
      <c r="Y36" s="536"/>
      <c r="Z36" s="536"/>
      <c r="AA36" s="536"/>
      <c r="AB36" s="536"/>
      <c r="AC36" s="536"/>
      <c r="AD36" s="536"/>
      <c r="AE36" s="536"/>
      <c r="AF36" s="536"/>
      <c r="AG36" s="3"/>
      <c r="AH36" s="2"/>
    </row>
    <row r="37" spans="1:256" s="544" customFormat="1" ht="21.9" customHeight="1" x14ac:dyDescent="0.4">
      <c r="A37" s="540" t="s">
        <v>17</v>
      </c>
      <c r="B37" s="541">
        <v>0.93194444444444446</v>
      </c>
      <c r="C37" s="541">
        <v>0.93263888888888891</v>
      </c>
      <c r="D37" s="541">
        <v>0.93333333333333324</v>
      </c>
      <c r="E37" s="541">
        <v>0.93402777777777779</v>
      </c>
      <c r="F37" s="541">
        <v>0.93472222222222223</v>
      </c>
      <c r="G37" s="541">
        <v>0.93541666666666667</v>
      </c>
      <c r="H37" s="541">
        <v>0.93611111111111101</v>
      </c>
      <c r="I37" s="541">
        <v>0.93611111111111101</v>
      </c>
      <c r="J37" s="541">
        <v>0.93680555555555556</v>
      </c>
      <c r="K37" s="541">
        <v>0.9375</v>
      </c>
      <c r="L37" s="541">
        <v>0.9375</v>
      </c>
      <c r="M37" s="541">
        <v>0.93819444444444444</v>
      </c>
      <c r="N37" s="541">
        <v>0.93888888888888899</v>
      </c>
      <c r="O37" s="541">
        <v>0.93888888888888899</v>
      </c>
      <c r="P37" s="541">
        <v>0.93958333333333333</v>
      </c>
      <c r="Q37" s="541">
        <v>0.93958333333333333</v>
      </c>
      <c r="R37" s="541">
        <v>0.93958333333333333</v>
      </c>
      <c r="S37" s="541">
        <v>0.94027777777777777</v>
      </c>
      <c r="T37" s="541">
        <v>0.94027777777777777</v>
      </c>
      <c r="U37" s="541">
        <v>0.94027777777777777</v>
      </c>
      <c r="V37" s="541">
        <v>0.94097222222222221</v>
      </c>
      <c r="W37" s="541">
        <v>0.94097222222222221</v>
      </c>
      <c r="X37" s="541">
        <v>0.94097222222222221</v>
      </c>
      <c r="Y37" s="541">
        <v>0.94097222222222221</v>
      </c>
      <c r="Z37" s="541">
        <v>0.94097222222222221</v>
      </c>
      <c r="AA37" s="541">
        <v>0.94097222222222221</v>
      </c>
      <c r="AB37" s="541">
        <v>0.94097222222222221</v>
      </c>
      <c r="AC37" s="541">
        <v>0.94097222222222221</v>
      </c>
      <c r="AD37" s="541">
        <v>0.94027777777777777</v>
      </c>
      <c r="AE37" s="541">
        <v>0.94027777777777777</v>
      </c>
      <c r="AF37" s="541"/>
      <c r="AG37" s="542"/>
      <c r="AH37" s="543"/>
    </row>
    <row r="38" spans="1:256" s="544" customFormat="1" ht="21.9" customHeight="1" x14ac:dyDescent="0.4">
      <c r="A38" s="545" t="s">
        <v>18</v>
      </c>
      <c r="B38" s="546" t="str">
        <f>+IF(B34&lt;=2500,"BF",IF(AND(B34&gt;2500,B34&lt;=6000),"MF",IF(AND(B34&gt;6000,B34&lt;12000),"HF","THF")))</f>
        <v>HF</v>
      </c>
      <c r="C38" s="546" t="str">
        <f t="shared" ref="C38:AF38" si="15">+IF(C34&lt;=2500,"BF",IF(AND(C34&gt;2500,C34&lt;=6000),"MF",IF(AND(C34&gt;6000,C34&lt;12000),"HF","THF")))</f>
        <v>MF</v>
      </c>
      <c r="D38" s="546" t="str">
        <f t="shared" si="15"/>
        <v>MF</v>
      </c>
      <c r="E38" s="546" t="str">
        <f t="shared" si="15"/>
        <v>MF</v>
      </c>
      <c r="F38" s="546" t="str">
        <f t="shared" si="15"/>
        <v>MF</v>
      </c>
      <c r="G38" s="546" t="str">
        <f t="shared" si="15"/>
        <v>MF</v>
      </c>
      <c r="H38" s="546" t="str">
        <f t="shared" si="15"/>
        <v>MF</v>
      </c>
      <c r="I38" s="546" t="str">
        <f t="shared" si="15"/>
        <v>HF</v>
      </c>
      <c r="J38" s="546" t="str">
        <f t="shared" si="15"/>
        <v>HF</v>
      </c>
      <c r="K38" s="546" t="str">
        <f t="shared" si="15"/>
        <v>MF</v>
      </c>
      <c r="L38" s="546" t="str">
        <f t="shared" si="15"/>
        <v>MF</v>
      </c>
      <c r="M38" s="546" t="str">
        <f t="shared" si="15"/>
        <v>MF</v>
      </c>
      <c r="N38" s="546" t="str">
        <f t="shared" si="15"/>
        <v>MF</v>
      </c>
      <c r="O38" s="546" t="str">
        <f t="shared" si="15"/>
        <v>MF</v>
      </c>
      <c r="P38" s="546" t="str">
        <f t="shared" si="15"/>
        <v>HF</v>
      </c>
      <c r="Q38" s="546" t="str">
        <f t="shared" si="15"/>
        <v>MF</v>
      </c>
      <c r="R38" s="546" t="str">
        <f t="shared" si="15"/>
        <v>MF</v>
      </c>
      <c r="S38" s="546" t="str">
        <f t="shared" si="15"/>
        <v>MF</v>
      </c>
      <c r="T38" s="546" t="str">
        <f t="shared" si="15"/>
        <v>MF</v>
      </c>
      <c r="U38" s="546" t="str">
        <f t="shared" si="15"/>
        <v>MF</v>
      </c>
      <c r="V38" s="546" t="str">
        <f t="shared" si="15"/>
        <v>MF</v>
      </c>
      <c r="W38" s="546" t="str">
        <f t="shared" si="15"/>
        <v>HF</v>
      </c>
      <c r="X38" s="546" t="str">
        <f t="shared" si="15"/>
        <v>HF</v>
      </c>
      <c r="Y38" s="546" t="str">
        <f t="shared" si="15"/>
        <v>MF</v>
      </c>
      <c r="Z38" s="546" t="str">
        <f t="shared" si="15"/>
        <v>HF</v>
      </c>
      <c r="AA38" s="546" t="str">
        <f t="shared" si="15"/>
        <v>MF</v>
      </c>
      <c r="AB38" s="546" t="str">
        <f t="shared" si="15"/>
        <v>MF</v>
      </c>
      <c r="AC38" s="546" t="str">
        <f t="shared" si="15"/>
        <v>MF</v>
      </c>
      <c r="AD38" s="546" t="str">
        <f t="shared" si="15"/>
        <v>HF</v>
      </c>
      <c r="AE38" s="546" t="str">
        <f t="shared" si="15"/>
        <v>HF</v>
      </c>
      <c r="AF38" s="546" t="str">
        <f t="shared" si="15"/>
        <v>BF</v>
      </c>
      <c r="AG38" s="546"/>
      <c r="AH38" s="543"/>
    </row>
    <row r="39" spans="1:256" s="43" customFormat="1" ht="3" customHeight="1" x14ac:dyDescent="0.4">
      <c r="A39" s="534"/>
      <c r="B39" s="536"/>
      <c r="C39" s="536"/>
      <c r="D39" s="536"/>
      <c r="E39" s="536"/>
      <c r="F39" s="536"/>
      <c r="G39" s="536"/>
      <c r="H39" s="536"/>
      <c r="I39" s="536"/>
      <c r="J39" s="536"/>
      <c r="K39" s="536"/>
      <c r="L39" s="536"/>
      <c r="M39" s="536"/>
      <c r="N39" s="536"/>
      <c r="O39" s="536"/>
      <c r="P39" s="536"/>
      <c r="Q39" s="536"/>
      <c r="R39" s="536"/>
      <c r="S39" s="536"/>
      <c r="T39" s="536"/>
      <c r="U39" s="536"/>
      <c r="V39" s="536"/>
      <c r="W39" s="536"/>
      <c r="X39" s="536"/>
      <c r="Y39" s="536"/>
      <c r="Z39" s="536"/>
      <c r="AA39" s="536"/>
      <c r="AB39" s="536"/>
      <c r="AC39" s="536"/>
      <c r="AD39" s="536"/>
      <c r="AE39" s="536"/>
      <c r="AF39" s="536"/>
      <c r="AG39" s="7"/>
      <c r="AH39" s="2"/>
    </row>
    <row r="40" spans="1:256" s="1" customFormat="1" ht="20.100000000000001"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0">
        <f>+B34-B30</f>
        <v>7750</v>
      </c>
      <c r="C41" s="480">
        <f t="shared" ref="C41:AF41" si="16">+C34-C30</f>
        <v>5100</v>
      </c>
      <c r="D41" s="480">
        <f t="shared" si="16"/>
        <v>2840</v>
      </c>
      <c r="E41" s="480">
        <f t="shared" si="16"/>
        <v>3170</v>
      </c>
      <c r="F41" s="480">
        <f t="shared" si="16"/>
        <v>3370</v>
      </c>
      <c r="G41" s="480">
        <f t="shared" si="16"/>
        <v>3590</v>
      </c>
      <c r="H41" s="480">
        <f t="shared" si="16"/>
        <v>3510</v>
      </c>
      <c r="I41" s="480">
        <f t="shared" si="16"/>
        <v>7980</v>
      </c>
      <c r="J41" s="480">
        <f t="shared" si="16"/>
        <v>5740</v>
      </c>
      <c r="K41" s="480">
        <f t="shared" si="16"/>
        <v>2900</v>
      </c>
      <c r="L41" s="480">
        <f t="shared" si="16"/>
        <v>3380</v>
      </c>
      <c r="M41" s="480">
        <f t="shared" si="16"/>
        <v>3330</v>
      </c>
      <c r="N41" s="480">
        <f t="shared" si="16"/>
        <v>3830</v>
      </c>
      <c r="O41" s="480">
        <f t="shared" si="16"/>
        <v>3180</v>
      </c>
      <c r="P41" s="480">
        <f t="shared" si="16"/>
        <v>7860</v>
      </c>
      <c r="Q41" s="480">
        <f t="shared" si="16"/>
        <v>5360</v>
      </c>
      <c r="R41" s="480">
        <f t="shared" si="16"/>
        <v>2770</v>
      </c>
      <c r="S41" s="480">
        <f t="shared" si="16"/>
        <v>4140</v>
      </c>
      <c r="T41" s="480">
        <f t="shared" si="16"/>
        <v>2970</v>
      </c>
      <c r="U41" s="480">
        <f t="shared" si="16"/>
        <v>3900</v>
      </c>
      <c r="V41" s="480">
        <f t="shared" si="16"/>
        <v>4340</v>
      </c>
      <c r="W41" s="480">
        <f t="shared" si="16"/>
        <v>9370</v>
      </c>
      <c r="X41" s="480">
        <f t="shared" si="16"/>
        <v>6140</v>
      </c>
      <c r="Y41" s="480">
        <f t="shared" si="16"/>
        <v>3940</v>
      </c>
      <c r="Z41" s="480">
        <f t="shared" si="16"/>
        <v>6160</v>
      </c>
      <c r="AA41" s="480">
        <f t="shared" si="16"/>
        <v>4060</v>
      </c>
      <c r="AB41" s="480">
        <f t="shared" si="16"/>
        <v>4660</v>
      </c>
      <c r="AC41" s="480">
        <f t="shared" si="16"/>
        <v>4000</v>
      </c>
      <c r="AD41" s="480">
        <f t="shared" si="16"/>
        <v>8730</v>
      </c>
      <c r="AE41" s="480">
        <f t="shared" si="16"/>
        <v>6960</v>
      </c>
      <c r="AF41" s="480">
        <f t="shared" si="16"/>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1">
        <f>+B32-B30</f>
        <v>540</v>
      </c>
      <c r="C42" s="481">
        <f t="shared" ref="C42:AF42" si="17">+C32-C30</f>
        <v>460</v>
      </c>
      <c r="D42" s="481">
        <f t="shared" si="17"/>
        <v>280</v>
      </c>
      <c r="E42" s="481">
        <f t="shared" si="17"/>
        <v>260</v>
      </c>
      <c r="F42" s="481">
        <f t="shared" si="17"/>
        <v>260</v>
      </c>
      <c r="G42" s="481">
        <f t="shared" si="17"/>
        <v>260</v>
      </c>
      <c r="H42" s="481">
        <f t="shared" si="17"/>
        <v>340</v>
      </c>
      <c r="I42" s="481">
        <f t="shared" si="17"/>
        <v>540</v>
      </c>
      <c r="J42" s="481">
        <f t="shared" si="17"/>
        <v>500</v>
      </c>
      <c r="K42" s="481">
        <f t="shared" si="17"/>
        <v>340</v>
      </c>
      <c r="L42" s="481">
        <f t="shared" si="17"/>
        <v>340</v>
      </c>
      <c r="M42" s="481">
        <f t="shared" si="17"/>
        <v>340</v>
      </c>
      <c r="N42" s="481">
        <f t="shared" si="17"/>
        <v>410</v>
      </c>
      <c r="O42" s="481">
        <f t="shared" si="17"/>
        <v>360</v>
      </c>
      <c r="P42" s="481">
        <f t="shared" si="17"/>
        <v>540</v>
      </c>
      <c r="Q42" s="481">
        <f t="shared" si="17"/>
        <v>500</v>
      </c>
      <c r="R42" s="481">
        <f t="shared" si="17"/>
        <v>330</v>
      </c>
      <c r="S42" s="481">
        <f t="shared" si="17"/>
        <v>440</v>
      </c>
      <c r="T42" s="481">
        <f t="shared" si="17"/>
        <v>450</v>
      </c>
      <c r="U42" s="481">
        <f t="shared" si="17"/>
        <v>400</v>
      </c>
      <c r="V42" s="481">
        <f t="shared" si="17"/>
        <v>430</v>
      </c>
      <c r="W42" s="481">
        <f t="shared" si="17"/>
        <v>690</v>
      </c>
      <c r="X42" s="481">
        <f t="shared" si="17"/>
        <v>500</v>
      </c>
      <c r="Y42" s="481">
        <f t="shared" si="17"/>
        <v>360</v>
      </c>
      <c r="Z42" s="481">
        <f t="shared" si="17"/>
        <v>490</v>
      </c>
      <c r="AA42" s="481">
        <f t="shared" si="17"/>
        <v>470</v>
      </c>
      <c r="AB42" s="481">
        <f t="shared" si="17"/>
        <v>430</v>
      </c>
      <c r="AC42" s="481">
        <f t="shared" si="17"/>
        <v>450</v>
      </c>
      <c r="AD42" s="481">
        <f t="shared" si="17"/>
        <v>940</v>
      </c>
      <c r="AE42" s="481">
        <f t="shared" si="17"/>
        <v>920</v>
      </c>
      <c r="AF42" s="481">
        <f t="shared" si="17"/>
        <v>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18">IF(C9="",0,1)</f>
        <v>1</v>
      </c>
      <c r="D44" s="454">
        <f t="shared" si="18"/>
        <v>1</v>
      </c>
      <c r="E44" s="454">
        <f t="shared" si="18"/>
        <v>1</v>
      </c>
      <c r="F44" s="454">
        <f t="shared" si="18"/>
        <v>1</v>
      </c>
      <c r="G44" s="454">
        <f t="shared" si="18"/>
        <v>1</v>
      </c>
      <c r="H44" s="454">
        <f t="shared" si="18"/>
        <v>1</v>
      </c>
      <c r="I44" s="454">
        <f t="shared" si="18"/>
        <v>1</v>
      </c>
      <c r="J44" s="454">
        <f t="shared" si="18"/>
        <v>1</v>
      </c>
      <c r="K44" s="454">
        <f t="shared" si="18"/>
        <v>1</v>
      </c>
      <c r="L44" s="454">
        <f t="shared" si="18"/>
        <v>1</v>
      </c>
      <c r="M44" s="454">
        <f t="shared" si="18"/>
        <v>1</v>
      </c>
      <c r="N44" s="454">
        <f t="shared" si="18"/>
        <v>1</v>
      </c>
      <c r="O44" s="454">
        <f t="shared" si="18"/>
        <v>1</v>
      </c>
      <c r="P44" s="454">
        <f t="shared" si="18"/>
        <v>1</v>
      </c>
      <c r="Q44" s="454">
        <f t="shared" si="18"/>
        <v>1</v>
      </c>
      <c r="R44" s="454">
        <f t="shared" si="18"/>
        <v>1</v>
      </c>
      <c r="S44" s="454">
        <f t="shared" si="18"/>
        <v>1</v>
      </c>
      <c r="T44" s="454">
        <f t="shared" si="18"/>
        <v>1</v>
      </c>
      <c r="U44" s="454">
        <f t="shared" si="18"/>
        <v>1</v>
      </c>
      <c r="V44" s="454">
        <f t="shared" si="18"/>
        <v>1</v>
      </c>
      <c r="W44" s="454">
        <f t="shared" si="18"/>
        <v>1</v>
      </c>
      <c r="X44" s="454">
        <f t="shared" si="18"/>
        <v>1</v>
      </c>
      <c r="Y44" s="454">
        <f t="shared" si="18"/>
        <v>1</v>
      </c>
      <c r="Z44" s="454">
        <f t="shared" si="18"/>
        <v>1</v>
      </c>
      <c r="AA44" s="454">
        <f t="shared" si="18"/>
        <v>1</v>
      </c>
      <c r="AB44" s="454">
        <f t="shared" si="18"/>
        <v>1</v>
      </c>
      <c r="AC44" s="454">
        <f t="shared" si="18"/>
        <v>1</v>
      </c>
      <c r="AD44" s="454">
        <f t="shared" si="18"/>
        <v>1</v>
      </c>
      <c r="AE44" s="454">
        <f t="shared" si="18"/>
        <v>1</v>
      </c>
      <c r="AF44" s="454">
        <f t="shared" si="18"/>
        <v>0</v>
      </c>
      <c r="AG44" s="1"/>
      <c r="AH44" s="563">
        <f>SUM(B44:AF44)</f>
        <v>30</v>
      </c>
    </row>
    <row r="45" spans="1:256" s="561"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9.8" x14ac:dyDescent="0.4">
      <c r="A49" s="13"/>
      <c r="B49" s="21"/>
    </row>
    <row r="50" spans="1:2" ht="19.8" x14ac:dyDescent="0.4">
      <c r="A50" s="13"/>
      <c r="B50" s="21"/>
    </row>
    <row r="51" spans="1:2" ht="18.600000000000001" x14ac:dyDescent="0.4">
      <c r="A51" s="23"/>
      <c r="B51" s="21"/>
    </row>
    <row r="52" spans="1:2" ht="18.600000000000001" x14ac:dyDescent="0.4">
      <c r="A52" s="23"/>
      <c r="B52" s="21"/>
    </row>
    <row r="53" spans="1:2" ht="18.600000000000001" x14ac:dyDescent="0.4">
      <c r="A53" s="23"/>
      <c r="B53" s="21"/>
    </row>
    <row r="54" spans="1:2" ht="18.600000000000001" x14ac:dyDescent="0.4">
      <c r="A54" s="23"/>
      <c r="B54" s="21"/>
    </row>
    <row r="55" spans="1:2" ht="18.600000000000001" x14ac:dyDescent="0.4">
      <c r="A55" s="23"/>
      <c r="B55" s="21"/>
    </row>
    <row r="56" spans="1:2" ht="18.600000000000001" x14ac:dyDescent="0.4">
      <c r="A56" s="23"/>
      <c r="B56"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1"/>
      <headerFooter alignWithMargins="0"/>
    </customSheetView>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 top="0.19685039370078741" bottom="0" header="0.51181102362204722" footer="0.51181102362204722"/>
      <printOptions horizontalCentered="1" verticalCentered="1"/>
      <pageSetup paperSize="45" scale="48" orientation="landscape" r:id="rId2"/>
      <headerFooter alignWithMargins="0"/>
    </customSheetView>
  </customSheetViews>
  <mergeCells count="2">
    <mergeCell ref="B1:U1"/>
    <mergeCell ref="M6:N6"/>
  </mergeCells>
  <phoneticPr fontId="8" type="noConversion"/>
  <conditionalFormatting sqref="A14:A34">
    <cfRule type="expression" dxfId="252" priority="160" stopIfTrue="1">
      <formula>$P14="ALERTE"</formula>
    </cfRule>
  </conditionalFormatting>
  <conditionalFormatting sqref="A45">
    <cfRule type="expression" dxfId="251" priority="4" stopIfTrue="1">
      <formula>$P45="ALERTE"</formula>
    </cfRule>
  </conditionalFormatting>
  <conditionalFormatting sqref="B9:B10">
    <cfRule type="expression" dxfId="250" priority="38" stopIfTrue="1">
      <formula>$BJ9="ALERTE"</formula>
    </cfRule>
  </conditionalFormatting>
  <conditionalFormatting sqref="B6:M6">
    <cfRule type="expression" dxfId="249" priority="206" stopIfTrue="1">
      <formula>$BI6="ALERTE"</formula>
    </cfRule>
  </conditionalFormatting>
  <conditionalFormatting sqref="B8:AE8">
    <cfRule type="expression" dxfId="248" priority="5" stopIfTrue="1">
      <formula>$BH8="ALERTE"</formula>
    </cfRule>
  </conditionalFormatting>
  <conditionalFormatting sqref="B45:AE45">
    <cfRule type="expression" dxfId="247" priority="1" stopIfTrue="1">
      <formula>$BH45="ALERTE"</formula>
    </cfRule>
  </conditionalFormatting>
  <conditionalFormatting sqref="B3:AF5 A3:A10 B35:AF35">
    <cfRule type="expression" dxfId="246" priority="254" stopIfTrue="1">
      <formula>$P3="ALERTE"</formula>
    </cfRule>
  </conditionalFormatting>
  <conditionalFormatting sqref="B14:AF14">
    <cfRule type="expression" dxfId="245" priority="8" stopIfTrue="1">
      <formula>$BI14="ALERTE"</formula>
    </cfRule>
  </conditionalFormatting>
  <conditionalFormatting sqref="B15:AF21">
    <cfRule type="expression" dxfId="244" priority="143" stopIfTrue="1">
      <formula>$P15="ALERTE"</formula>
    </cfRule>
  </conditionalFormatting>
  <conditionalFormatting sqref="B37:AF38">
    <cfRule type="cellIs" dxfId="243" priority="151" stopIfTrue="1" operator="equal">
      <formula>"THF"</formula>
    </cfRule>
    <cfRule type="cellIs" dxfId="242" priority="152" stopIfTrue="1" operator="equal">
      <formula>"HF"</formula>
    </cfRule>
    <cfRule type="cellIs" dxfId="241" priority="153" stopIfTrue="1" operator="equal">
      <formula>"MF"</formula>
    </cfRule>
  </conditionalFormatting>
  <conditionalFormatting sqref="B44:AF44">
    <cfRule type="expression" dxfId="240" priority="157" stopIfTrue="1">
      <formula>$P44="ALERTE"</formula>
    </cfRule>
  </conditionalFormatting>
  <conditionalFormatting sqref="C9:H9">
    <cfRule type="expression" dxfId="239" priority="22" stopIfTrue="1">
      <formula>$BJ9="ALERTE"</formula>
    </cfRule>
  </conditionalFormatting>
  <conditionalFormatting sqref="C10:H10">
    <cfRule type="expression" dxfId="238" priority="23" stopIfTrue="1">
      <formula>$BS10="ALERTE"</formula>
    </cfRule>
  </conditionalFormatting>
  <conditionalFormatting sqref="I9:I10">
    <cfRule type="expression" dxfId="237" priority="35" stopIfTrue="1">
      <formula>$BJ9="ALERTE"</formula>
    </cfRule>
  </conditionalFormatting>
  <conditionalFormatting sqref="J9:O9">
    <cfRule type="expression" dxfId="236" priority="18" stopIfTrue="1">
      <formula>$BJ9="ALERTE"</formula>
    </cfRule>
  </conditionalFormatting>
  <conditionalFormatting sqref="J10:O10">
    <cfRule type="expression" dxfId="235" priority="19" stopIfTrue="1">
      <formula>$BS10="ALERTE"</formula>
    </cfRule>
  </conditionalFormatting>
  <conditionalFormatting sqref="O6:AF6 B7:AF7">
    <cfRule type="expression" dxfId="234" priority="255" stopIfTrue="1">
      <formula>$BI6="ALERTE"</formula>
    </cfRule>
  </conditionalFormatting>
  <conditionalFormatting sqref="P9:P10">
    <cfRule type="expression" dxfId="233" priority="32" stopIfTrue="1">
      <formula>$BJ9="ALERTE"</formula>
    </cfRule>
  </conditionalFormatting>
  <conditionalFormatting sqref="Q9:V9">
    <cfRule type="expression" dxfId="232" priority="14" stopIfTrue="1">
      <formula>$BJ9="ALERTE"</formula>
    </cfRule>
  </conditionalFormatting>
  <conditionalFormatting sqref="Q10:V10">
    <cfRule type="expression" dxfId="231" priority="15" stopIfTrue="1">
      <formula>$BS10="ALERTE"</formula>
    </cfRule>
  </conditionalFormatting>
  <conditionalFormatting sqref="W9:W10">
    <cfRule type="expression" dxfId="230" priority="29" stopIfTrue="1">
      <formula>$BJ9="ALERTE"</formula>
    </cfRule>
  </conditionalFormatting>
  <conditionalFormatting sqref="X9:AC9">
    <cfRule type="expression" dxfId="229" priority="10" stopIfTrue="1">
      <formula>$BJ9="ALERTE"</formula>
    </cfRule>
  </conditionalFormatting>
  <conditionalFormatting sqref="X10:AC10">
    <cfRule type="expression" dxfId="228" priority="11" stopIfTrue="1">
      <formula>$BS10="ALERTE"</formula>
    </cfRule>
  </conditionalFormatting>
  <conditionalFormatting sqref="AD9:AD10">
    <cfRule type="expression" dxfId="227" priority="26" stopIfTrue="1">
      <formula>$BJ9="ALERTE"</formula>
    </cfRule>
  </conditionalFormatting>
  <conditionalFormatting sqref="AE9">
    <cfRule type="expression" dxfId="226" priority="6" stopIfTrue="1">
      <formula>$BJ9="ALERTE"</formula>
    </cfRule>
  </conditionalFormatting>
  <conditionalFormatting sqref="AE10:AF10">
    <cfRule type="expression" dxfId="225" priority="7" stopIfTrue="1">
      <formula>$BS10="ALERTE"</formula>
    </cfRule>
  </conditionalFormatting>
  <conditionalFormatting sqref="AF8:AF9">
    <cfRule type="expression" dxfId="224" priority="189" stopIfTrue="1">
      <formula>$BI8="ALERTE"</formula>
    </cfRule>
  </conditionalFormatting>
  <conditionalFormatting sqref="AF45">
    <cfRule type="expression" dxfId="223" priority="3" stopIfTrue="1">
      <formula>$BI45="ALERTE"</formula>
    </cfRule>
  </conditionalFormatting>
  <conditionalFormatting sqref="AG38:AG39 B40:AG40 B46:B56 B58:B74">
    <cfRule type="cellIs" dxfId="222" priority="257" stopIfTrue="1" operator="equal">
      <formula>"THF"</formula>
    </cfRule>
    <cfRule type="cellIs" dxfId="221" priority="258" stopIfTrue="1" operator="equal">
      <formula>"HF"</formula>
    </cfRule>
    <cfRule type="cellIs" dxfId="220" priority="259" stopIfTrue="1" operator="equal">
      <formula>"MF"</formula>
    </cfRule>
  </conditionalFormatting>
  <conditionalFormatting sqref="AH6:AH10">
    <cfRule type="expression" dxfId="219" priority="158" stopIfTrue="1">
      <formula>$BI6="ALERTE"</formula>
    </cfRule>
  </conditionalFormatting>
  <conditionalFormatting sqref="AH14">
    <cfRule type="expression" dxfId="218" priority="162" stopIfTrue="1">
      <formula>$BI14="ALERTE"</formula>
    </cfRule>
  </conditionalFormatting>
  <conditionalFormatting sqref="AH15:AH16">
    <cfRule type="expression" dxfId="217" priority="161" stopIfTrue="1">
      <formula>$P15="ALERTE"</formula>
    </cfRule>
  </conditionalFormatting>
  <conditionalFormatting sqref="AH45">
    <cfRule type="expression" dxfId="216" priority="2" stopIfTrue="1">
      <formula>$BI45="ALERTE"</formula>
    </cfRule>
  </conditionalFormatting>
  <printOptions horizontalCentered="1" verticalCentered="1"/>
  <pageMargins left="0" right="0" top="0" bottom="0" header="0.51181102362204722" footer="0.51181102362204722"/>
  <pageSetup paperSize="45" scale="47" orientation="landscape" r:id="rId3"/>
  <headerFooter alignWithMargins="0">
    <oddFooter xml:space="preserve">&amp;Rimprimé le &amp;D à &amp;T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3">
    <pageSetUpPr fitToPage="1"/>
  </sheetPr>
  <dimension ref="A1:IV81"/>
  <sheetViews>
    <sheetView showGridLines="0" showZeros="0" zoomScale="80" zoomScaleNormal="80" workbookViewId="0">
      <pane xSplit="1" ySplit="20" topLeftCell="E23" activePane="bottomRight" state="frozen"/>
      <selection activeCell="P31" sqref="P31"/>
      <selection pane="topRight" activeCell="P31" sqref="P31"/>
      <selection pane="bottomLeft" activeCell="P31" sqref="P31"/>
      <selection pane="bottomRight" activeCell="AE22" sqref="AE22:AF32"/>
    </sheetView>
  </sheetViews>
  <sheetFormatPr baseColWidth="10" defaultColWidth="1.33203125" defaultRowHeight="16.8"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1.33203125" style="8"/>
  </cols>
  <sheetData>
    <row r="1" spans="1:255" s="157" customFormat="1" ht="42.75" customHeight="1" x14ac:dyDescent="0.25">
      <c r="A1" s="641">
        <v>45474</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c r="BH1" s="502"/>
      <c r="BI1" s="502"/>
      <c r="BJ1" s="502"/>
      <c r="BK1" s="502"/>
      <c r="BL1" s="502"/>
      <c r="BM1" s="502"/>
      <c r="BN1" s="502"/>
      <c r="BO1" s="502"/>
      <c r="BP1" s="502"/>
      <c r="BQ1" s="502"/>
      <c r="BR1" s="502"/>
      <c r="BS1" s="502"/>
      <c r="BT1" s="502"/>
      <c r="BU1" s="502"/>
      <c r="BV1" s="502"/>
      <c r="BW1" s="502"/>
      <c r="BX1" s="502"/>
      <c r="BY1" s="502"/>
      <c r="BZ1" s="502"/>
      <c r="CA1" s="502"/>
      <c r="CB1" s="502"/>
      <c r="CC1" s="502"/>
      <c r="CD1" s="502"/>
      <c r="CE1" s="502"/>
      <c r="CF1" s="502"/>
      <c r="CG1" s="502"/>
      <c r="CH1" s="502"/>
      <c r="CI1" s="502"/>
      <c r="CJ1" s="502"/>
      <c r="CK1" s="502"/>
      <c r="CL1" s="502"/>
      <c r="CM1" s="502"/>
      <c r="CN1" s="502"/>
      <c r="CO1" s="502"/>
      <c r="CP1" s="502"/>
      <c r="CQ1" s="502"/>
      <c r="CR1" s="502"/>
      <c r="CS1" s="502"/>
      <c r="CT1" s="502"/>
      <c r="CU1" s="502"/>
      <c r="CV1" s="502"/>
      <c r="CW1" s="502"/>
      <c r="CX1" s="502"/>
      <c r="CY1" s="502"/>
      <c r="CZ1" s="502"/>
      <c r="DA1" s="502"/>
      <c r="DB1" s="502"/>
      <c r="DC1" s="502"/>
      <c r="DD1" s="502"/>
      <c r="DE1" s="502"/>
      <c r="DF1" s="502"/>
      <c r="DG1" s="502"/>
      <c r="DH1" s="502"/>
      <c r="DI1" s="502"/>
      <c r="DJ1" s="502"/>
      <c r="DK1" s="502"/>
      <c r="DL1" s="502"/>
      <c r="DM1" s="502"/>
      <c r="DN1" s="502"/>
      <c r="DO1" s="502"/>
      <c r="DP1" s="502"/>
      <c r="DQ1" s="502"/>
      <c r="DR1" s="502"/>
      <c r="DS1" s="502"/>
      <c r="DT1" s="502"/>
      <c r="DU1" s="502"/>
      <c r="DV1" s="502"/>
      <c r="DW1" s="502"/>
      <c r="DX1" s="502"/>
      <c r="DY1" s="502"/>
      <c r="DZ1" s="502"/>
      <c r="EA1" s="502"/>
      <c r="EB1" s="502"/>
      <c r="EC1" s="502"/>
      <c r="ED1" s="502"/>
      <c r="EE1" s="502"/>
      <c r="EF1" s="502"/>
      <c r="EG1" s="502"/>
      <c r="EH1" s="502"/>
      <c r="EI1" s="502"/>
      <c r="EJ1" s="502"/>
      <c r="EK1" s="502"/>
      <c r="EL1" s="502"/>
      <c r="EM1" s="502"/>
      <c r="EN1" s="502"/>
      <c r="EO1" s="502"/>
      <c r="EP1" s="502"/>
      <c r="EQ1" s="502"/>
      <c r="ER1" s="502"/>
      <c r="ES1" s="502"/>
      <c r="ET1" s="502"/>
      <c r="EU1" s="502"/>
      <c r="EV1" s="502"/>
      <c r="EW1" s="502"/>
      <c r="EX1" s="502"/>
      <c r="EY1" s="502"/>
      <c r="EZ1" s="502"/>
      <c r="FA1" s="502"/>
      <c r="FB1" s="502"/>
      <c r="FC1" s="502"/>
      <c r="FD1" s="502"/>
      <c r="FE1" s="502"/>
      <c r="FF1" s="502"/>
      <c r="FG1" s="502"/>
      <c r="FH1" s="502"/>
      <c r="FI1" s="502"/>
      <c r="FJ1" s="502"/>
      <c r="FK1" s="502"/>
      <c r="FL1" s="502"/>
      <c r="FM1" s="502"/>
      <c r="FN1" s="502"/>
      <c r="FO1" s="502"/>
      <c r="FP1" s="502"/>
      <c r="FQ1" s="502"/>
      <c r="FR1" s="502"/>
      <c r="FS1" s="502"/>
      <c r="FT1" s="502"/>
      <c r="FU1" s="502"/>
      <c r="FV1" s="502"/>
      <c r="FW1" s="502"/>
      <c r="FX1" s="502"/>
      <c r="FY1" s="502"/>
      <c r="FZ1" s="502"/>
      <c r="GA1" s="502"/>
      <c r="GB1" s="502"/>
      <c r="GC1" s="502"/>
      <c r="GD1" s="502"/>
      <c r="GE1" s="502"/>
      <c r="GF1" s="502"/>
      <c r="GG1" s="502"/>
      <c r="GH1" s="502"/>
      <c r="GI1" s="502"/>
      <c r="GJ1" s="502"/>
      <c r="GK1" s="502"/>
      <c r="GL1" s="502"/>
      <c r="GM1" s="502"/>
      <c r="GN1" s="502"/>
      <c r="GO1" s="502"/>
      <c r="GP1" s="502"/>
      <c r="GQ1" s="502"/>
      <c r="GR1" s="502"/>
      <c r="GS1" s="502"/>
      <c r="GT1" s="502"/>
      <c r="GU1" s="502"/>
      <c r="GV1" s="502"/>
      <c r="GW1" s="502"/>
      <c r="GX1" s="502"/>
      <c r="GY1" s="502"/>
      <c r="GZ1" s="502"/>
      <c r="HA1" s="502"/>
      <c r="HB1" s="502"/>
      <c r="HC1" s="502"/>
      <c r="HD1" s="502"/>
      <c r="HE1" s="502"/>
      <c r="HF1" s="502"/>
      <c r="HG1" s="502"/>
      <c r="HH1" s="502"/>
      <c r="HI1" s="502"/>
      <c r="HJ1" s="502"/>
      <c r="HK1" s="502"/>
      <c r="HL1" s="502"/>
      <c r="HM1" s="502"/>
      <c r="HN1" s="502"/>
      <c r="HO1" s="502"/>
      <c r="HP1" s="502"/>
      <c r="HQ1" s="502"/>
      <c r="HR1" s="502"/>
      <c r="HS1" s="502"/>
      <c r="HT1" s="502"/>
      <c r="HU1" s="502"/>
      <c r="HV1" s="502"/>
      <c r="HW1" s="502"/>
      <c r="HX1" s="502"/>
      <c r="HY1" s="502"/>
      <c r="HZ1" s="502"/>
      <c r="IA1" s="502"/>
      <c r="IB1" s="502"/>
      <c r="IC1" s="502"/>
      <c r="ID1" s="502"/>
      <c r="IE1" s="502"/>
      <c r="IF1" s="502"/>
      <c r="IG1" s="502"/>
      <c r="IH1" s="502"/>
      <c r="II1" s="502"/>
      <c r="IJ1" s="502"/>
      <c r="IK1" s="502"/>
      <c r="IL1" s="502"/>
      <c r="IM1" s="502"/>
      <c r="IN1" s="502"/>
      <c r="IO1" s="502"/>
      <c r="IP1" s="502"/>
      <c r="IQ1" s="502"/>
      <c r="IR1" s="502"/>
      <c r="IS1" s="502"/>
      <c r="IT1" s="502"/>
      <c r="IU1" s="502"/>
    </row>
    <row r="2" spans="1:255" s="157"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c r="IU2" s="471"/>
    </row>
    <row r="3" spans="1:255" s="157" customFormat="1" ht="20.100000000000001" customHeight="1" x14ac:dyDescent="0.25">
      <c r="A3" s="633" t="s">
        <v>0</v>
      </c>
      <c r="B3" s="634">
        <f>+A1</f>
        <v>45474</v>
      </c>
      <c r="C3" s="634">
        <f t="shared" ref="C3:AF3" si="0">+B3+1</f>
        <v>45475</v>
      </c>
      <c r="D3" s="634">
        <f t="shared" si="0"/>
        <v>45476</v>
      </c>
      <c r="E3" s="634">
        <f t="shared" si="0"/>
        <v>45477</v>
      </c>
      <c r="F3" s="634">
        <f t="shared" si="0"/>
        <v>45478</v>
      </c>
      <c r="G3" s="634">
        <f t="shared" si="0"/>
        <v>45479</v>
      </c>
      <c r="H3" s="634">
        <f t="shared" si="0"/>
        <v>45480</v>
      </c>
      <c r="I3" s="634">
        <f t="shared" si="0"/>
        <v>45481</v>
      </c>
      <c r="J3" s="634">
        <f t="shared" si="0"/>
        <v>45482</v>
      </c>
      <c r="K3" s="634">
        <f t="shared" si="0"/>
        <v>45483</v>
      </c>
      <c r="L3" s="634">
        <f t="shared" ref="L3:P4" si="1">+K3+1</f>
        <v>45484</v>
      </c>
      <c r="M3" s="634">
        <f t="shared" si="1"/>
        <v>45485</v>
      </c>
      <c r="N3" s="634">
        <f t="shared" si="1"/>
        <v>45486</v>
      </c>
      <c r="O3" s="635">
        <f t="shared" si="1"/>
        <v>45487</v>
      </c>
      <c r="P3" s="634">
        <f t="shared" si="1"/>
        <v>45488</v>
      </c>
      <c r="Q3" s="634">
        <f t="shared" si="0"/>
        <v>45489</v>
      </c>
      <c r="R3" s="634">
        <f t="shared" si="0"/>
        <v>45490</v>
      </c>
      <c r="S3" s="634">
        <f t="shared" si="0"/>
        <v>45491</v>
      </c>
      <c r="T3" s="634">
        <f t="shared" si="0"/>
        <v>45492</v>
      </c>
      <c r="U3" s="634">
        <f t="shared" si="0"/>
        <v>45493</v>
      </c>
      <c r="V3" s="634">
        <f t="shared" si="0"/>
        <v>45494</v>
      </c>
      <c r="W3" s="634">
        <f t="shared" si="0"/>
        <v>45495</v>
      </c>
      <c r="X3" s="634">
        <f t="shared" si="0"/>
        <v>45496</v>
      </c>
      <c r="Y3" s="634">
        <f t="shared" si="0"/>
        <v>45497</v>
      </c>
      <c r="Z3" s="634">
        <f t="shared" si="0"/>
        <v>45498</v>
      </c>
      <c r="AA3" s="634">
        <f t="shared" si="0"/>
        <v>45499</v>
      </c>
      <c r="AB3" s="634">
        <f t="shared" si="0"/>
        <v>45500</v>
      </c>
      <c r="AC3" s="634">
        <f t="shared" si="0"/>
        <v>45501</v>
      </c>
      <c r="AD3" s="634">
        <f t="shared" si="0"/>
        <v>45502</v>
      </c>
      <c r="AE3" s="634">
        <f t="shared" si="0"/>
        <v>45503</v>
      </c>
      <c r="AF3" s="634">
        <f t="shared" si="0"/>
        <v>45504</v>
      </c>
      <c r="AG3" s="158"/>
      <c r="AH3" s="158"/>
    </row>
    <row r="4" spans="1:255" s="157" customFormat="1" ht="20.100000000000001" customHeight="1" x14ac:dyDescent="0.25">
      <c r="A4" s="527" t="s">
        <v>1</v>
      </c>
      <c r="B4" s="531">
        <f>+A1</f>
        <v>45474</v>
      </c>
      <c r="C4" s="531">
        <f>+B4+1</f>
        <v>45475</v>
      </c>
      <c r="D4" s="531">
        <f t="shared" ref="D4:AF4" si="2">+C4+1</f>
        <v>45476</v>
      </c>
      <c r="E4" s="531">
        <f t="shared" si="2"/>
        <v>45477</v>
      </c>
      <c r="F4" s="531">
        <f t="shared" si="2"/>
        <v>45478</v>
      </c>
      <c r="G4" s="531">
        <f t="shared" si="2"/>
        <v>45479</v>
      </c>
      <c r="H4" s="531">
        <f t="shared" si="2"/>
        <v>45480</v>
      </c>
      <c r="I4" s="531">
        <f t="shared" si="2"/>
        <v>45481</v>
      </c>
      <c r="J4" s="531">
        <f t="shared" si="2"/>
        <v>45482</v>
      </c>
      <c r="K4" s="531">
        <f t="shared" si="2"/>
        <v>45483</v>
      </c>
      <c r="L4" s="531">
        <f t="shared" si="1"/>
        <v>45484</v>
      </c>
      <c r="M4" s="531">
        <f t="shared" si="1"/>
        <v>45485</v>
      </c>
      <c r="N4" s="531">
        <f t="shared" si="1"/>
        <v>45486</v>
      </c>
      <c r="O4" s="532">
        <f t="shared" si="1"/>
        <v>45487</v>
      </c>
      <c r="P4" s="531">
        <f t="shared" si="1"/>
        <v>45488</v>
      </c>
      <c r="Q4" s="531">
        <f t="shared" si="2"/>
        <v>45489</v>
      </c>
      <c r="R4" s="531">
        <f t="shared" si="2"/>
        <v>45490</v>
      </c>
      <c r="S4" s="531">
        <f t="shared" si="2"/>
        <v>45491</v>
      </c>
      <c r="T4" s="531">
        <f t="shared" si="2"/>
        <v>45492</v>
      </c>
      <c r="U4" s="531">
        <f t="shared" si="2"/>
        <v>45493</v>
      </c>
      <c r="V4" s="531">
        <f t="shared" si="2"/>
        <v>45494</v>
      </c>
      <c r="W4" s="531">
        <f t="shared" si="2"/>
        <v>45495</v>
      </c>
      <c r="X4" s="531">
        <f t="shared" si="2"/>
        <v>45496</v>
      </c>
      <c r="Y4" s="531">
        <f t="shared" si="2"/>
        <v>45497</v>
      </c>
      <c r="Z4" s="531">
        <f t="shared" si="2"/>
        <v>45498</v>
      </c>
      <c r="AA4" s="531">
        <f t="shared" si="2"/>
        <v>45499</v>
      </c>
      <c r="AB4" s="531">
        <f t="shared" si="2"/>
        <v>45500</v>
      </c>
      <c r="AC4" s="531">
        <f t="shared" si="2"/>
        <v>45501</v>
      </c>
      <c r="AD4" s="531">
        <f t="shared" si="2"/>
        <v>45502</v>
      </c>
      <c r="AE4" s="531">
        <f t="shared" si="2"/>
        <v>45503</v>
      </c>
      <c r="AF4" s="531">
        <f t="shared" si="2"/>
        <v>45504</v>
      </c>
      <c r="AG4" s="158"/>
      <c r="AH4" s="158"/>
    </row>
    <row r="5" spans="1:255" s="180" customFormat="1" ht="9.9" customHeight="1" thickBot="1" x14ac:dyDescent="0.45">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255" s="469" customFormat="1" ht="20.100000000000001" customHeight="1" thickBot="1" x14ac:dyDescent="0.45">
      <c r="A6" s="529" t="s">
        <v>2</v>
      </c>
      <c r="B6" s="489"/>
      <c r="C6" s="487"/>
      <c r="D6" s="487"/>
      <c r="E6" s="487"/>
      <c r="F6" s="487"/>
      <c r="G6" s="488"/>
      <c r="H6" s="488"/>
      <c r="I6" s="487"/>
      <c r="J6" s="487"/>
      <c r="K6" s="487"/>
      <c r="L6" s="487"/>
      <c r="M6" s="487"/>
      <c r="N6" s="487"/>
      <c r="O6" s="487" t="s">
        <v>65</v>
      </c>
      <c r="P6" s="487"/>
      <c r="Q6" s="487"/>
      <c r="R6" s="487"/>
      <c r="S6" s="487"/>
      <c r="T6" s="488"/>
      <c r="U6" s="488"/>
      <c r="V6" s="488"/>
      <c r="W6" s="487"/>
      <c r="X6" s="487"/>
      <c r="Y6" s="487"/>
      <c r="Z6" s="487"/>
      <c r="AA6" s="488"/>
      <c r="AB6" s="488"/>
      <c r="AC6" s="488"/>
      <c r="AD6" s="487"/>
      <c r="AE6" s="487"/>
      <c r="AF6" s="487"/>
      <c r="AG6" s="467"/>
      <c r="AH6" s="470"/>
    </row>
    <row r="7" spans="1:255" s="180" customFormat="1" ht="20.100000000000001" customHeight="1" x14ac:dyDescent="0.4">
      <c r="A7" s="530" t="s">
        <v>3</v>
      </c>
      <c r="B7" s="173"/>
      <c r="C7" s="173"/>
      <c r="D7" s="173"/>
      <c r="E7" s="173"/>
      <c r="F7" s="173"/>
      <c r="G7" s="497" t="s">
        <v>130</v>
      </c>
      <c r="H7" s="497" t="s">
        <v>130</v>
      </c>
      <c r="I7" s="497" t="s">
        <v>130</v>
      </c>
      <c r="J7" s="497" t="s">
        <v>130</v>
      </c>
      <c r="K7" s="497" t="s">
        <v>130</v>
      </c>
      <c r="L7" s="497" t="s">
        <v>130</v>
      </c>
      <c r="M7" s="497" t="s">
        <v>130</v>
      </c>
      <c r="N7" s="497" t="s">
        <v>130</v>
      </c>
      <c r="O7" s="497" t="s">
        <v>130</v>
      </c>
      <c r="P7" s="497" t="s">
        <v>130</v>
      </c>
      <c r="Q7" s="497" t="s">
        <v>130</v>
      </c>
      <c r="R7" s="497" t="s">
        <v>130</v>
      </c>
      <c r="S7" s="497" t="s">
        <v>130</v>
      </c>
      <c r="T7" s="497" t="s">
        <v>130</v>
      </c>
      <c r="U7" s="497" t="s">
        <v>130</v>
      </c>
      <c r="V7" s="497" t="s">
        <v>130</v>
      </c>
      <c r="W7" s="497" t="s">
        <v>130</v>
      </c>
      <c r="X7" s="497" t="s">
        <v>130</v>
      </c>
      <c r="Y7" s="497" t="s">
        <v>130</v>
      </c>
      <c r="Z7" s="497" t="s">
        <v>130</v>
      </c>
      <c r="AA7" s="497" t="s">
        <v>130</v>
      </c>
      <c r="AB7" s="497" t="s">
        <v>130</v>
      </c>
      <c r="AC7" s="497" t="s">
        <v>130</v>
      </c>
      <c r="AD7" s="497" t="s">
        <v>130</v>
      </c>
      <c r="AE7" s="497" t="s">
        <v>130</v>
      </c>
      <c r="AF7" s="497" t="s">
        <v>130</v>
      </c>
      <c r="AG7" s="171"/>
      <c r="AH7" s="165"/>
    </row>
    <row r="8" spans="1:255" s="561" customFormat="1" ht="25.5" customHeight="1" x14ac:dyDescent="0.3">
      <c r="A8" s="559" t="s">
        <v>132</v>
      </c>
      <c r="B8" s="562">
        <v>0.41666666666666669</v>
      </c>
      <c r="C8" s="562">
        <v>0.41666666666666669</v>
      </c>
      <c r="D8" s="562">
        <v>0.41666666666666669</v>
      </c>
      <c r="E8" s="562">
        <v>0.41666666666666669</v>
      </c>
      <c r="F8" s="562">
        <v>0.41666666666666669</v>
      </c>
      <c r="G8" s="562">
        <v>0.39583333333333331</v>
      </c>
      <c r="H8" s="562">
        <v>0.39583333333333331</v>
      </c>
      <c r="I8" s="562">
        <v>0.39583333333333331</v>
      </c>
      <c r="J8" s="562">
        <v>0.39583333333333331</v>
      </c>
      <c r="K8" s="562">
        <v>0.39583333333333331</v>
      </c>
      <c r="L8" s="562">
        <v>0.39583333333333331</v>
      </c>
      <c r="M8" s="562">
        <v>0.39583333333333331</v>
      </c>
      <c r="N8" s="562">
        <v>0.39583333333333331</v>
      </c>
      <c r="O8" s="562">
        <v>0.39583333333333331</v>
      </c>
      <c r="P8" s="562">
        <v>0.39583333333333331</v>
      </c>
      <c r="Q8" s="562">
        <v>0.39583333333333331</v>
      </c>
      <c r="R8" s="562">
        <v>0.39583333333333331</v>
      </c>
      <c r="S8" s="562">
        <v>0.39583333333333331</v>
      </c>
      <c r="T8" s="562">
        <v>0.39583333333333331</v>
      </c>
      <c r="U8" s="562">
        <v>0.39583333333333331</v>
      </c>
      <c r="V8" s="562">
        <v>0.39583333333333331</v>
      </c>
      <c r="W8" s="562">
        <v>0.39583333333333331</v>
      </c>
      <c r="X8" s="562">
        <v>0.39583333333333331</v>
      </c>
      <c r="Y8" s="562">
        <v>0.39583333333333331</v>
      </c>
      <c r="Z8" s="562">
        <v>0.39583333333333331</v>
      </c>
      <c r="AA8" s="562">
        <v>0.39583333333333331</v>
      </c>
      <c r="AB8" s="562">
        <v>0.39583333333333331</v>
      </c>
      <c r="AC8" s="562">
        <v>0.39583333333333331</v>
      </c>
      <c r="AD8" s="562">
        <v>0.39583333333333331</v>
      </c>
      <c r="AE8" s="562">
        <v>0.39583333333333331</v>
      </c>
      <c r="AF8" s="562">
        <v>0.39583333333333331</v>
      </c>
      <c r="AG8" s="560"/>
      <c r="AH8" s="562"/>
    </row>
    <row r="9" spans="1:255" s="180" customFormat="1" ht="20.25" customHeight="1" x14ac:dyDescent="0.4">
      <c r="A9" s="519" t="s">
        <v>36</v>
      </c>
      <c r="B9" s="511">
        <v>0.41666666666666669</v>
      </c>
      <c r="C9" s="511">
        <v>0.41666666666666669</v>
      </c>
      <c r="D9" s="511">
        <v>0.41666666666666669</v>
      </c>
      <c r="E9" s="511">
        <v>0.41666666666666669</v>
      </c>
      <c r="F9" s="511">
        <v>0.41666666666666669</v>
      </c>
      <c r="G9" s="511">
        <v>0.39583333333333331</v>
      </c>
      <c r="H9" s="511">
        <v>0.39583333333333331</v>
      </c>
      <c r="I9" s="511">
        <v>0.39583333333333331</v>
      </c>
      <c r="J9" s="511">
        <v>0.39583333333333331</v>
      </c>
      <c r="K9" s="511">
        <v>0.39583333333333331</v>
      </c>
      <c r="L9" s="511">
        <v>0.39583333333333331</v>
      </c>
      <c r="M9" s="511">
        <v>0.39583333333333331</v>
      </c>
      <c r="N9" s="511">
        <v>0.39583333333333331</v>
      </c>
      <c r="O9" s="511">
        <v>0.39583333333333331</v>
      </c>
      <c r="P9" s="511">
        <v>0.39583333333333331</v>
      </c>
      <c r="Q9" s="511">
        <v>0.39583333333333331</v>
      </c>
      <c r="R9" s="511">
        <v>0.39583333333333331</v>
      </c>
      <c r="S9" s="511">
        <v>0.39583333333333331</v>
      </c>
      <c r="T9" s="511">
        <v>0.39583333333333331</v>
      </c>
      <c r="U9" s="511">
        <v>0.39583333333333331</v>
      </c>
      <c r="V9" s="511">
        <v>0.39583333333333331</v>
      </c>
      <c r="W9" s="511">
        <v>0.39583333333333331</v>
      </c>
      <c r="X9" s="511">
        <v>0.39583333333333331</v>
      </c>
      <c r="Y9" s="511">
        <v>0.39583333333333331</v>
      </c>
      <c r="Z9" s="511">
        <v>0.39583333333333331</v>
      </c>
      <c r="AA9" s="511">
        <v>0.39583333333333331</v>
      </c>
      <c r="AB9" s="511">
        <v>0.39583333333333331</v>
      </c>
      <c r="AC9" s="511">
        <v>0.39583333333333331</v>
      </c>
      <c r="AD9" s="511">
        <v>0.39583333333333331</v>
      </c>
      <c r="AE9" s="511">
        <v>0.39583333333333331</v>
      </c>
      <c r="AF9" s="511">
        <v>0.39583333333333331</v>
      </c>
      <c r="AG9" s="172"/>
      <c r="AH9" s="554"/>
    </row>
    <row r="10" spans="1:255" s="180" customFormat="1" ht="20.100000000000001" customHeight="1" x14ac:dyDescent="0.4">
      <c r="A10" s="523" t="s">
        <v>5</v>
      </c>
      <c r="B10" s="626">
        <v>0.41666666666666669</v>
      </c>
      <c r="C10" s="626">
        <v>0.41666666666666669</v>
      </c>
      <c r="D10" s="626">
        <v>0.41666666666666669</v>
      </c>
      <c r="E10" s="626">
        <v>0.41666666666666669</v>
      </c>
      <c r="F10" s="626">
        <v>0.41666666666666669</v>
      </c>
      <c r="G10" s="626">
        <v>0.39583333333333331</v>
      </c>
      <c r="H10" s="626">
        <v>0.39583333333333331</v>
      </c>
      <c r="I10" s="626">
        <v>0.39583333333333331</v>
      </c>
      <c r="J10" s="626">
        <v>0.39583333333333331</v>
      </c>
      <c r="K10" s="626">
        <v>0.39583333333333331</v>
      </c>
      <c r="L10" s="626">
        <v>0.39583333333333331</v>
      </c>
      <c r="M10" s="626">
        <v>0.39583333333333331</v>
      </c>
      <c r="N10" s="626">
        <v>0.39583333333333331</v>
      </c>
      <c r="O10" s="626">
        <v>0.39583333333333331</v>
      </c>
      <c r="P10" s="626">
        <v>0.39583333333333331</v>
      </c>
      <c r="Q10" s="626">
        <v>0.39583333333333331</v>
      </c>
      <c r="R10" s="626">
        <v>0.39583333333333331</v>
      </c>
      <c r="S10" s="626">
        <v>0.39583333333333331</v>
      </c>
      <c r="T10" s="626">
        <v>0.39583333333333331</v>
      </c>
      <c r="U10" s="626">
        <v>0.39583333333333331</v>
      </c>
      <c r="V10" s="626">
        <v>0.39583333333333331</v>
      </c>
      <c r="W10" s="626">
        <v>0.39583333333333331</v>
      </c>
      <c r="X10" s="626">
        <v>0.39583333333333331</v>
      </c>
      <c r="Y10" s="626">
        <v>0.39583333333333331</v>
      </c>
      <c r="Z10" s="626">
        <v>0.39583333333333331</v>
      </c>
      <c r="AA10" s="626">
        <v>0.39583333333333331</v>
      </c>
      <c r="AB10" s="626">
        <v>0.39583333333333331</v>
      </c>
      <c r="AC10" s="626">
        <v>0.39583333333333331</v>
      </c>
      <c r="AD10" s="626">
        <v>0.39583333333333331</v>
      </c>
      <c r="AE10" s="626">
        <v>0.39583333333333331</v>
      </c>
      <c r="AF10" s="626">
        <v>0.39583333333333331</v>
      </c>
      <c r="AG10" s="171"/>
      <c r="AH10" s="626"/>
    </row>
    <row r="11" spans="1:255" s="180" customFormat="1" ht="20.100000000000001" customHeight="1" x14ac:dyDescent="0.4">
      <c r="A11" s="523" t="s">
        <v>6</v>
      </c>
      <c r="B11" s="627">
        <f t="shared" ref="B11:D11" si="3">IF(B10="","",IF(B15=0,B14+"0:30",+B15+"0:30"))</f>
        <v>0.96875</v>
      </c>
      <c r="C11" s="627">
        <f t="shared" si="3"/>
        <v>0.96875</v>
      </c>
      <c r="D11" s="627">
        <f t="shared" si="3"/>
        <v>0.96875</v>
      </c>
      <c r="E11" s="627">
        <f t="shared" ref="E11:G11" si="4">IF(E10="","",IF(E15=0,E14+"0:30",+E15+"0:30"))</f>
        <v>0.96875</v>
      </c>
      <c r="F11" s="627">
        <f t="shared" si="4"/>
        <v>0.96875</v>
      </c>
      <c r="G11" s="627">
        <f t="shared" si="4"/>
        <v>0.95833333333333337</v>
      </c>
      <c r="H11" s="627">
        <f t="shared" ref="H11:AF11" si="5">IF(H10="","",IF(H15=0,H14+"0:30",+H15+"0:30"))</f>
        <v>0.95833333333333337</v>
      </c>
      <c r="I11" s="627">
        <f t="shared" si="5"/>
        <v>0.95833333333333337</v>
      </c>
      <c r="J11" s="627">
        <f t="shared" si="5"/>
        <v>0.95833333333333337</v>
      </c>
      <c r="K11" s="627">
        <f t="shared" si="5"/>
        <v>0.95833333333333337</v>
      </c>
      <c r="L11" s="627">
        <f t="shared" si="5"/>
        <v>0.95833333333333337</v>
      </c>
      <c r="M11" s="627">
        <f t="shared" si="5"/>
        <v>0.95833333333333337</v>
      </c>
      <c r="N11" s="627">
        <f t="shared" si="5"/>
        <v>0.95833333333333337</v>
      </c>
      <c r="O11" s="627">
        <f t="shared" si="5"/>
        <v>0.95833333333333337</v>
      </c>
      <c r="P11" s="627">
        <f t="shared" si="5"/>
        <v>0.95833333333333337</v>
      </c>
      <c r="Q11" s="627">
        <f t="shared" si="5"/>
        <v>0.95833333333333337</v>
      </c>
      <c r="R11" s="627">
        <f t="shared" si="5"/>
        <v>0.95833333333333337</v>
      </c>
      <c r="S11" s="627">
        <f t="shared" si="5"/>
        <v>0.95833333333333337</v>
      </c>
      <c r="T11" s="627">
        <f t="shared" si="5"/>
        <v>0.95833333333333337</v>
      </c>
      <c r="U11" s="627">
        <f t="shared" si="5"/>
        <v>0.95833333333333337</v>
      </c>
      <c r="V11" s="627">
        <f t="shared" si="5"/>
        <v>0.95833333333333337</v>
      </c>
      <c r="W11" s="627">
        <f t="shared" si="5"/>
        <v>0.95833333333333337</v>
      </c>
      <c r="X11" s="627">
        <f t="shared" si="5"/>
        <v>0.95833333333333337</v>
      </c>
      <c r="Y11" s="627">
        <f t="shared" si="5"/>
        <v>0.95833333333333337</v>
      </c>
      <c r="Z11" s="627">
        <f t="shared" si="5"/>
        <v>0.95833333333333337</v>
      </c>
      <c r="AA11" s="627">
        <f t="shared" si="5"/>
        <v>0.95833333333333337</v>
      </c>
      <c r="AB11" s="627">
        <f t="shared" si="5"/>
        <v>0.95833333333333337</v>
      </c>
      <c r="AC11" s="627">
        <f t="shared" si="5"/>
        <v>0.95833333333333337</v>
      </c>
      <c r="AD11" s="627">
        <f t="shared" si="5"/>
        <v>0.95833333333333337</v>
      </c>
      <c r="AE11" s="627">
        <f t="shared" si="5"/>
        <v>0.95833333333333337</v>
      </c>
      <c r="AF11" s="627">
        <f t="shared" si="5"/>
        <v>0.95833333333333337</v>
      </c>
      <c r="AG11" s="171"/>
      <c r="AH11" s="626"/>
    </row>
    <row r="12" spans="1:255" s="180" customFormat="1" ht="20.100000000000001" customHeight="1" x14ac:dyDescent="0.4">
      <c r="A12" s="524" t="s">
        <v>7</v>
      </c>
      <c r="B12" s="623">
        <f t="shared" ref="B12:D12" si="6">+IF(B10="","",(B11-B10))</f>
        <v>0.55208333333333326</v>
      </c>
      <c r="C12" s="623">
        <f t="shared" si="6"/>
        <v>0.55208333333333326</v>
      </c>
      <c r="D12" s="623">
        <f t="shared" si="6"/>
        <v>0.55208333333333326</v>
      </c>
      <c r="E12" s="623">
        <f t="shared" ref="E12:G12" si="7">+IF(E10="","",(E11-E10))</f>
        <v>0.55208333333333326</v>
      </c>
      <c r="F12" s="623">
        <f t="shared" si="7"/>
        <v>0.55208333333333326</v>
      </c>
      <c r="G12" s="623">
        <f t="shared" si="7"/>
        <v>0.5625</v>
      </c>
      <c r="H12" s="623">
        <f t="shared" ref="H12:AF12" si="8">+IF(H10="","",(H11-H10))</f>
        <v>0.5625</v>
      </c>
      <c r="I12" s="623">
        <f t="shared" si="8"/>
        <v>0.5625</v>
      </c>
      <c r="J12" s="623">
        <f t="shared" si="8"/>
        <v>0.5625</v>
      </c>
      <c r="K12" s="623">
        <f t="shared" si="8"/>
        <v>0.5625</v>
      </c>
      <c r="L12" s="623">
        <f t="shared" si="8"/>
        <v>0.5625</v>
      </c>
      <c r="M12" s="623">
        <f t="shared" si="8"/>
        <v>0.5625</v>
      </c>
      <c r="N12" s="623">
        <f t="shared" si="8"/>
        <v>0.5625</v>
      </c>
      <c r="O12" s="623">
        <f t="shared" si="8"/>
        <v>0.5625</v>
      </c>
      <c r="P12" s="623">
        <f t="shared" si="8"/>
        <v>0.5625</v>
      </c>
      <c r="Q12" s="623">
        <f t="shared" si="8"/>
        <v>0.5625</v>
      </c>
      <c r="R12" s="623">
        <f t="shared" si="8"/>
        <v>0.5625</v>
      </c>
      <c r="S12" s="623">
        <f t="shared" si="8"/>
        <v>0.5625</v>
      </c>
      <c r="T12" s="623">
        <f t="shared" si="8"/>
        <v>0.5625</v>
      </c>
      <c r="U12" s="623">
        <f t="shared" si="8"/>
        <v>0.5625</v>
      </c>
      <c r="V12" s="623">
        <f t="shared" si="8"/>
        <v>0.5625</v>
      </c>
      <c r="W12" s="623">
        <f t="shared" si="8"/>
        <v>0.5625</v>
      </c>
      <c r="X12" s="623">
        <f t="shared" si="8"/>
        <v>0.5625</v>
      </c>
      <c r="Y12" s="623">
        <f t="shared" si="8"/>
        <v>0.5625</v>
      </c>
      <c r="Z12" s="623">
        <f t="shared" si="8"/>
        <v>0.5625</v>
      </c>
      <c r="AA12" s="623">
        <f t="shared" si="8"/>
        <v>0.5625</v>
      </c>
      <c r="AB12" s="623">
        <f t="shared" si="8"/>
        <v>0.5625</v>
      </c>
      <c r="AC12" s="623">
        <f t="shared" si="8"/>
        <v>0.5625</v>
      </c>
      <c r="AD12" s="623">
        <f t="shared" si="8"/>
        <v>0.5625</v>
      </c>
      <c r="AE12" s="623">
        <f t="shared" si="8"/>
        <v>0.5625</v>
      </c>
      <c r="AF12" s="623">
        <f t="shared" si="8"/>
        <v>0.5625</v>
      </c>
      <c r="AG12" s="486"/>
      <c r="AH12" s="624">
        <f>SUM(B12:AF12)</f>
        <v>17.385416666666664</v>
      </c>
    </row>
    <row r="13" spans="1:255" s="180" customFormat="1" ht="9.9" customHeight="1" x14ac:dyDescent="0.4">
      <c r="A13" s="473"/>
      <c r="B13" s="175"/>
      <c r="C13" s="175"/>
      <c r="D13" s="175"/>
      <c r="E13" s="175"/>
      <c r="F13" s="175"/>
      <c r="G13" s="174"/>
      <c r="H13" s="174"/>
      <c r="I13" s="174"/>
      <c r="J13" s="174"/>
      <c r="K13" s="174"/>
      <c r="L13" s="174"/>
      <c r="M13" s="174"/>
      <c r="N13" s="174"/>
      <c r="O13" s="174"/>
      <c r="P13" s="174"/>
      <c r="Q13" s="174"/>
      <c r="R13" s="174"/>
      <c r="S13" s="174"/>
      <c r="T13" s="174"/>
      <c r="U13" s="174"/>
      <c r="V13" s="174"/>
      <c r="W13" s="174"/>
      <c r="X13" s="174"/>
      <c r="Y13" s="174"/>
      <c r="Z13" s="174"/>
      <c r="AA13" s="174"/>
      <c r="AB13" s="174"/>
      <c r="AC13" s="174"/>
      <c r="AD13" s="174"/>
      <c r="AE13" s="174"/>
      <c r="AF13" s="174"/>
      <c r="AG13" s="172"/>
      <c r="AH13" s="174"/>
    </row>
    <row r="14" spans="1:255" s="180" customFormat="1" ht="20.100000000000001" customHeight="1" x14ac:dyDescent="0.4">
      <c r="A14" s="616" t="s">
        <v>8</v>
      </c>
      <c r="B14" s="176">
        <v>0.94791666666666663</v>
      </c>
      <c r="C14" s="176">
        <v>0.94791666666666663</v>
      </c>
      <c r="D14" s="176">
        <v>0.94791666666666663</v>
      </c>
      <c r="E14" s="176">
        <v>0.94791666666666663</v>
      </c>
      <c r="F14" s="176">
        <v>0.94791666666666663</v>
      </c>
      <c r="G14" s="176">
        <v>0.9375</v>
      </c>
      <c r="H14" s="176">
        <v>0.9375</v>
      </c>
      <c r="I14" s="176">
        <v>0.9375</v>
      </c>
      <c r="J14" s="176">
        <v>0.9375</v>
      </c>
      <c r="K14" s="176">
        <v>0.9375</v>
      </c>
      <c r="L14" s="176">
        <v>0.9375</v>
      </c>
      <c r="M14" s="176">
        <v>0.9375</v>
      </c>
      <c r="N14" s="176">
        <v>0.9375</v>
      </c>
      <c r="O14" s="176">
        <v>0.9375</v>
      </c>
      <c r="P14" s="176">
        <v>0.9375</v>
      </c>
      <c r="Q14" s="176">
        <v>0.9375</v>
      </c>
      <c r="R14" s="176">
        <v>0.9375</v>
      </c>
      <c r="S14" s="176">
        <v>0.9375</v>
      </c>
      <c r="T14" s="176">
        <v>0.9375</v>
      </c>
      <c r="U14" s="176">
        <v>0.9375</v>
      </c>
      <c r="V14" s="176">
        <v>0.9375</v>
      </c>
      <c r="W14" s="176">
        <v>0.9375</v>
      </c>
      <c r="X14" s="176">
        <v>0.9375</v>
      </c>
      <c r="Y14" s="176">
        <v>0.9375</v>
      </c>
      <c r="Z14" s="176">
        <v>0.9375</v>
      </c>
      <c r="AA14" s="176">
        <v>0.9375</v>
      </c>
      <c r="AB14" s="176">
        <v>0.9375</v>
      </c>
      <c r="AC14" s="176">
        <v>0.9375</v>
      </c>
      <c r="AD14" s="176">
        <v>0.9375</v>
      </c>
      <c r="AE14" s="176">
        <v>0.9375</v>
      </c>
      <c r="AF14" s="176">
        <v>0.9375</v>
      </c>
      <c r="AG14" s="171"/>
      <c r="AH14" s="176"/>
    </row>
    <row r="15" spans="1:255" s="180" customFormat="1" ht="20.100000000000001" customHeight="1" thickBot="1" x14ac:dyDescent="0.45">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575"/>
      <c r="AG15" s="171"/>
      <c r="AH15" s="555"/>
    </row>
    <row r="16" spans="1:255" s="180" customFormat="1" ht="20.100000000000001" hidden="1" customHeight="1" thickBot="1" x14ac:dyDescent="0.45">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9" t="s">
        <v>10</v>
      </c>
      <c r="B17" s="179">
        <f t="shared" ref="B17:AE19" si="9">COUNTIF(B14,"&gt;0")</f>
        <v>1</v>
      </c>
      <c r="C17" s="179">
        <f t="shared" si="9"/>
        <v>1</v>
      </c>
      <c r="D17" s="179">
        <f t="shared" si="9"/>
        <v>1</v>
      </c>
      <c r="E17" s="179">
        <f t="shared" si="9"/>
        <v>1</v>
      </c>
      <c r="F17" s="179">
        <f t="shared" si="9"/>
        <v>1</v>
      </c>
      <c r="G17" s="179">
        <f t="shared" si="9"/>
        <v>1</v>
      </c>
      <c r="H17" s="179">
        <f t="shared" si="9"/>
        <v>1</v>
      </c>
      <c r="I17" s="179">
        <f t="shared" si="9"/>
        <v>1</v>
      </c>
      <c r="J17" s="179">
        <f t="shared" si="9"/>
        <v>1</v>
      </c>
      <c r="K17" s="179">
        <f t="shared" si="9"/>
        <v>1</v>
      </c>
      <c r="L17" s="179">
        <f t="shared" si="9"/>
        <v>1</v>
      </c>
      <c r="M17" s="179">
        <f t="shared" si="9"/>
        <v>1</v>
      </c>
      <c r="N17" s="179">
        <f t="shared" si="9"/>
        <v>1</v>
      </c>
      <c r="O17" s="179">
        <f t="shared" si="9"/>
        <v>1</v>
      </c>
      <c r="P17" s="179">
        <f t="shared" si="9"/>
        <v>1</v>
      </c>
      <c r="Q17" s="179">
        <f t="shared" si="9"/>
        <v>1</v>
      </c>
      <c r="R17" s="179">
        <f t="shared" si="9"/>
        <v>1</v>
      </c>
      <c r="S17" s="179">
        <f t="shared" si="9"/>
        <v>1</v>
      </c>
      <c r="T17" s="179">
        <f t="shared" si="9"/>
        <v>1</v>
      </c>
      <c r="U17" s="179">
        <f t="shared" si="9"/>
        <v>1</v>
      </c>
      <c r="V17" s="179">
        <f t="shared" si="9"/>
        <v>1</v>
      </c>
      <c r="W17" s="179">
        <f t="shared" si="9"/>
        <v>1</v>
      </c>
      <c r="X17" s="179">
        <f t="shared" si="9"/>
        <v>1</v>
      </c>
      <c r="Y17" s="179">
        <f t="shared" si="9"/>
        <v>1</v>
      </c>
      <c r="Z17" s="179">
        <f t="shared" si="9"/>
        <v>1</v>
      </c>
      <c r="AA17" s="179">
        <f t="shared" si="9"/>
        <v>1</v>
      </c>
      <c r="AB17" s="179">
        <f t="shared" si="9"/>
        <v>1</v>
      </c>
      <c r="AC17" s="179">
        <f t="shared" si="9"/>
        <v>1</v>
      </c>
      <c r="AD17" s="179">
        <f t="shared" si="9"/>
        <v>1</v>
      </c>
      <c r="AE17" s="179">
        <f t="shared" si="9"/>
        <v>1</v>
      </c>
      <c r="AF17" s="179">
        <f>COUNTIF(AF14,"&gt;0")</f>
        <v>1</v>
      </c>
      <c r="AG17" s="171"/>
      <c r="AH17" s="163"/>
    </row>
    <row r="18" spans="1:135" s="180" customFormat="1" ht="20.100000000000001" hidden="1" customHeight="1" x14ac:dyDescent="0.4">
      <c r="A18" s="519" t="s">
        <v>11</v>
      </c>
      <c r="B18" s="179">
        <f>COUNTIF(B15,"&gt;0")</f>
        <v>0</v>
      </c>
      <c r="C18" s="179">
        <f t="shared" si="9"/>
        <v>0</v>
      </c>
      <c r="D18" s="179">
        <f t="shared" si="9"/>
        <v>0</v>
      </c>
      <c r="E18" s="179">
        <f t="shared" si="9"/>
        <v>0</v>
      </c>
      <c r="F18" s="179">
        <f t="shared" si="9"/>
        <v>0</v>
      </c>
      <c r="G18" s="179">
        <f t="shared" si="9"/>
        <v>0</v>
      </c>
      <c r="H18" s="179">
        <f t="shared" si="9"/>
        <v>0</v>
      </c>
      <c r="I18" s="179">
        <f t="shared" si="9"/>
        <v>0</v>
      </c>
      <c r="J18" s="179">
        <f t="shared" si="9"/>
        <v>0</v>
      </c>
      <c r="K18" s="179">
        <f t="shared" si="9"/>
        <v>0</v>
      </c>
      <c r="L18" s="179">
        <f t="shared" si="9"/>
        <v>0</v>
      </c>
      <c r="M18" s="179">
        <f t="shared" si="9"/>
        <v>0</v>
      </c>
      <c r="N18" s="179">
        <f t="shared" si="9"/>
        <v>0</v>
      </c>
      <c r="O18" s="179">
        <f t="shared" si="9"/>
        <v>0</v>
      </c>
      <c r="P18" s="179">
        <f t="shared" si="9"/>
        <v>0</v>
      </c>
      <c r="Q18" s="179">
        <f t="shared" si="9"/>
        <v>0</v>
      </c>
      <c r="R18" s="179">
        <f t="shared" si="9"/>
        <v>0</v>
      </c>
      <c r="S18" s="179">
        <f t="shared" si="9"/>
        <v>0</v>
      </c>
      <c r="T18" s="179">
        <f t="shared" si="9"/>
        <v>0</v>
      </c>
      <c r="U18" s="179">
        <f t="shared" si="9"/>
        <v>0</v>
      </c>
      <c r="V18" s="179">
        <f t="shared" si="9"/>
        <v>0</v>
      </c>
      <c r="W18" s="179">
        <f t="shared" si="9"/>
        <v>0</v>
      </c>
      <c r="X18" s="179">
        <f t="shared" si="9"/>
        <v>0</v>
      </c>
      <c r="Y18" s="179">
        <f t="shared" si="9"/>
        <v>0</v>
      </c>
      <c r="Z18" s="179">
        <f t="shared" si="9"/>
        <v>0</v>
      </c>
      <c r="AA18" s="179">
        <f t="shared" si="9"/>
        <v>0</v>
      </c>
      <c r="AB18" s="179">
        <f t="shared" si="9"/>
        <v>0</v>
      </c>
      <c r="AC18" s="179">
        <f t="shared" si="9"/>
        <v>0</v>
      </c>
      <c r="AD18" s="179">
        <f t="shared" si="9"/>
        <v>0</v>
      </c>
      <c r="AE18" s="179">
        <f t="shared" si="9"/>
        <v>0</v>
      </c>
      <c r="AF18" s="179">
        <f>COUNTIF(AF15,"&gt;0")</f>
        <v>0</v>
      </c>
      <c r="AG18" s="171"/>
      <c r="AH18" s="163"/>
    </row>
    <row r="19" spans="1:135" s="180" customFormat="1" ht="20.100000000000001" hidden="1" customHeight="1" thickBot="1" x14ac:dyDescent="0.45">
      <c r="A19" s="519" t="s">
        <v>20</v>
      </c>
      <c r="B19" s="179">
        <f>COUNTIF(B16,"&gt;0")</f>
        <v>0</v>
      </c>
      <c r="C19" s="179">
        <f t="shared" si="9"/>
        <v>0</v>
      </c>
      <c r="D19" s="179">
        <f t="shared" si="9"/>
        <v>0</v>
      </c>
      <c r="E19" s="179">
        <f t="shared" si="9"/>
        <v>0</v>
      </c>
      <c r="F19" s="179">
        <f t="shared" si="9"/>
        <v>0</v>
      </c>
      <c r="G19" s="179">
        <f t="shared" si="9"/>
        <v>0</v>
      </c>
      <c r="H19" s="179">
        <f t="shared" si="9"/>
        <v>0</v>
      </c>
      <c r="I19" s="179">
        <f t="shared" si="9"/>
        <v>0</v>
      </c>
      <c r="J19" s="179">
        <f t="shared" si="9"/>
        <v>0</v>
      </c>
      <c r="K19" s="179">
        <f t="shared" si="9"/>
        <v>0</v>
      </c>
      <c r="L19" s="179">
        <f t="shared" si="9"/>
        <v>0</v>
      </c>
      <c r="M19" s="179">
        <f t="shared" si="9"/>
        <v>0</v>
      </c>
      <c r="N19" s="179">
        <f t="shared" si="9"/>
        <v>0</v>
      </c>
      <c r="O19" s="179">
        <f t="shared" si="9"/>
        <v>0</v>
      </c>
      <c r="P19" s="179">
        <f t="shared" si="9"/>
        <v>0</v>
      </c>
      <c r="Q19" s="179">
        <f t="shared" si="9"/>
        <v>0</v>
      </c>
      <c r="R19" s="179">
        <f t="shared" si="9"/>
        <v>0</v>
      </c>
      <c r="S19" s="179">
        <f t="shared" si="9"/>
        <v>0</v>
      </c>
      <c r="T19" s="179">
        <f t="shared" si="9"/>
        <v>0</v>
      </c>
      <c r="U19" s="179">
        <f t="shared" si="9"/>
        <v>0</v>
      </c>
      <c r="V19" s="179">
        <f t="shared" si="9"/>
        <v>0</v>
      </c>
      <c r="W19" s="179">
        <f t="shared" si="9"/>
        <v>0</v>
      </c>
      <c r="X19" s="179">
        <f t="shared" si="9"/>
        <v>0</v>
      </c>
      <c r="Y19" s="179">
        <f t="shared" si="9"/>
        <v>0</v>
      </c>
      <c r="Z19" s="179">
        <f t="shared" si="9"/>
        <v>0</v>
      </c>
      <c r="AA19" s="179">
        <f t="shared" si="9"/>
        <v>0</v>
      </c>
      <c r="AB19" s="179">
        <f t="shared" si="9"/>
        <v>0</v>
      </c>
      <c r="AC19" s="179">
        <f t="shared" si="9"/>
        <v>0</v>
      </c>
      <c r="AD19" s="179">
        <f t="shared" si="9"/>
        <v>0</v>
      </c>
      <c r="AE19" s="179">
        <f t="shared" si="9"/>
        <v>0</v>
      </c>
      <c r="AF19" s="179">
        <f>COUNTIF(AF16,"&gt;0")</f>
        <v>0</v>
      </c>
      <c r="AG19" s="171"/>
      <c r="AH19" s="163"/>
    </row>
    <row r="20" spans="1:135" s="180" customFormat="1" ht="20.100000000000001" customHeight="1" thickBot="1" x14ac:dyDescent="0.45">
      <c r="A20" s="616" t="s">
        <v>12</v>
      </c>
      <c r="B20" s="618">
        <f>SUM(B17:B19)</f>
        <v>1</v>
      </c>
      <c r="C20" s="618">
        <f>SUM(C17:C19)</f>
        <v>1</v>
      </c>
      <c r="D20" s="618">
        <f t="shared" ref="D20:AF20" si="10">SUM(D17:D19)</f>
        <v>1</v>
      </c>
      <c r="E20" s="618">
        <f t="shared" si="10"/>
        <v>1</v>
      </c>
      <c r="F20" s="618">
        <f t="shared" si="10"/>
        <v>1</v>
      </c>
      <c r="G20" s="618">
        <f t="shared" si="10"/>
        <v>1</v>
      </c>
      <c r="H20" s="618">
        <f t="shared" si="10"/>
        <v>1</v>
      </c>
      <c r="I20" s="618">
        <f t="shared" si="10"/>
        <v>1</v>
      </c>
      <c r="J20" s="618">
        <f t="shared" si="10"/>
        <v>1</v>
      </c>
      <c r="K20" s="618">
        <f t="shared" si="10"/>
        <v>1</v>
      </c>
      <c r="L20" s="618">
        <f t="shared" si="10"/>
        <v>1</v>
      </c>
      <c r="M20" s="618">
        <f t="shared" si="10"/>
        <v>1</v>
      </c>
      <c r="N20" s="618">
        <f t="shared" si="10"/>
        <v>1</v>
      </c>
      <c r="O20" s="618">
        <f t="shared" si="10"/>
        <v>1</v>
      </c>
      <c r="P20" s="618">
        <f t="shared" si="10"/>
        <v>1</v>
      </c>
      <c r="Q20" s="618">
        <f t="shared" si="10"/>
        <v>1</v>
      </c>
      <c r="R20" s="618">
        <f t="shared" si="10"/>
        <v>1</v>
      </c>
      <c r="S20" s="618">
        <f t="shared" si="10"/>
        <v>1</v>
      </c>
      <c r="T20" s="618">
        <f t="shared" si="10"/>
        <v>1</v>
      </c>
      <c r="U20" s="618">
        <f t="shared" si="10"/>
        <v>1</v>
      </c>
      <c r="V20" s="618">
        <f t="shared" si="10"/>
        <v>1</v>
      </c>
      <c r="W20" s="618">
        <f t="shared" si="10"/>
        <v>1</v>
      </c>
      <c r="X20" s="618">
        <f t="shared" si="10"/>
        <v>1</v>
      </c>
      <c r="Y20" s="618">
        <f t="shared" si="10"/>
        <v>1</v>
      </c>
      <c r="Z20" s="618">
        <f t="shared" si="10"/>
        <v>1</v>
      </c>
      <c r="AA20" s="618">
        <f t="shared" si="10"/>
        <v>1</v>
      </c>
      <c r="AB20" s="618">
        <f t="shared" si="10"/>
        <v>1</v>
      </c>
      <c r="AC20" s="618">
        <f t="shared" si="10"/>
        <v>1</v>
      </c>
      <c r="AD20" s="618">
        <f t="shared" si="10"/>
        <v>1</v>
      </c>
      <c r="AE20" s="618">
        <f t="shared" si="10"/>
        <v>1</v>
      </c>
      <c r="AF20" s="618">
        <f t="shared" si="10"/>
        <v>1</v>
      </c>
      <c r="AG20" s="171"/>
      <c r="AH20" s="619">
        <f>SUM(B20:AF20)</f>
        <v>31</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8" t="s">
        <v>21</v>
      </c>
      <c r="B22" s="600">
        <v>1200</v>
      </c>
      <c r="C22" s="600">
        <v>1300</v>
      </c>
      <c r="D22" s="600">
        <v>1200</v>
      </c>
      <c r="E22" s="600">
        <v>1300</v>
      </c>
      <c r="F22" s="600">
        <v>1400</v>
      </c>
      <c r="G22" s="600">
        <v>2300</v>
      </c>
      <c r="H22" s="600">
        <v>1900</v>
      </c>
      <c r="I22" s="600">
        <v>1500</v>
      </c>
      <c r="J22" s="600">
        <v>2300</v>
      </c>
      <c r="K22" s="600">
        <v>2400</v>
      </c>
      <c r="L22" s="600">
        <v>2100</v>
      </c>
      <c r="M22" s="600">
        <v>1700</v>
      </c>
      <c r="N22" s="600">
        <v>1800</v>
      </c>
      <c r="O22" s="600">
        <v>1400</v>
      </c>
      <c r="P22" s="600">
        <v>2000</v>
      </c>
      <c r="Q22" s="600">
        <v>2600</v>
      </c>
      <c r="R22" s="600">
        <v>2900</v>
      </c>
      <c r="S22" s="600">
        <v>2700</v>
      </c>
      <c r="T22" s="600">
        <v>2000</v>
      </c>
      <c r="U22" s="600">
        <v>2600</v>
      </c>
      <c r="V22" s="600">
        <v>2100</v>
      </c>
      <c r="W22" s="600">
        <v>2300</v>
      </c>
      <c r="X22" s="600">
        <v>2600</v>
      </c>
      <c r="Y22" s="600">
        <v>2300</v>
      </c>
      <c r="Z22" s="600">
        <v>2600</v>
      </c>
      <c r="AA22" s="600">
        <v>2000</v>
      </c>
      <c r="AB22" s="600">
        <v>2300</v>
      </c>
      <c r="AC22" s="600">
        <v>2200</v>
      </c>
      <c r="AD22" s="600">
        <v>3300</v>
      </c>
      <c r="AE22" s="600">
        <v>3300</v>
      </c>
      <c r="AF22" s="600">
        <v>2800</v>
      </c>
      <c r="AG22" s="522"/>
      <c r="AH22" s="594">
        <f>SUM(B22:AG22)</f>
        <v>66400</v>
      </c>
    </row>
    <row r="23" spans="1:135" s="1" customFormat="1" ht="33.9" customHeight="1" x14ac:dyDescent="0.25">
      <c r="A23" s="590" t="s">
        <v>22</v>
      </c>
      <c r="B23" s="602">
        <v>1700</v>
      </c>
      <c r="C23" s="602">
        <v>1700</v>
      </c>
      <c r="D23" s="602">
        <v>1600</v>
      </c>
      <c r="E23" s="602">
        <v>2000</v>
      </c>
      <c r="F23" s="602">
        <v>2100</v>
      </c>
      <c r="G23" s="602">
        <v>3500</v>
      </c>
      <c r="H23" s="602">
        <v>3200</v>
      </c>
      <c r="I23" s="602">
        <v>3400</v>
      </c>
      <c r="J23" s="602">
        <v>3900</v>
      </c>
      <c r="K23" s="602">
        <v>3900</v>
      </c>
      <c r="L23" s="602">
        <v>3900</v>
      </c>
      <c r="M23" s="602">
        <v>2800</v>
      </c>
      <c r="N23" s="602">
        <v>3000</v>
      </c>
      <c r="O23" s="602">
        <v>2800</v>
      </c>
      <c r="P23" s="602">
        <v>4200</v>
      </c>
      <c r="Q23" s="602">
        <v>5100</v>
      </c>
      <c r="R23" s="602">
        <v>5600</v>
      </c>
      <c r="S23" s="602">
        <v>5200</v>
      </c>
      <c r="T23" s="602">
        <v>4400</v>
      </c>
      <c r="U23" s="602">
        <v>4600</v>
      </c>
      <c r="V23" s="602">
        <v>4500</v>
      </c>
      <c r="W23" s="602">
        <v>5000</v>
      </c>
      <c r="X23" s="602">
        <v>6300</v>
      </c>
      <c r="Y23" s="602">
        <v>5900</v>
      </c>
      <c r="Z23" s="602">
        <v>6000</v>
      </c>
      <c r="AA23" s="602">
        <v>4600</v>
      </c>
      <c r="AB23" s="602">
        <v>5000</v>
      </c>
      <c r="AC23" s="602">
        <v>4500</v>
      </c>
      <c r="AD23" s="602">
        <v>6500</v>
      </c>
      <c r="AE23" s="602">
        <v>7300</v>
      </c>
      <c r="AF23" s="602">
        <v>6800</v>
      </c>
      <c r="AG23" s="522"/>
      <c r="AH23" s="595">
        <f t="shared" ref="AH23:AH32" si="11">SUM(B23:AG23)</f>
        <v>131000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603">
        <v>2900</v>
      </c>
      <c r="C24" s="603">
        <v>3000</v>
      </c>
      <c r="D24" s="603">
        <v>2800</v>
      </c>
      <c r="E24" s="603">
        <v>3300</v>
      </c>
      <c r="F24" s="603">
        <v>3500</v>
      </c>
      <c r="G24" s="603">
        <v>5800</v>
      </c>
      <c r="H24" s="603">
        <v>5100</v>
      </c>
      <c r="I24" s="603">
        <v>4900</v>
      </c>
      <c r="J24" s="603">
        <v>6200</v>
      </c>
      <c r="K24" s="603">
        <v>6300</v>
      </c>
      <c r="L24" s="603">
        <v>6000</v>
      </c>
      <c r="M24" s="603">
        <v>4500</v>
      </c>
      <c r="N24" s="603">
        <v>4800</v>
      </c>
      <c r="O24" s="603">
        <v>4200</v>
      </c>
      <c r="P24" s="603">
        <v>6200</v>
      </c>
      <c r="Q24" s="603">
        <v>7700</v>
      </c>
      <c r="R24" s="603">
        <v>8500</v>
      </c>
      <c r="S24" s="603">
        <v>7900</v>
      </c>
      <c r="T24" s="603">
        <v>6400</v>
      </c>
      <c r="U24" s="603">
        <v>7200</v>
      </c>
      <c r="V24" s="603">
        <v>6600</v>
      </c>
      <c r="W24" s="603">
        <v>7300</v>
      </c>
      <c r="X24" s="603">
        <v>8900</v>
      </c>
      <c r="Y24" s="603">
        <v>8200</v>
      </c>
      <c r="Z24" s="603">
        <v>8600</v>
      </c>
      <c r="AA24" s="603">
        <v>6600</v>
      </c>
      <c r="AB24" s="603">
        <v>7300</v>
      </c>
      <c r="AC24" s="603">
        <v>6700</v>
      </c>
      <c r="AD24" s="603">
        <v>9800</v>
      </c>
      <c r="AE24" s="603">
        <v>10600</v>
      </c>
      <c r="AF24" s="603">
        <v>9600</v>
      </c>
      <c r="AG24" s="513"/>
      <c r="AH24" s="596">
        <f t="shared" si="11"/>
        <v>197400</v>
      </c>
    </row>
    <row r="25" spans="1:135" s="1" customFormat="1" ht="33.9" customHeight="1" x14ac:dyDescent="0.25">
      <c r="A25" s="588" t="s">
        <v>43</v>
      </c>
      <c r="B25" s="600">
        <v>30</v>
      </c>
      <c r="C25" s="600">
        <v>50</v>
      </c>
      <c r="D25" s="600">
        <v>60</v>
      </c>
      <c r="E25" s="600">
        <v>70</v>
      </c>
      <c r="F25" s="600">
        <v>30</v>
      </c>
      <c r="G25" s="600">
        <v>1080</v>
      </c>
      <c r="H25" s="600">
        <v>770</v>
      </c>
      <c r="I25" s="600">
        <v>90</v>
      </c>
      <c r="J25" s="600">
        <v>150</v>
      </c>
      <c r="K25" s="600">
        <v>60</v>
      </c>
      <c r="L25" s="600">
        <v>90</v>
      </c>
      <c r="M25" s="600">
        <v>50</v>
      </c>
      <c r="N25" s="600">
        <v>120</v>
      </c>
      <c r="O25" s="600">
        <v>70</v>
      </c>
      <c r="P25" s="600">
        <v>0</v>
      </c>
      <c r="Q25" s="600">
        <v>130</v>
      </c>
      <c r="R25" s="600">
        <v>40</v>
      </c>
      <c r="S25" s="600">
        <v>0</v>
      </c>
      <c r="T25" s="600">
        <v>120</v>
      </c>
      <c r="U25" s="600">
        <v>260</v>
      </c>
      <c r="V25" s="600">
        <v>140</v>
      </c>
      <c r="W25" s="600">
        <v>0</v>
      </c>
      <c r="X25" s="600">
        <v>0</v>
      </c>
      <c r="Y25" s="600">
        <v>60</v>
      </c>
      <c r="Z25" s="600">
        <v>110</v>
      </c>
      <c r="AA25" s="600">
        <v>50</v>
      </c>
      <c r="AB25" s="600">
        <v>90</v>
      </c>
      <c r="AC25" s="600">
        <v>50</v>
      </c>
      <c r="AD25" s="600">
        <v>0</v>
      </c>
      <c r="AE25" s="600">
        <v>20</v>
      </c>
      <c r="AF25" s="600">
        <v>60</v>
      </c>
      <c r="AG25" s="522"/>
      <c r="AH25" s="594">
        <f t="shared" si="11"/>
        <v>3850</v>
      </c>
    </row>
    <row r="26" spans="1:135" s="1" customFormat="1" ht="33.9" customHeight="1" x14ac:dyDescent="0.25">
      <c r="A26" s="590" t="s">
        <v>44</v>
      </c>
      <c r="B26" s="602">
        <v>690</v>
      </c>
      <c r="C26" s="602">
        <v>840</v>
      </c>
      <c r="D26" s="602">
        <v>1980</v>
      </c>
      <c r="E26" s="602">
        <v>1700</v>
      </c>
      <c r="F26" s="602">
        <v>350</v>
      </c>
      <c r="G26" s="602">
        <v>190</v>
      </c>
      <c r="H26" s="602">
        <v>70</v>
      </c>
      <c r="I26" s="602">
        <v>620</v>
      </c>
      <c r="J26" s="602">
        <v>480</v>
      </c>
      <c r="K26" s="602">
        <v>810</v>
      </c>
      <c r="L26" s="602">
        <v>1250</v>
      </c>
      <c r="M26" s="602">
        <v>660</v>
      </c>
      <c r="N26" s="602">
        <v>380</v>
      </c>
      <c r="O26" s="602">
        <v>120</v>
      </c>
      <c r="P26" s="602">
        <v>710</v>
      </c>
      <c r="Q26" s="602">
        <v>550</v>
      </c>
      <c r="R26" s="602">
        <v>670</v>
      </c>
      <c r="S26" s="602">
        <v>960</v>
      </c>
      <c r="T26" s="602">
        <v>330</v>
      </c>
      <c r="U26" s="602">
        <v>370</v>
      </c>
      <c r="V26" s="602">
        <v>230</v>
      </c>
      <c r="W26" s="602">
        <v>320</v>
      </c>
      <c r="X26" s="602">
        <v>220</v>
      </c>
      <c r="Y26" s="602">
        <v>670</v>
      </c>
      <c r="Z26" s="602">
        <v>520</v>
      </c>
      <c r="AA26" s="602">
        <v>380</v>
      </c>
      <c r="AB26" s="602">
        <v>180</v>
      </c>
      <c r="AC26" s="602">
        <v>20</v>
      </c>
      <c r="AD26" s="602">
        <v>120</v>
      </c>
      <c r="AE26" s="602">
        <v>0</v>
      </c>
      <c r="AF26" s="602">
        <v>210</v>
      </c>
      <c r="AG26" s="522"/>
      <c r="AH26" s="595">
        <f t="shared" si="11"/>
        <v>16600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603">
        <v>720</v>
      </c>
      <c r="C27" s="603">
        <v>890</v>
      </c>
      <c r="D27" s="603">
        <v>2040</v>
      </c>
      <c r="E27" s="603">
        <v>1770</v>
      </c>
      <c r="F27" s="603">
        <v>380</v>
      </c>
      <c r="G27" s="603">
        <v>1270</v>
      </c>
      <c r="H27" s="603">
        <v>840</v>
      </c>
      <c r="I27" s="603">
        <v>710</v>
      </c>
      <c r="J27" s="603">
        <v>630</v>
      </c>
      <c r="K27" s="603">
        <v>870</v>
      </c>
      <c r="L27" s="603">
        <v>1340</v>
      </c>
      <c r="M27" s="603">
        <v>710</v>
      </c>
      <c r="N27" s="603">
        <v>500</v>
      </c>
      <c r="O27" s="603">
        <v>190</v>
      </c>
      <c r="P27" s="603">
        <v>710</v>
      </c>
      <c r="Q27" s="603">
        <v>680</v>
      </c>
      <c r="R27" s="603">
        <v>710</v>
      </c>
      <c r="S27" s="603">
        <v>960</v>
      </c>
      <c r="T27" s="603">
        <v>450</v>
      </c>
      <c r="U27" s="603">
        <v>630</v>
      </c>
      <c r="V27" s="603">
        <v>370</v>
      </c>
      <c r="W27" s="603">
        <v>320</v>
      </c>
      <c r="X27" s="603">
        <v>220</v>
      </c>
      <c r="Y27" s="603">
        <v>730</v>
      </c>
      <c r="Z27" s="603">
        <v>630</v>
      </c>
      <c r="AA27" s="603">
        <v>430</v>
      </c>
      <c r="AB27" s="603">
        <v>270</v>
      </c>
      <c r="AC27" s="603">
        <v>70</v>
      </c>
      <c r="AD27" s="603">
        <v>120</v>
      </c>
      <c r="AE27" s="603">
        <v>20</v>
      </c>
      <c r="AF27" s="603">
        <v>270</v>
      </c>
      <c r="AG27" s="513"/>
      <c r="AH27" s="596">
        <f t="shared" si="11"/>
        <v>20450</v>
      </c>
    </row>
    <row r="28" spans="1:135" s="1" customFormat="1" ht="33.9" customHeight="1" x14ac:dyDescent="0.25">
      <c r="A28" s="588" t="s">
        <v>23</v>
      </c>
      <c r="B28" s="600">
        <v>100</v>
      </c>
      <c r="C28" s="600">
        <v>100</v>
      </c>
      <c r="D28" s="600">
        <v>90</v>
      </c>
      <c r="E28" s="600">
        <v>100</v>
      </c>
      <c r="F28" s="600">
        <v>110</v>
      </c>
      <c r="G28" s="600">
        <v>140</v>
      </c>
      <c r="H28" s="600">
        <v>130</v>
      </c>
      <c r="I28" s="600">
        <v>140</v>
      </c>
      <c r="J28" s="600">
        <v>180</v>
      </c>
      <c r="K28" s="600">
        <v>180</v>
      </c>
      <c r="L28" s="600">
        <v>170</v>
      </c>
      <c r="M28" s="600">
        <v>210</v>
      </c>
      <c r="N28" s="600">
        <v>250</v>
      </c>
      <c r="O28" s="600">
        <v>140</v>
      </c>
      <c r="P28" s="600">
        <v>180</v>
      </c>
      <c r="Q28" s="600">
        <v>230</v>
      </c>
      <c r="R28" s="600">
        <v>230</v>
      </c>
      <c r="S28" s="600">
        <v>230</v>
      </c>
      <c r="T28" s="600">
        <v>180</v>
      </c>
      <c r="U28" s="600">
        <v>180</v>
      </c>
      <c r="V28" s="600">
        <v>180</v>
      </c>
      <c r="W28" s="600">
        <v>210</v>
      </c>
      <c r="X28" s="600">
        <v>260</v>
      </c>
      <c r="Y28" s="600">
        <v>250</v>
      </c>
      <c r="Z28" s="600">
        <v>210</v>
      </c>
      <c r="AA28" s="600">
        <v>200</v>
      </c>
      <c r="AB28" s="600">
        <v>200</v>
      </c>
      <c r="AC28" s="600">
        <v>200</v>
      </c>
      <c r="AD28" s="600">
        <v>210</v>
      </c>
      <c r="AE28" s="600">
        <v>260</v>
      </c>
      <c r="AF28" s="600">
        <v>270</v>
      </c>
      <c r="AG28" s="522"/>
      <c r="AH28" s="594">
        <f t="shared" si="11"/>
        <v>5720</v>
      </c>
    </row>
    <row r="29" spans="1:135" s="1" customFormat="1" ht="33.9" customHeight="1" x14ac:dyDescent="0.25">
      <c r="A29" s="590" t="s">
        <v>26</v>
      </c>
      <c r="B29" s="602">
        <v>70</v>
      </c>
      <c r="C29" s="602">
        <v>90</v>
      </c>
      <c r="D29" s="602">
        <v>80</v>
      </c>
      <c r="E29" s="602">
        <v>90</v>
      </c>
      <c r="F29" s="602">
        <v>80</v>
      </c>
      <c r="G29" s="602">
        <v>110</v>
      </c>
      <c r="H29" s="602">
        <v>100</v>
      </c>
      <c r="I29" s="602">
        <v>110</v>
      </c>
      <c r="J29" s="602">
        <v>140</v>
      </c>
      <c r="K29" s="602">
        <v>140</v>
      </c>
      <c r="L29" s="602">
        <v>130</v>
      </c>
      <c r="M29" s="602">
        <v>160</v>
      </c>
      <c r="N29" s="602">
        <v>190</v>
      </c>
      <c r="O29" s="602">
        <v>110</v>
      </c>
      <c r="P29" s="602">
        <v>140</v>
      </c>
      <c r="Q29" s="602">
        <v>180</v>
      </c>
      <c r="R29" s="602">
        <v>180</v>
      </c>
      <c r="S29" s="602">
        <v>180</v>
      </c>
      <c r="T29" s="602">
        <v>140</v>
      </c>
      <c r="U29" s="602">
        <v>140</v>
      </c>
      <c r="V29" s="602">
        <v>140</v>
      </c>
      <c r="W29" s="602">
        <v>160</v>
      </c>
      <c r="X29" s="602">
        <v>200</v>
      </c>
      <c r="Y29" s="602">
        <v>190</v>
      </c>
      <c r="Z29" s="602">
        <v>160</v>
      </c>
      <c r="AA29" s="602">
        <v>150</v>
      </c>
      <c r="AB29" s="602">
        <v>150</v>
      </c>
      <c r="AC29" s="602">
        <v>150</v>
      </c>
      <c r="AD29" s="602">
        <v>160</v>
      </c>
      <c r="AE29" s="602">
        <v>200</v>
      </c>
      <c r="AF29" s="602">
        <v>210</v>
      </c>
      <c r="AG29" s="522"/>
      <c r="AH29" s="595">
        <f t="shared" si="11"/>
        <v>4430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600">
        <v>0</v>
      </c>
      <c r="C30" s="600">
        <v>0</v>
      </c>
      <c r="D30" s="600">
        <v>340</v>
      </c>
      <c r="E30" s="600">
        <v>280</v>
      </c>
      <c r="F30" s="600">
        <v>0</v>
      </c>
      <c r="G30" s="600">
        <v>0</v>
      </c>
      <c r="H30" s="600">
        <v>0</v>
      </c>
      <c r="I30" s="600">
        <v>0</v>
      </c>
      <c r="J30" s="600">
        <v>80</v>
      </c>
      <c r="K30" s="600">
        <v>20</v>
      </c>
      <c r="L30" s="600">
        <v>70</v>
      </c>
      <c r="M30" s="600">
        <v>0</v>
      </c>
      <c r="N30" s="600">
        <v>0</v>
      </c>
      <c r="O30" s="600">
        <v>0</v>
      </c>
      <c r="P30" s="600">
        <v>0</v>
      </c>
      <c r="Q30" s="600">
        <v>0</v>
      </c>
      <c r="R30" s="600">
        <v>0</v>
      </c>
      <c r="S30" s="600">
        <v>0</v>
      </c>
      <c r="T30" s="600">
        <v>0</v>
      </c>
      <c r="U30" s="600">
        <v>0</v>
      </c>
      <c r="V30" s="600">
        <v>0</v>
      </c>
      <c r="W30" s="600">
        <v>0</v>
      </c>
      <c r="X30" s="600">
        <v>0</v>
      </c>
      <c r="Y30" s="600">
        <v>0</v>
      </c>
      <c r="Z30" s="600">
        <v>0</v>
      </c>
      <c r="AA30" s="600">
        <v>0</v>
      </c>
      <c r="AB30" s="600">
        <v>0</v>
      </c>
      <c r="AC30" s="600">
        <v>0</v>
      </c>
      <c r="AD30" s="600">
        <v>0</v>
      </c>
      <c r="AE30" s="600">
        <v>0</v>
      </c>
      <c r="AF30" s="600">
        <v>0</v>
      </c>
      <c r="AG30" s="522"/>
      <c r="AH30" s="594">
        <f t="shared" si="11"/>
        <v>790</v>
      </c>
    </row>
    <row r="31" spans="1:135" s="3" customFormat="1" ht="33.75" customHeight="1" x14ac:dyDescent="0.25">
      <c r="A31" s="590" t="s">
        <v>25</v>
      </c>
      <c r="B31" s="602">
        <v>190</v>
      </c>
      <c r="C31" s="602">
        <v>270</v>
      </c>
      <c r="D31" s="602">
        <v>280</v>
      </c>
      <c r="E31" s="602">
        <v>210</v>
      </c>
      <c r="F31" s="602">
        <v>260</v>
      </c>
      <c r="G31" s="602">
        <v>250</v>
      </c>
      <c r="H31" s="602">
        <v>320</v>
      </c>
      <c r="I31" s="602">
        <v>240</v>
      </c>
      <c r="J31" s="602">
        <v>230</v>
      </c>
      <c r="K31" s="602">
        <v>270</v>
      </c>
      <c r="L31" s="602">
        <v>350</v>
      </c>
      <c r="M31" s="602">
        <v>320</v>
      </c>
      <c r="N31" s="602">
        <v>300</v>
      </c>
      <c r="O31" s="602">
        <v>150</v>
      </c>
      <c r="P31" s="602">
        <v>150</v>
      </c>
      <c r="Q31" s="602">
        <v>290</v>
      </c>
      <c r="R31" s="602">
        <v>240</v>
      </c>
      <c r="S31" s="602">
        <v>230</v>
      </c>
      <c r="T31" s="602">
        <v>230</v>
      </c>
      <c r="U31" s="602">
        <v>240</v>
      </c>
      <c r="V31" s="602">
        <v>230</v>
      </c>
      <c r="W31" s="602">
        <v>270</v>
      </c>
      <c r="X31" s="602">
        <v>180</v>
      </c>
      <c r="Y31" s="602">
        <v>230</v>
      </c>
      <c r="Z31" s="602">
        <v>200</v>
      </c>
      <c r="AA31" s="602">
        <v>200</v>
      </c>
      <c r="AB31" s="602">
        <v>210</v>
      </c>
      <c r="AC31" s="602">
        <v>210</v>
      </c>
      <c r="AD31" s="602">
        <v>180</v>
      </c>
      <c r="AE31" s="602">
        <v>230</v>
      </c>
      <c r="AF31" s="602">
        <v>320</v>
      </c>
      <c r="AG31" s="522"/>
      <c r="AH31" s="595">
        <f t="shared" si="11"/>
        <v>7480</v>
      </c>
    </row>
    <row r="32" spans="1:135" s="514" customFormat="1" ht="33.9" customHeight="1" x14ac:dyDescent="0.25">
      <c r="A32" s="592" t="s">
        <v>30</v>
      </c>
      <c r="B32" s="603">
        <v>360</v>
      </c>
      <c r="C32" s="603">
        <v>460</v>
      </c>
      <c r="D32" s="603">
        <v>790</v>
      </c>
      <c r="E32" s="603">
        <v>680</v>
      </c>
      <c r="F32" s="603">
        <v>450</v>
      </c>
      <c r="G32" s="603">
        <v>500</v>
      </c>
      <c r="H32" s="603">
        <v>550</v>
      </c>
      <c r="I32" s="603">
        <v>490</v>
      </c>
      <c r="J32" s="603">
        <v>630</v>
      </c>
      <c r="K32" s="603">
        <v>610</v>
      </c>
      <c r="L32" s="603">
        <v>720</v>
      </c>
      <c r="M32" s="603">
        <v>690</v>
      </c>
      <c r="N32" s="603">
        <v>740</v>
      </c>
      <c r="O32" s="603">
        <v>400</v>
      </c>
      <c r="P32" s="603">
        <v>470</v>
      </c>
      <c r="Q32" s="603">
        <v>700</v>
      </c>
      <c r="R32" s="603">
        <v>650</v>
      </c>
      <c r="S32" s="603">
        <v>640</v>
      </c>
      <c r="T32" s="603">
        <v>550</v>
      </c>
      <c r="U32" s="603">
        <v>560</v>
      </c>
      <c r="V32" s="603">
        <v>550</v>
      </c>
      <c r="W32" s="603">
        <v>640</v>
      </c>
      <c r="X32" s="603">
        <v>640</v>
      </c>
      <c r="Y32" s="603">
        <v>670</v>
      </c>
      <c r="Z32" s="603">
        <v>570</v>
      </c>
      <c r="AA32" s="603">
        <v>550</v>
      </c>
      <c r="AB32" s="603">
        <v>560</v>
      </c>
      <c r="AC32" s="603">
        <v>560</v>
      </c>
      <c r="AD32" s="603">
        <v>550</v>
      </c>
      <c r="AE32" s="603">
        <v>690</v>
      </c>
      <c r="AF32" s="603">
        <v>800</v>
      </c>
      <c r="AG32" s="513"/>
      <c r="AH32" s="596">
        <f t="shared" si="11"/>
        <v>18420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+B32+B27+B24</f>
        <v>3980</v>
      </c>
      <c r="C34" s="599">
        <f t="shared" ref="C34:AF34" si="12">+C32+C27+C24</f>
        <v>4350</v>
      </c>
      <c r="D34" s="599">
        <f t="shared" si="12"/>
        <v>5630</v>
      </c>
      <c r="E34" s="599">
        <f t="shared" si="12"/>
        <v>5750</v>
      </c>
      <c r="F34" s="599">
        <f t="shared" si="12"/>
        <v>4330</v>
      </c>
      <c r="G34" s="599">
        <f t="shared" si="12"/>
        <v>7570</v>
      </c>
      <c r="H34" s="599">
        <f t="shared" si="12"/>
        <v>6490</v>
      </c>
      <c r="I34" s="599">
        <f t="shared" si="12"/>
        <v>6100</v>
      </c>
      <c r="J34" s="599">
        <f t="shared" si="12"/>
        <v>7460</v>
      </c>
      <c r="K34" s="599">
        <f t="shared" si="12"/>
        <v>7780</v>
      </c>
      <c r="L34" s="599">
        <f t="shared" si="12"/>
        <v>8060</v>
      </c>
      <c r="M34" s="599">
        <f t="shared" si="12"/>
        <v>5900</v>
      </c>
      <c r="N34" s="599">
        <f t="shared" si="12"/>
        <v>6040</v>
      </c>
      <c r="O34" s="599">
        <f t="shared" si="12"/>
        <v>4790</v>
      </c>
      <c r="P34" s="599">
        <f t="shared" si="12"/>
        <v>7380</v>
      </c>
      <c r="Q34" s="599">
        <f t="shared" si="12"/>
        <v>9080</v>
      </c>
      <c r="R34" s="599">
        <f t="shared" si="12"/>
        <v>9860</v>
      </c>
      <c r="S34" s="599">
        <f t="shared" si="12"/>
        <v>9500</v>
      </c>
      <c r="T34" s="599">
        <f t="shared" si="12"/>
        <v>7400</v>
      </c>
      <c r="U34" s="599">
        <f t="shared" si="12"/>
        <v>8390</v>
      </c>
      <c r="V34" s="599">
        <f t="shared" si="12"/>
        <v>7520</v>
      </c>
      <c r="W34" s="599">
        <f t="shared" si="12"/>
        <v>8260</v>
      </c>
      <c r="X34" s="599">
        <f t="shared" si="12"/>
        <v>9760</v>
      </c>
      <c r="Y34" s="599">
        <f t="shared" si="12"/>
        <v>9600</v>
      </c>
      <c r="Z34" s="599">
        <f t="shared" si="12"/>
        <v>9800</v>
      </c>
      <c r="AA34" s="599">
        <f t="shared" si="12"/>
        <v>7580</v>
      </c>
      <c r="AB34" s="599">
        <f t="shared" si="12"/>
        <v>8130</v>
      </c>
      <c r="AC34" s="599">
        <f t="shared" si="12"/>
        <v>7330</v>
      </c>
      <c r="AD34" s="599">
        <f t="shared" si="12"/>
        <v>10470</v>
      </c>
      <c r="AE34" s="599">
        <f t="shared" si="12"/>
        <v>11310</v>
      </c>
      <c r="AF34" s="599">
        <f t="shared" si="12"/>
        <v>10670</v>
      </c>
      <c r="AG34" s="586"/>
      <c r="AH34" s="597">
        <f>SUM(B34:AF34)</f>
        <v>236270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
      <c r="AH36" s="2"/>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row>
    <row r="37" spans="1:256" s="544" customFormat="1" ht="21.9" customHeight="1" x14ac:dyDescent="0.4">
      <c r="A37" s="540" t="s">
        <v>17</v>
      </c>
      <c r="B37" s="541">
        <v>0.94027777777777777</v>
      </c>
      <c r="C37" s="541">
        <v>0.93958333333333333</v>
      </c>
      <c r="D37" s="541">
        <v>0.93958333333333333</v>
      </c>
      <c r="E37" s="541">
        <v>0.93958333333333333</v>
      </c>
      <c r="F37" s="541">
        <v>0.93888888888888899</v>
      </c>
      <c r="G37" s="541">
        <v>0.93888888888888899</v>
      </c>
      <c r="H37" s="541">
        <v>0.93819444444444444</v>
      </c>
      <c r="I37" s="541">
        <v>0.9375</v>
      </c>
      <c r="J37" s="541">
        <v>0.9375</v>
      </c>
      <c r="K37" s="541">
        <v>0.93680555555555556</v>
      </c>
      <c r="L37" s="541">
        <v>0.93611111111111101</v>
      </c>
      <c r="M37" s="541">
        <v>0.93611111111111101</v>
      </c>
      <c r="N37" s="541">
        <v>0.93541666666666667</v>
      </c>
      <c r="O37" s="541">
        <v>0.93472222222222223</v>
      </c>
      <c r="P37" s="541">
        <v>0.93402777777777779</v>
      </c>
      <c r="Q37" s="541">
        <v>0.93333333333333324</v>
      </c>
      <c r="R37" s="541">
        <v>0.93263888888888891</v>
      </c>
      <c r="S37" s="541">
        <v>0.93194444444444446</v>
      </c>
      <c r="T37" s="541">
        <v>0.93125000000000002</v>
      </c>
      <c r="U37" s="541">
        <v>0.93055555555555547</v>
      </c>
      <c r="V37" s="541">
        <v>0.92986111111111114</v>
      </c>
      <c r="W37" s="541">
        <v>0.92847222222222225</v>
      </c>
      <c r="X37" s="541">
        <v>0.9277777777777777</v>
      </c>
      <c r="Y37" s="541">
        <v>0.92708333333333337</v>
      </c>
      <c r="Z37" s="541">
        <v>0.92638888888888893</v>
      </c>
      <c r="AA37" s="541">
        <v>0.92499999999999993</v>
      </c>
      <c r="AB37" s="541">
        <v>0.9243055555555556</v>
      </c>
      <c r="AC37" s="541">
        <v>0.92361111111111116</v>
      </c>
      <c r="AD37" s="541">
        <v>0.92222222222222217</v>
      </c>
      <c r="AE37" s="541">
        <v>0.92152777777777783</v>
      </c>
      <c r="AF37" s="541">
        <v>0.92013888888888884</v>
      </c>
      <c r="AG37" s="542"/>
      <c r="AH37" s="543"/>
      <c r="AI37" s="548"/>
      <c r="AJ37" s="548"/>
      <c r="AK37" s="548"/>
      <c r="AL37" s="548"/>
      <c r="AM37" s="548"/>
      <c r="AN37" s="548"/>
      <c r="AO37" s="548"/>
      <c r="AP37" s="548"/>
      <c r="AQ37" s="548"/>
      <c r="AR37" s="548"/>
      <c r="AS37" s="548"/>
      <c r="AT37" s="548"/>
      <c r="AU37" s="548"/>
      <c r="AV37" s="548"/>
      <c r="AW37" s="548"/>
      <c r="AX37" s="548"/>
      <c r="AY37" s="548"/>
      <c r="AZ37" s="548"/>
      <c r="BA37" s="548"/>
      <c r="BB37" s="548"/>
      <c r="BC37" s="548"/>
      <c r="BD37" s="548"/>
      <c r="BE37" s="548"/>
      <c r="BF37" s="548"/>
      <c r="BG37" s="548"/>
      <c r="BH37" s="548"/>
      <c r="BI37" s="548"/>
      <c r="BJ37" s="548"/>
      <c r="BK37" s="548"/>
      <c r="BL37" s="548"/>
      <c r="BM37" s="548"/>
      <c r="BN37" s="548"/>
      <c r="BO37" s="548"/>
      <c r="BP37" s="548"/>
      <c r="BQ37" s="548"/>
      <c r="BR37" s="548"/>
      <c r="BS37" s="548"/>
      <c r="BT37" s="548"/>
      <c r="BU37" s="548"/>
      <c r="BV37" s="548"/>
      <c r="BW37" s="548"/>
      <c r="BX37" s="548"/>
      <c r="BY37" s="548"/>
      <c r="BZ37" s="548"/>
      <c r="CA37" s="548"/>
      <c r="CB37" s="548"/>
      <c r="CC37" s="548"/>
      <c r="CD37" s="548"/>
      <c r="CE37" s="548"/>
      <c r="CF37" s="548"/>
      <c r="CG37" s="548"/>
      <c r="CH37" s="548"/>
      <c r="CI37" s="548"/>
      <c r="CJ37" s="548"/>
      <c r="CK37" s="548"/>
      <c r="CL37" s="548"/>
      <c r="CM37" s="548"/>
      <c r="CN37" s="548"/>
      <c r="CO37" s="548"/>
      <c r="CP37" s="548"/>
      <c r="CQ37" s="548"/>
      <c r="CR37" s="548"/>
      <c r="CS37" s="548"/>
      <c r="CT37" s="548"/>
      <c r="CU37" s="548"/>
      <c r="CV37" s="548"/>
      <c r="CW37" s="548"/>
      <c r="CX37" s="548"/>
      <c r="CY37" s="548"/>
      <c r="CZ37" s="548"/>
      <c r="DA37" s="548"/>
      <c r="DB37" s="548"/>
      <c r="DC37" s="548"/>
      <c r="DD37" s="548"/>
      <c r="DE37" s="548"/>
      <c r="DF37" s="548"/>
      <c r="DG37" s="548"/>
      <c r="DH37" s="548"/>
      <c r="DI37" s="548"/>
      <c r="DJ37" s="548"/>
      <c r="DK37" s="548"/>
      <c r="DL37" s="548"/>
      <c r="DM37" s="548"/>
      <c r="DN37" s="548"/>
      <c r="DO37" s="548"/>
      <c r="DP37" s="548"/>
      <c r="DQ37" s="548"/>
      <c r="DR37" s="548"/>
      <c r="DS37" s="548"/>
      <c r="DT37" s="548"/>
      <c r="DU37" s="548"/>
      <c r="DV37" s="548"/>
      <c r="DW37" s="548"/>
      <c r="DX37" s="548"/>
      <c r="DY37" s="548"/>
      <c r="DZ37" s="548"/>
      <c r="EA37" s="548"/>
      <c r="EB37" s="548"/>
      <c r="EC37" s="548"/>
      <c r="ED37" s="548"/>
      <c r="EE37" s="548"/>
      <c r="EF37" s="548"/>
      <c r="EG37" s="548"/>
      <c r="EH37" s="548"/>
      <c r="EI37" s="548"/>
      <c r="EJ37" s="548"/>
      <c r="EK37" s="548"/>
      <c r="EL37" s="548"/>
      <c r="EM37" s="548"/>
      <c r="EN37" s="548"/>
      <c r="EO37" s="548"/>
      <c r="EP37" s="548"/>
      <c r="EQ37" s="548"/>
      <c r="ER37" s="548"/>
      <c r="ES37" s="548"/>
      <c r="ET37" s="548"/>
      <c r="EU37" s="548"/>
      <c r="EV37" s="548"/>
      <c r="EW37" s="548"/>
      <c r="EX37" s="548"/>
      <c r="EY37" s="548"/>
      <c r="EZ37" s="548"/>
      <c r="FA37" s="548"/>
      <c r="FB37" s="548"/>
      <c r="FC37" s="548"/>
      <c r="FD37" s="548"/>
      <c r="FE37" s="548"/>
      <c r="FF37" s="548"/>
      <c r="FG37" s="548"/>
      <c r="FH37" s="548"/>
      <c r="FI37" s="548"/>
      <c r="FJ37" s="548"/>
      <c r="FK37" s="548"/>
      <c r="FL37" s="548"/>
      <c r="FM37" s="548"/>
      <c r="FN37" s="548"/>
      <c r="FO37" s="548"/>
      <c r="FP37" s="548"/>
      <c r="FQ37" s="548"/>
      <c r="FR37" s="548"/>
      <c r="FS37" s="548"/>
      <c r="FT37" s="548"/>
      <c r="FU37" s="548"/>
      <c r="FV37" s="548"/>
      <c r="FW37" s="548"/>
      <c r="FX37" s="548"/>
      <c r="FY37" s="548"/>
      <c r="FZ37" s="548"/>
      <c r="GA37" s="548"/>
      <c r="GB37" s="548"/>
      <c r="GC37" s="548"/>
      <c r="GD37" s="548"/>
      <c r="GE37" s="548"/>
      <c r="GF37" s="548"/>
      <c r="GG37" s="548"/>
      <c r="GH37" s="548"/>
      <c r="GI37" s="548"/>
      <c r="GJ37" s="548"/>
      <c r="GK37" s="548"/>
      <c r="GL37" s="548"/>
      <c r="GM37" s="548"/>
      <c r="GN37" s="548"/>
      <c r="GO37" s="548"/>
      <c r="GP37" s="548"/>
      <c r="GQ37" s="548"/>
      <c r="GR37" s="548"/>
      <c r="GS37" s="548"/>
      <c r="GT37" s="548"/>
      <c r="GU37" s="548"/>
      <c r="GV37" s="548"/>
      <c r="GW37" s="548"/>
      <c r="GX37" s="548"/>
      <c r="GY37" s="548"/>
      <c r="GZ37" s="548"/>
      <c r="HA37" s="548"/>
      <c r="HB37" s="548"/>
      <c r="HC37" s="548"/>
      <c r="HD37" s="548"/>
      <c r="HE37" s="548"/>
      <c r="HF37" s="548"/>
      <c r="HG37" s="548"/>
      <c r="HH37" s="548"/>
      <c r="HI37" s="548"/>
      <c r="HJ37" s="548"/>
      <c r="HK37" s="548"/>
      <c r="HL37" s="548"/>
      <c r="HM37" s="548"/>
      <c r="HN37" s="548"/>
      <c r="HO37" s="548"/>
      <c r="HP37" s="548"/>
      <c r="HQ37" s="548"/>
      <c r="HR37" s="548"/>
      <c r="HS37" s="548"/>
      <c r="HT37" s="548"/>
      <c r="HU37" s="548"/>
      <c r="HV37" s="548"/>
      <c r="HW37" s="548"/>
      <c r="HX37" s="548"/>
      <c r="HY37" s="548"/>
      <c r="HZ37" s="548"/>
      <c r="IA37" s="548"/>
      <c r="IB37" s="548"/>
      <c r="IC37" s="548"/>
      <c r="ID37" s="548"/>
      <c r="IE37" s="548"/>
      <c r="IF37" s="548"/>
      <c r="IG37" s="548"/>
      <c r="IH37" s="548"/>
      <c r="II37" s="548"/>
      <c r="IJ37" s="548"/>
      <c r="IK37" s="548"/>
      <c r="IL37" s="548"/>
      <c r="IM37" s="548"/>
      <c r="IN37" s="548"/>
      <c r="IO37" s="548"/>
      <c r="IP37" s="548"/>
      <c r="IQ37" s="548"/>
      <c r="IR37" s="548"/>
      <c r="IS37" s="548"/>
      <c r="IT37" s="548"/>
      <c r="IU37" s="548"/>
      <c r="IV37" s="548"/>
    </row>
    <row r="38" spans="1:256" s="544" customFormat="1" ht="21.9" customHeight="1" x14ac:dyDescent="0.4">
      <c r="A38" s="545" t="s">
        <v>18</v>
      </c>
      <c r="B38" s="546" t="str">
        <f>+IF(B34&lt;=2500,"BF",IF(AND(B34&gt;2500,B34&lt;=6000),"MF",IF(AND(B34&gt;6000,B34&lt;12000),"HF","THF")))</f>
        <v>MF</v>
      </c>
      <c r="C38" s="546" t="str">
        <f t="shared" ref="C38:AF38" si="13">+IF(C34&lt;=2500,"BF",IF(AND(C34&gt;2500,C34&lt;=6000),"MF",IF(AND(C34&gt;6000,C34&lt;12000),"HF","THF")))</f>
        <v>MF</v>
      </c>
      <c r="D38" s="546" t="str">
        <f t="shared" si="13"/>
        <v>MF</v>
      </c>
      <c r="E38" s="546" t="str">
        <f t="shared" si="13"/>
        <v>MF</v>
      </c>
      <c r="F38" s="546" t="str">
        <f t="shared" si="13"/>
        <v>MF</v>
      </c>
      <c r="G38" s="546" t="str">
        <f t="shared" si="13"/>
        <v>HF</v>
      </c>
      <c r="H38" s="546" t="str">
        <f t="shared" si="13"/>
        <v>HF</v>
      </c>
      <c r="I38" s="546" t="str">
        <f t="shared" si="13"/>
        <v>HF</v>
      </c>
      <c r="J38" s="546" t="str">
        <f t="shared" si="13"/>
        <v>HF</v>
      </c>
      <c r="K38" s="546" t="str">
        <f t="shared" si="13"/>
        <v>HF</v>
      </c>
      <c r="L38" s="546" t="str">
        <f t="shared" si="13"/>
        <v>HF</v>
      </c>
      <c r="M38" s="546" t="str">
        <f t="shared" si="13"/>
        <v>MF</v>
      </c>
      <c r="N38" s="546" t="str">
        <f t="shared" si="13"/>
        <v>HF</v>
      </c>
      <c r="O38" s="546" t="str">
        <f t="shared" si="13"/>
        <v>MF</v>
      </c>
      <c r="P38" s="546" t="str">
        <f t="shared" si="13"/>
        <v>HF</v>
      </c>
      <c r="Q38" s="546" t="str">
        <f t="shared" si="13"/>
        <v>HF</v>
      </c>
      <c r="R38" s="546" t="str">
        <f t="shared" si="13"/>
        <v>HF</v>
      </c>
      <c r="S38" s="546" t="str">
        <f t="shared" si="13"/>
        <v>HF</v>
      </c>
      <c r="T38" s="546" t="str">
        <f t="shared" si="13"/>
        <v>HF</v>
      </c>
      <c r="U38" s="546" t="str">
        <f t="shared" si="13"/>
        <v>HF</v>
      </c>
      <c r="V38" s="546" t="str">
        <f t="shared" si="13"/>
        <v>HF</v>
      </c>
      <c r="W38" s="546" t="str">
        <f t="shared" si="13"/>
        <v>HF</v>
      </c>
      <c r="X38" s="546" t="str">
        <f t="shared" si="13"/>
        <v>HF</v>
      </c>
      <c r="Y38" s="546" t="str">
        <f t="shared" si="13"/>
        <v>HF</v>
      </c>
      <c r="Z38" s="546" t="str">
        <f t="shared" si="13"/>
        <v>HF</v>
      </c>
      <c r="AA38" s="546" t="str">
        <f t="shared" si="13"/>
        <v>HF</v>
      </c>
      <c r="AB38" s="546" t="str">
        <f t="shared" si="13"/>
        <v>HF</v>
      </c>
      <c r="AC38" s="546" t="str">
        <f t="shared" si="13"/>
        <v>HF</v>
      </c>
      <c r="AD38" s="546" t="str">
        <f t="shared" si="13"/>
        <v>HF</v>
      </c>
      <c r="AE38" s="546" t="str">
        <f t="shared" si="13"/>
        <v>HF</v>
      </c>
      <c r="AF38" s="546" t="str">
        <f t="shared" si="13"/>
        <v>HF</v>
      </c>
      <c r="AG38" s="548"/>
      <c r="AH38" s="543"/>
      <c r="AI38" s="548"/>
      <c r="AJ38" s="548"/>
      <c r="AK38" s="548"/>
      <c r="AL38" s="548"/>
      <c r="AM38" s="548"/>
      <c r="AN38" s="548"/>
      <c r="AO38" s="548"/>
      <c r="AP38" s="548"/>
      <c r="AQ38" s="548"/>
      <c r="AR38" s="548"/>
      <c r="AS38" s="548"/>
      <c r="AT38" s="548"/>
      <c r="AU38" s="548"/>
      <c r="AV38" s="548"/>
      <c r="AW38" s="548"/>
      <c r="AX38" s="548"/>
      <c r="AY38" s="548"/>
      <c r="AZ38" s="548"/>
      <c r="BA38" s="548"/>
      <c r="BB38" s="548"/>
      <c r="BC38" s="548"/>
      <c r="BD38" s="548"/>
      <c r="BE38" s="548"/>
      <c r="BF38" s="548"/>
      <c r="BG38" s="548"/>
      <c r="BH38" s="548"/>
      <c r="BI38" s="548"/>
      <c r="BJ38" s="548"/>
      <c r="BK38" s="548"/>
      <c r="BL38" s="548"/>
      <c r="BM38" s="548"/>
      <c r="BN38" s="548"/>
      <c r="BO38" s="548"/>
      <c r="BP38" s="548"/>
      <c r="BQ38" s="548"/>
      <c r="BR38" s="548"/>
      <c r="BS38" s="548"/>
      <c r="BT38" s="548"/>
      <c r="BU38" s="548"/>
      <c r="BV38" s="548"/>
      <c r="BW38" s="548"/>
      <c r="BX38" s="548"/>
      <c r="BY38" s="548"/>
      <c r="BZ38" s="548"/>
      <c r="CA38" s="548"/>
      <c r="CB38" s="548"/>
      <c r="CC38" s="548"/>
      <c r="CD38" s="548"/>
      <c r="CE38" s="548"/>
      <c r="CF38" s="548"/>
      <c r="CG38" s="548"/>
      <c r="CH38" s="548"/>
      <c r="CI38" s="548"/>
      <c r="CJ38" s="548"/>
      <c r="CK38" s="548"/>
      <c r="CL38" s="548"/>
      <c r="CM38" s="548"/>
      <c r="CN38" s="548"/>
      <c r="CO38" s="548"/>
      <c r="CP38" s="548"/>
      <c r="CQ38" s="548"/>
      <c r="CR38" s="548"/>
      <c r="CS38" s="548"/>
      <c r="CT38" s="548"/>
      <c r="CU38" s="548"/>
      <c r="CV38" s="548"/>
      <c r="CW38" s="548"/>
      <c r="CX38" s="548"/>
      <c r="CY38" s="548"/>
      <c r="CZ38" s="548"/>
      <c r="DA38" s="548"/>
      <c r="DB38" s="548"/>
      <c r="DC38" s="548"/>
      <c r="DD38" s="548"/>
      <c r="DE38" s="548"/>
      <c r="DF38" s="548"/>
      <c r="DG38" s="548"/>
      <c r="DH38" s="548"/>
      <c r="DI38" s="548"/>
      <c r="DJ38" s="548"/>
      <c r="DK38" s="548"/>
      <c r="DL38" s="548"/>
      <c r="DM38" s="548"/>
      <c r="DN38" s="548"/>
      <c r="DO38" s="548"/>
      <c r="DP38" s="548"/>
      <c r="DQ38" s="548"/>
      <c r="DR38" s="548"/>
      <c r="DS38" s="548"/>
      <c r="DT38" s="548"/>
      <c r="DU38" s="548"/>
      <c r="DV38" s="548"/>
      <c r="DW38" s="548"/>
      <c r="DX38" s="548"/>
      <c r="DY38" s="548"/>
      <c r="DZ38" s="548"/>
      <c r="EA38" s="548"/>
      <c r="EB38" s="548"/>
      <c r="EC38" s="548"/>
      <c r="ED38" s="548"/>
      <c r="EE38" s="548"/>
      <c r="EF38" s="548"/>
      <c r="EG38" s="548"/>
      <c r="EH38" s="548"/>
      <c r="EI38" s="548"/>
      <c r="EJ38" s="548"/>
      <c r="EK38" s="548"/>
      <c r="EL38" s="548"/>
      <c r="EM38" s="548"/>
      <c r="EN38" s="548"/>
      <c r="EO38" s="548"/>
      <c r="EP38" s="548"/>
      <c r="EQ38" s="548"/>
      <c r="ER38" s="548"/>
      <c r="ES38" s="548"/>
      <c r="ET38" s="548"/>
      <c r="EU38" s="548"/>
      <c r="EV38" s="548"/>
      <c r="EW38" s="548"/>
      <c r="EX38" s="548"/>
      <c r="EY38" s="548"/>
      <c r="EZ38" s="548"/>
      <c r="FA38" s="548"/>
      <c r="FB38" s="548"/>
      <c r="FC38" s="548"/>
      <c r="FD38" s="548"/>
      <c r="FE38" s="548"/>
      <c r="FF38" s="548"/>
      <c r="FG38" s="548"/>
      <c r="FH38" s="548"/>
      <c r="FI38" s="548"/>
      <c r="FJ38" s="548"/>
      <c r="FK38" s="548"/>
      <c r="FL38" s="548"/>
      <c r="FM38" s="548"/>
      <c r="FN38" s="548"/>
      <c r="FO38" s="548"/>
      <c r="FP38" s="548"/>
      <c r="FQ38" s="548"/>
      <c r="FR38" s="548"/>
      <c r="FS38" s="548"/>
      <c r="FT38" s="548"/>
      <c r="FU38" s="548"/>
      <c r="FV38" s="548"/>
      <c r="FW38" s="548"/>
      <c r="FX38" s="548"/>
      <c r="FY38" s="548"/>
      <c r="FZ38" s="548"/>
      <c r="GA38" s="548"/>
      <c r="GB38" s="548"/>
      <c r="GC38" s="548"/>
      <c r="GD38" s="548"/>
      <c r="GE38" s="548"/>
      <c r="GF38" s="548"/>
      <c r="GG38" s="548"/>
      <c r="GH38" s="548"/>
      <c r="GI38" s="548"/>
      <c r="GJ38" s="548"/>
      <c r="GK38" s="548"/>
      <c r="GL38" s="548"/>
      <c r="GM38" s="548"/>
      <c r="GN38" s="548"/>
      <c r="GO38" s="548"/>
      <c r="GP38" s="548"/>
      <c r="GQ38" s="548"/>
      <c r="GR38" s="548"/>
      <c r="GS38" s="548"/>
      <c r="GT38" s="548"/>
      <c r="GU38" s="548"/>
      <c r="GV38" s="548"/>
      <c r="GW38" s="548"/>
      <c r="GX38" s="548"/>
      <c r="GY38" s="548"/>
      <c r="GZ38" s="548"/>
      <c r="HA38" s="548"/>
      <c r="HB38" s="548"/>
      <c r="HC38" s="548"/>
      <c r="HD38" s="548"/>
      <c r="HE38" s="548"/>
      <c r="HF38" s="548"/>
      <c r="HG38" s="548"/>
      <c r="HH38" s="548"/>
      <c r="HI38" s="548"/>
      <c r="HJ38" s="548"/>
      <c r="HK38" s="548"/>
      <c r="HL38" s="548"/>
      <c r="HM38" s="548"/>
      <c r="HN38" s="548"/>
      <c r="HO38" s="548"/>
      <c r="HP38" s="548"/>
      <c r="HQ38" s="548"/>
      <c r="HR38" s="548"/>
      <c r="HS38" s="548"/>
      <c r="HT38" s="548"/>
      <c r="HU38" s="548"/>
      <c r="HV38" s="548"/>
      <c r="HW38" s="548"/>
      <c r="HX38" s="548"/>
      <c r="HY38" s="548"/>
      <c r="HZ38" s="548"/>
      <c r="IA38" s="548"/>
      <c r="IB38" s="548"/>
      <c r="IC38" s="548"/>
      <c r="ID38" s="548"/>
      <c r="IE38" s="548"/>
      <c r="IF38" s="548"/>
      <c r="IG38" s="548"/>
      <c r="IH38" s="548"/>
      <c r="II38" s="548"/>
      <c r="IJ38" s="548"/>
      <c r="IK38" s="548"/>
      <c r="IL38" s="548"/>
      <c r="IM38" s="548"/>
      <c r="IN38" s="548"/>
      <c r="IO38" s="548"/>
      <c r="IP38" s="548"/>
      <c r="IQ38" s="548"/>
      <c r="IR38" s="548"/>
      <c r="IS38" s="548"/>
      <c r="IT38" s="548"/>
      <c r="IU38" s="548"/>
      <c r="IV38" s="548"/>
    </row>
    <row r="39" spans="1:256" s="43" customFormat="1" ht="3" customHeight="1" x14ac:dyDescent="0.4">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13"/>
      <c r="AH39" s="2"/>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row>
    <row r="41" spans="1:256" s="1" customFormat="1" ht="15" hidden="1" customHeight="1" x14ac:dyDescent="0.25">
      <c r="A41" s="13"/>
      <c r="B41" s="480">
        <f>+B34-B30</f>
        <v>3980</v>
      </c>
      <c r="C41" s="480">
        <f t="shared" ref="C41:AF41" si="14">+C34-C30</f>
        <v>4350</v>
      </c>
      <c r="D41" s="480">
        <f t="shared" si="14"/>
        <v>5290</v>
      </c>
      <c r="E41" s="480">
        <f t="shared" si="14"/>
        <v>5470</v>
      </c>
      <c r="F41" s="480">
        <f t="shared" si="14"/>
        <v>4330</v>
      </c>
      <c r="G41" s="480">
        <f t="shared" si="14"/>
        <v>7570</v>
      </c>
      <c r="H41" s="480">
        <f t="shared" si="14"/>
        <v>6490</v>
      </c>
      <c r="I41" s="480">
        <f t="shared" si="14"/>
        <v>6100</v>
      </c>
      <c r="J41" s="480">
        <f t="shared" si="14"/>
        <v>7380</v>
      </c>
      <c r="K41" s="480">
        <f t="shared" si="14"/>
        <v>7760</v>
      </c>
      <c r="L41" s="480">
        <f t="shared" si="14"/>
        <v>7990</v>
      </c>
      <c r="M41" s="480">
        <f t="shared" si="14"/>
        <v>5900</v>
      </c>
      <c r="N41" s="480">
        <f t="shared" si="14"/>
        <v>6040</v>
      </c>
      <c r="O41" s="480">
        <f t="shared" si="14"/>
        <v>4790</v>
      </c>
      <c r="P41" s="480">
        <f t="shared" si="14"/>
        <v>7380</v>
      </c>
      <c r="Q41" s="480">
        <f t="shared" si="14"/>
        <v>9080</v>
      </c>
      <c r="R41" s="480">
        <f t="shared" si="14"/>
        <v>9860</v>
      </c>
      <c r="S41" s="480">
        <f t="shared" si="14"/>
        <v>9500</v>
      </c>
      <c r="T41" s="480">
        <f t="shared" si="14"/>
        <v>7400</v>
      </c>
      <c r="U41" s="480">
        <f t="shared" si="14"/>
        <v>8390</v>
      </c>
      <c r="V41" s="480">
        <f t="shared" si="14"/>
        <v>7520</v>
      </c>
      <c r="W41" s="480">
        <f t="shared" si="14"/>
        <v>8260</v>
      </c>
      <c r="X41" s="480">
        <f t="shared" si="14"/>
        <v>9760</v>
      </c>
      <c r="Y41" s="480">
        <f t="shared" si="14"/>
        <v>9600</v>
      </c>
      <c r="Z41" s="480">
        <f t="shared" si="14"/>
        <v>9800</v>
      </c>
      <c r="AA41" s="480">
        <f t="shared" si="14"/>
        <v>7580</v>
      </c>
      <c r="AB41" s="480">
        <f t="shared" si="14"/>
        <v>8130</v>
      </c>
      <c r="AC41" s="480">
        <f t="shared" si="14"/>
        <v>7330</v>
      </c>
      <c r="AD41" s="480">
        <f t="shared" si="14"/>
        <v>10470</v>
      </c>
      <c r="AE41" s="480">
        <f t="shared" si="14"/>
        <v>11310</v>
      </c>
      <c r="AF41" s="480">
        <f t="shared" si="14"/>
        <v>10670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1">
        <f>+B32-B30</f>
        <v>360</v>
      </c>
      <c r="C42" s="481">
        <f t="shared" ref="C42:AF42" si="15">+C32-C30</f>
        <v>460</v>
      </c>
      <c r="D42" s="481">
        <f t="shared" si="15"/>
        <v>450</v>
      </c>
      <c r="E42" s="481">
        <f t="shared" si="15"/>
        <v>400</v>
      </c>
      <c r="F42" s="481">
        <f t="shared" si="15"/>
        <v>450</v>
      </c>
      <c r="G42" s="481">
        <f t="shared" si="15"/>
        <v>500</v>
      </c>
      <c r="H42" s="481">
        <f t="shared" si="15"/>
        <v>550</v>
      </c>
      <c r="I42" s="481">
        <f t="shared" si="15"/>
        <v>490</v>
      </c>
      <c r="J42" s="481">
        <f t="shared" si="15"/>
        <v>550</v>
      </c>
      <c r="K42" s="481">
        <f t="shared" si="15"/>
        <v>590</v>
      </c>
      <c r="L42" s="481">
        <f t="shared" si="15"/>
        <v>650</v>
      </c>
      <c r="M42" s="481">
        <f t="shared" si="15"/>
        <v>690</v>
      </c>
      <c r="N42" s="481">
        <f t="shared" si="15"/>
        <v>740</v>
      </c>
      <c r="O42" s="481">
        <f t="shared" si="15"/>
        <v>400</v>
      </c>
      <c r="P42" s="481">
        <f t="shared" si="15"/>
        <v>470</v>
      </c>
      <c r="Q42" s="481">
        <f t="shared" si="15"/>
        <v>700</v>
      </c>
      <c r="R42" s="481">
        <f t="shared" si="15"/>
        <v>650</v>
      </c>
      <c r="S42" s="481">
        <f t="shared" si="15"/>
        <v>640</v>
      </c>
      <c r="T42" s="481">
        <f t="shared" si="15"/>
        <v>550</v>
      </c>
      <c r="U42" s="481">
        <f t="shared" si="15"/>
        <v>560</v>
      </c>
      <c r="V42" s="481">
        <f t="shared" si="15"/>
        <v>550</v>
      </c>
      <c r="W42" s="481">
        <f t="shared" si="15"/>
        <v>640</v>
      </c>
      <c r="X42" s="481">
        <f t="shared" si="15"/>
        <v>640</v>
      </c>
      <c r="Y42" s="481">
        <f t="shared" si="15"/>
        <v>670</v>
      </c>
      <c r="Z42" s="481">
        <f t="shared" si="15"/>
        <v>570</v>
      </c>
      <c r="AA42" s="481">
        <f t="shared" si="15"/>
        <v>550</v>
      </c>
      <c r="AB42" s="481">
        <f t="shared" si="15"/>
        <v>560</v>
      </c>
      <c r="AC42" s="481">
        <f t="shared" si="15"/>
        <v>560</v>
      </c>
      <c r="AD42" s="481">
        <f t="shared" si="15"/>
        <v>550</v>
      </c>
      <c r="AE42" s="481">
        <f t="shared" si="15"/>
        <v>690</v>
      </c>
      <c r="AF42" s="481">
        <f t="shared" si="15"/>
        <v>800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16">IF(C9="",0,1)</f>
        <v>1</v>
      </c>
      <c r="D44" s="454">
        <f t="shared" si="16"/>
        <v>1</v>
      </c>
      <c r="E44" s="454">
        <f t="shared" si="16"/>
        <v>1</v>
      </c>
      <c r="F44" s="454">
        <f t="shared" si="16"/>
        <v>1</v>
      </c>
      <c r="G44" s="454">
        <f t="shared" si="16"/>
        <v>1</v>
      </c>
      <c r="H44" s="454">
        <f t="shared" si="16"/>
        <v>1</v>
      </c>
      <c r="I44" s="454">
        <f t="shared" si="16"/>
        <v>1</v>
      </c>
      <c r="J44" s="454">
        <f t="shared" si="16"/>
        <v>1</v>
      </c>
      <c r="K44" s="454">
        <f t="shared" si="16"/>
        <v>1</v>
      </c>
      <c r="L44" s="454">
        <f t="shared" si="16"/>
        <v>1</v>
      </c>
      <c r="M44" s="454">
        <f t="shared" si="16"/>
        <v>1</v>
      </c>
      <c r="N44" s="454">
        <f t="shared" si="16"/>
        <v>1</v>
      </c>
      <c r="O44" s="454">
        <f t="shared" si="16"/>
        <v>1</v>
      </c>
      <c r="P44" s="454">
        <f t="shared" si="16"/>
        <v>1</v>
      </c>
      <c r="Q44" s="454">
        <f t="shared" si="16"/>
        <v>1</v>
      </c>
      <c r="R44" s="454">
        <f t="shared" si="16"/>
        <v>1</v>
      </c>
      <c r="S44" s="454">
        <f t="shared" si="16"/>
        <v>1</v>
      </c>
      <c r="T44" s="454">
        <f t="shared" si="16"/>
        <v>1</v>
      </c>
      <c r="U44" s="454">
        <f t="shared" si="16"/>
        <v>1</v>
      </c>
      <c r="V44" s="454">
        <f t="shared" si="16"/>
        <v>1</v>
      </c>
      <c r="W44" s="454">
        <f t="shared" si="16"/>
        <v>1</v>
      </c>
      <c r="X44" s="454">
        <f t="shared" si="16"/>
        <v>1</v>
      </c>
      <c r="Y44" s="454">
        <f t="shared" si="16"/>
        <v>1</v>
      </c>
      <c r="Z44" s="454">
        <f t="shared" si="16"/>
        <v>1</v>
      </c>
      <c r="AA44" s="454">
        <f t="shared" si="16"/>
        <v>1</v>
      </c>
      <c r="AB44" s="454">
        <f t="shared" si="16"/>
        <v>1</v>
      </c>
      <c r="AC44" s="454">
        <f t="shared" si="16"/>
        <v>1</v>
      </c>
      <c r="AD44" s="454">
        <f t="shared" si="16"/>
        <v>1</v>
      </c>
      <c r="AE44" s="454">
        <f t="shared" si="16"/>
        <v>1</v>
      </c>
      <c r="AF44" s="454">
        <f t="shared" si="16"/>
        <v>1</v>
      </c>
      <c r="AG44" s="1"/>
      <c r="AH44" s="563">
        <f>SUM(B44:AF44)</f>
        <v>31</v>
      </c>
    </row>
    <row r="45" spans="1:256" s="561"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1"/>
      <headerFooter alignWithMargins="0"/>
    </customSheetView>
    <customSheetView guid="{45244E67-D811-4150-BEA1-A7A1C54045A9}" scale="75" showGridLines="0" zeroValues="0" fitToPage="1" hiddenRows="1" hiddenColumns="1" showRuler="0">
      <pane xSplit="1" ySplit="20" topLeftCell="O21" activePane="bottomRight" state="frozen"/>
      <selection pane="bottomRight" activeCell="AH45" sqref="AH45"/>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7">
    <cfRule type="expression" dxfId="215" priority="143" stopIfTrue="1">
      <formula>$O7="ALERTE"</formula>
    </cfRule>
  </conditionalFormatting>
  <conditionalFormatting sqref="A14:A34">
    <cfRule type="expression" dxfId="214" priority="46" stopIfTrue="1">
      <formula>$P14="ALERTE"</formula>
    </cfRule>
  </conditionalFormatting>
  <conditionalFormatting sqref="A45">
    <cfRule type="expression" dxfId="213" priority="3" stopIfTrue="1">
      <formula>$P45="ALERTE"</formula>
    </cfRule>
  </conditionalFormatting>
  <conditionalFormatting sqref="B6:B7 C7:F7">
    <cfRule type="expression" dxfId="212" priority="75" stopIfTrue="1">
      <formula>$BI6="ALERTE"</formula>
    </cfRule>
  </conditionalFormatting>
  <conditionalFormatting sqref="B3:AF5 A3:A6 A8:A10 B35:AF35">
    <cfRule type="expression" dxfId="211" priority="74" stopIfTrue="1">
      <formula>$P3="ALERTE"</formula>
    </cfRule>
  </conditionalFormatting>
  <conditionalFormatting sqref="B8:AF9">
    <cfRule type="expression" dxfId="210" priority="5" stopIfTrue="1">
      <formula>$BI8="ALERTE"</formula>
    </cfRule>
  </conditionalFormatting>
  <conditionalFormatting sqref="B10:AF10">
    <cfRule type="expression" dxfId="209" priority="4" stopIfTrue="1">
      <formula>$BS10="ALERTE"</formula>
    </cfRule>
  </conditionalFormatting>
  <conditionalFormatting sqref="B14:AF14">
    <cfRule type="expression" dxfId="208" priority="32" stopIfTrue="1">
      <formula>$BI14="ALERTE"</formula>
    </cfRule>
  </conditionalFormatting>
  <conditionalFormatting sqref="B15:AF21">
    <cfRule type="expression" dxfId="207" priority="7" stopIfTrue="1">
      <formula>$P15="ALERTE"</formula>
    </cfRule>
  </conditionalFormatting>
  <conditionalFormatting sqref="B38:AF38">
    <cfRule type="cellIs" dxfId="206" priority="36" stopIfTrue="1" operator="equal">
      <formula>"THF"</formula>
    </cfRule>
    <cfRule type="cellIs" dxfId="205" priority="37" stopIfTrue="1" operator="equal">
      <formula>"HF"</formula>
    </cfRule>
    <cfRule type="cellIs" dxfId="204" priority="38" stopIfTrue="1" operator="equal">
      <formula>"MF"</formula>
    </cfRule>
  </conditionalFormatting>
  <conditionalFormatting sqref="B40:AF40">
    <cfRule type="cellIs" dxfId="203" priority="78" stopIfTrue="1" operator="equal">
      <formula>"THF"</formula>
    </cfRule>
    <cfRule type="cellIs" dxfId="202" priority="79" stopIfTrue="1" operator="equal">
      <formula>"HF"</formula>
    </cfRule>
    <cfRule type="cellIs" dxfId="201" priority="80" stopIfTrue="1" operator="equal">
      <formula>"MF"</formula>
    </cfRule>
  </conditionalFormatting>
  <conditionalFormatting sqref="B44:AF44">
    <cfRule type="expression" dxfId="200" priority="41" stopIfTrue="1">
      <formula>$P44="ALERTE"</formula>
    </cfRule>
  </conditionalFormatting>
  <conditionalFormatting sqref="B45:AF45">
    <cfRule type="expression" dxfId="199" priority="1" stopIfTrue="1">
      <formula>$BI45="ALERTE"</formula>
    </cfRule>
  </conditionalFormatting>
  <conditionalFormatting sqref="C6:AF6">
    <cfRule type="expression" dxfId="198" priority="27" stopIfTrue="1">
      <formula>$BI6="ALERTE"</formula>
    </cfRule>
  </conditionalFormatting>
  <conditionalFormatting sqref="G7:AF7">
    <cfRule type="expression" dxfId="197" priority="45" stopIfTrue="1">
      <formula>$BF7="ALERTE"</formula>
    </cfRule>
  </conditionalFormatting>
  <conditionalFormatting sqref="AH6:AH10">
    <cfRule type="expression" dxfId="196" priority="42" stopIfTrue="1">
      <formula>$BI6="ALERTE"</formula>
    </cfRule>
  </conditionalFormatting>
  <conditionalFormatting sqref="AH14">
    <cfRule type="expression" dxfId="195" priority="48" stopIfTrue="1">
      <formula>$BI14="ALERTE"</formula>
    </cfRule>
  </conditionalFormatting>
  <conditionalFormatting sqref="AH15:AH16">
    <cfRule type="expression" dxfId="194" priority="47" stopIfTrue="1">
      <formula>$P15="ALERTE"</formula>
    </cfRule>
  </conditionalFormatting>
  <conditionalFormatting sqref="AH45">
    <cfRule type="expression" dxfId="193" priority="2" stopIfTrue="1">
      <formula>$BI45="ALERTE"</formula>
    </cfRule>
  </conditionalFormatting>
  <printOptions horizontalCentered="1" verticalCentered="1"/>
  <pageMargins left="0" right="0" top="0" bottom="0" header="0.51181102362204722" footer="0.51181102362204722"/>
  <pageSetup paperSize="45" scale="51" orientation="landscape" r:id="rId3"/>
  <headerFooter alignWithMargins="0">
    <oddFooter xml:space="preserve">&amp;Rimprimé le &amp;D à &amp;T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4">
    <pageSetUpPr fitToPage="1"/>
  </sheetPr>
  <dimension ref="A1:IV81"/>
  <sheetViews>
    <sheetView showGridLines="0" showZeros="0" zoomScale="80" zoomScaleNormal="80" workbookViewId="0">
      <pane xSplit="1" ySplit="20" topLeftCell="B28" activePane="bottomRight" state="frozen"/>
      <selection activeCell="P31" sqref="P31"/>
      <selection pane="topRight" activeCell="P31" sqref="P31"/>
      <selection pane="bottomLeft" activeCell="P31" sqref="P31"/>
      <selection pane="bottomRight" activeCell="T20" sqref="T20"/>
    </sheetView>
  </sheetViews>
  <sheetFormatPr baseColWidth="10" defaultColWidth="0" defaultRowHeight="16.8" x14ac:dyDescent="0.4"/>
  <cols>
    <col min="1" max="1" width="26.33203125" style="10" customWidth="1"/>
    <col min="2" max="2" width="8.5546875" style="8" bestFit="1" customWidth="1"/>
    <col min="3" max="32" width="8" style="8" customWidth="1"/>
    <col min="33" max="33" width="2.6640625" style="8" customWidth="1"/>
    <col min="34" max="34" width="16.88671875" style="2" customWidth="1"/>
    <col min="35" max="255" width="0" style="8" hidden="1" customWidth="1"/>
    <col min="256" max="16384" width="0.109375" style="8" hidden="1"/>
  </cols>
  <sheetData>
    <row r="1" spans="1:135" s="505" customFormat="1" ht="42.75" customHeight="1" x14ac:dyDescent="0.25">
      <c r="A1" s="641">
        <v>45505</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33" t="s">
        <v>0</v>
      </c>
      <c r="B3" s="634">
        <f>+A1</f>
        <v>45505</v>
      </c>
      <c r="C3" s="634">
        <f t="shared" ref="C3:AF3" si="0">+B3+1</f>
        <v>45506</v>
      </c>
      <c r="D3" s="634">
        <f t="shared" si="0"/>
        <v>45507</v>
      </c>
      <c r="E3" s="634">
        <f t="shared" si="0"/>
        <v>45508</v>
      </c>
      <c r="F3" s="634">
        <f t="shared" si="0"/>
        <v>45509</v>
      </c>
      <c r="G3" s="634">
        <f t="shared" si="0"/>
        <v>45510</v>
      </c>
      <c r="H3" s="634">
        <f t="shared" si="0"/>
        <v>45511</v>
      </c>
      <c r="I3" s="634">
        <f t="shared" si="0"/>
        <v>45512</v>
      </c>
      <c r="J3" s="634">
        <f t="shared" si="0"/>
        <v>45513</v>
      </c>
      <c r="K3" s="634">
        <f t="shared" si="0"/>
        <v>45514</v>
      </c>
      <c r="L3" s="634">
        <f t="shared" si="0"/>
        <v>45515</v>
      </c>
      <c r="M3" s="634">
        <f t="shared" si="0"/>
        <v>45516</v>
      </c>
      <c r="N3" s="634">
        <f t="shared" si="0"/>
        <v>45517</v>
      </c>
      <c r="O3" s="634">
        <f t="shared" si="0"/>
        <v>45518</v>
      </c>
      <c r="P3" s="635">
        <f t="shared" si="0"/>
        <v>45519</v>
      </c>
      <c r="Q3" s="634">
        <f t="shared" si="0"/>
        <v>45520</v>
      </c>
      <c r="R3" s="634">
        <f t="shared" si="0"/>
        <v>45521</v>
      </c>
      <c r="S3" s="634">
        <f t="shared" si="0"/>
        <v>45522</v>
      </c>
      <c r="T3" s="634">
        <f t="shared" si="0"/>
        <v>45523</v>
      </c>
      <c r="U3" s="634">
        <f t="shared" si="0"/>
        <v>45524</v>
      </c>
      <c r="V3" s="634">
        <f t="shared" si="0"/>
        <v>45525</v>
      </c>
      <c r="W3" s="634">
        <f t="shared" si="0"/>
        <v>45526</v>
      </c>
      <c r="X3" s="634">
        <f t="shared" si="0"/>
        <v>45527</v>
      </c>
      <c r="Y3" s="634">
        <f t="shared" si="0"/>
        <v>45528</v>
      </c>
      <c r="Z3" s="634">
        <f t="shared" si="0"/>
        <v>45529</v>
      </c>
      <c r="AA3" s="634">
        <f t="shared" si="0"/>
        <v>45530</v>
      </c>
      <c r="AB3" s="634">
        <f t="shared" si="0"/>
        <v>45531</v>
      </c>
      <c r="AC3" s="634">
        <f t="shared" si="0"/>
        <v>45532</v>
      </c>
      <c r="AD3" s="634">
        <f t="shared" si="0"/>
        <v>45533</v>
      </c>
      <c r="AE3" s="634">
        <f t="shared" si="0"/>
        <v>45534</v>
      </c>
      <c r="AF3" s="634">
        <f t="shared" si="0"/>
        <v>45535</v>
      </c>
      <c r="AG3" s="158"/>
      <c r="AH3" s="158"/>
    </row>
    <row r="4" spans="1:135" s="157" customFormat="1" ht="20.100000000000001" customHeight="1" x14ac:dyDescent="0.25">
      <c r="A4" s="527" t="s">
        <v>1</v>
      </c>
      <c r="B4" s="531">
        <f>+A1</f>
        <v>45505</v>
      </c>
      <c r="C4" s="531">
        <f>+B4+1</f>
        <v>45506</v>
      </c>
      <c r="D4" s="531">
        <f t="shared" ref="D4:AE4" si="1">+C4+1</f>
        <v>45507</v>
      </c>
      <c r="E4" s="531">
        <f t="shared" si="1"/>
        <v>45508</v>
      </c>
      <c r="F4" s="531">
        <f t="shared" si="1"/>
        <v>45509</v>
      </c>
      <c r="G4" s="531">
        <f t="shared" si="1"/>
        <v>45510</v>
      </c>
      <c r="H4" s="531">
        <f t="shared" si="1"/>
        <v>45511</v>
      </c>
      <c r="I4" s="531">
        <f t="shared" si="1"/>
        <v>45512</v>
      </c>
      <c r="J4" s="531">
        <f t="shared" si="1"/>
        <v>45513</v>
      </c>
      <c r="K4" s="531">
        <f t="shared" si="1"/>
        <v>45514</v>
      </c>
      <c r="L4" s="531">
        <f t="shared" si="1"/>
        <v>45515</v>
      </c>
      <c r="M4" s="531">
        <f t="shared" si="1"/>
        <v>45516</v>
      </c>
      <c r="N4" s="531">
        <f t="shared" si="1"/>
        <v>45517</v>
      </c>
      <c r="O4" s="531">
        <f>+N4+1</f>
        <v>45518</v>
      </c>
      <c r="P4" s="532">
        <f>+O4+1</f>
        <v>45519</v>
      </c>
      <c r="Q4" s="531">
        <f t="shared" si="1"/>
        <v>45520</v>
      </c>
      <c r="R4" s="531">
        <f t="shared" si="1"/>
        <v>45521</v>
      </c>
      <c r="S4" s="531">
        <f t="shared" si="1"/>
        <v>45522</v>
      </c>
      <c r="T4" s="531">
        <f t="shared" si="1"/>
        <v>45523</v>
      </c>
      <c r="U4" s="531">
        <f t="shared" si="1"/>
        <v>45524</v>
      </c>
      <c r="V4" s="531">
        <f t="shared" si="1"/>
        <v>45525</v>
      </c>
      <c r="W4" s="531">
        <f t="shared" si="1"/>
        <v>45526</v>
      </c>
      <c r="X4" s="531">
        <f t="shared" si="1"/>
        <v>45527</v>
      </c>
      <c r="Y4" s="531">
        <f t="shared" si="1"/>
        <v>45528</v>
      </c>
      <c r="Z4" s="531">
        <f t="shared" si="1"/>
        <v>45529</v>
      </c>
      <c r="AA4" s="531">
        <f>+Z4+1</f>
        <v>45530</v>
      </c>
      <c r="AB4" s="531">
        <f t="shared" si="1"/>
        <v>45531</v>
      </c>
      <c r="AC4" s="531">
        <f t="shared" si="1"/>
        <v>45532</v>
      </c>
      <c r="AD4" s="531">
        <f t="shared" si="1"/>
        <v>45533</v>
      </c>
      <c r="AE4" s="531">
        <f t="shared" si="1"/>
        <v>45534</v>
      </c>
      <c r="AF4" s="531">
        <f>+AE4+1</f>
        <v>45535</v>
      </c>
      <c r="AG4" s="158"/>
      <c r="AH4" s="158"/>
    </row>
    <row r="5" spans="1:135" s="180" customFormat="1" ht="9.9" customHeight="1" thickBot="1" x14ac:dyDescent="0.45">
      <c r="A5" s="528"/>
      <c r="B5" s="169"/>
      <c r="C5" s="169"/>
      <c r="D5" s="170"/>
      <c r="E5" s="170"/>
      <c r="F5" s="170"/>
      <c r="G5" s="170"/>
      <c r="H5" s="170"/>
      <c r="I5" s="169"/>
      <c r="J5" s="169"/>
      <c r="K5" s="170"/>
      <c r="L5" s="170"/>
      <c r="M5" s="170"/>
      <c r="N5" s="170"/>
      <c r="O5" s="170"/>
      <c r="P5" s="509"/>
      <c r="Q5" s="169"/>
      <c r="R5" s="169"/>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9" t="s">
        <v>2</v>
      </c>
      <c r="B6" s="487"/>
      <c r="C6" s="487"/>
      <c r="D6" s="487"/>
      <c r="E6" s="487"/>
      <c r="F6" s="487"/>
      <c r="G6" s="488"/>
      <c r="H6" s="488"/>
      <c r="I6" s="487"/>
      <c r="J6" s="487"/>
      <c r="K6" s="487"/>
      <c r="L6" s="487"/>
      <c r="M6" s="487"/>
      <c r="N6" s="487"/>
      <c r="O6" s="487"/>
      <c r="P6" s="487" t="s">
        <v>126</v>
      </c>
      <c r="Q6" s="487"/>
      <c r="R6" s="487"/>
      <c r="S6" s="487"/>
      <c r="T6" s="488"/>
      <c r="U6" s="488"/>
      <c r="V6" s="488"/>
      <c r="W6" s="487"/>
      <c r="X6" s="487"/>
      <c r="Y6" s="487"/>
      <c r="Z6" s="487"/>
      <c r="AA6" s="488"/>
      <c r="AB6" s="488"/>
      <c r="AC6" s="488"/>
      <c r="AD6" s="487"/>
      <c r="AE6" s="487"/>
      <c r="AF6" s="487"/>
      <c r="AG6" s="467"/>
      <c r="AH6" s="470"/>
    </row>
    <row r="7" spans="1:135" s="180" customFormat="1" ht="20.100000000000001" customHeight="1" x14ac:dyDescent="0.4">
      <c r="A7" s="530" t="s">
        <v>3</v>
      </c>
      <c r="B7" s="497" t="s">
        <v>130</v>
      </c>
      <c r="C7" s="472" t="s">
        <v>131</v>
      </c>
      <c r="D7" s="472" t="s">
        <v>131</v>
      </c>
      <c r="E7" s="472" t="s">
        <v>131</v>
      </c>
      <c r="F7" s="472" t="s">
        <v>131</v>
      </c>
      <c r="G7" s="472" t="s">
        <v>131</v>
      </c>
      <c r="H7" s="472" t="s">
        <v>131</v>
      </c>
      <c r="I7" s="472" t="s">
        <v>131</v>
      </c>
      <c r="J7" s="472" t="s">
        <v>131</v>
      </c>
      <c r="K7" s="472" t="s">
        <v>131</v>
      </c>
      <c r="L7" s="472" t="s">
        <v>131</v>
      </c>
      <c r="M7" s="472" t="s">
        <v>131</v>
      </c>
      <c r="N7" s="472" t="s">
        <v>131</v>
      </c>
      <c r="O7" s="472" t="s">
        <v>131</v>
      </c>
      <c r="P7" s="472" t="s">
        <v>131</v>
      </c>
      <c r="Q7" s="472" t="s">
        <v>131</v>
      </c>
      <c r="R7" s="472" t="s">
        <v>131</v>
      </c>
      <c r="S7" s="472" t="s">
        <v>131</v>
      </c>
      <c r="T7" s="472" t="s">
        <v>131</v>
      </c>
      <c r="U7" s="472" t="s">
        <v>131</v>
      </c>
      <c r="V7" s="472" t="s">
        <v>131</v>
      </c>
      <c r="W7" s="472" t="s">
        <v>131</v>
      </c>
      <c r="X7" s="472" t="s">
        <v>131</v>
      </c>
      <c r="Y7" s="472" t="s">
        <v>131</v>
      </c>
      <c r="Z7" s="472" t="s">
        <v>131</v>
      </c>
      <c r="AA7" s="472" t="s">
        <v>131</v>
      </c>
      <c r="AB7" s="472" t="s">
        <v>131</v>
      </c>
      <c r="AC7" s="472" t="s">
        <v>131</v>
      </c>
      <c r="AD7" s="472" t="s">
        <v>131</v>
      </c>
      <c r="AE7" s="472" t="s">
        <v>131</v>
      </c>
      <c r="AF7" s="472" t="s">
        <v>131</v>
      </c>
      <c r="AG7" s="171"/>
      <c r="AH7" s="165"/>
    </row>
    <row r="8" spans="1:135" s="561" customFormat="1" ht="25.5" customHeight="1" x14ac:dyDescent="0.3">
      <c r="A8" s="559" t="s">
        <v>132</v>
      </c>
      <c r="B8" s="562">
        <v>0.39583333333333331</v>
      </c>
      <c r="C8" s="562">
        <v>0.39583333333333331</v>
      </c>
      <c r="D8" s="562">
        <v>0.39583333333333331</v>
      </c>
      <c r="E8" s="562">
        <v>0.39583333333333331</v>
      </c>
      <c r="F8" s="562">
        <v>0.36458333333333331</v>
      </c>
      <c r="G8" s="562">
        <v>0.36458333333333331</v>
      </c>
      <c r="H8" s="562">
        <v>0.36458333333333331</v>
      </c>
      <c r="I8" s="562">
        <v>0.36458333333333331</v>
      </c>
      <c r="J8" s="562">
        <v>0.36458333333333331</v>
      </c>
      <c r="K8" s="562">
        <v>0.36458333333333331</v>
      </c>
      <c r="L8" s="562">
        <v>0.36458333333333331</v>
      </c>
      <c r="M8" s="562">
        <v>0.36458333333333331</v>
      </c>
      <c r="N8" s="562">
        <v>0.36458333333333331</v>
      </c>
      <c r="O8" s="562">
        <v>0.36458333333333331</v>
      </c>
      <c r="P8" s="562">
        <v>0.36458333333333331</v>
      </c>
      <c r="Q8" s="562">
        <v>0.36458333333333331</v>
      </c>
      <c r="R8" s="562">
        <v>0.36458333333333331</v>
      </c>
      <c r="S8" s="562">
        <v>0.36458333333333331</v>
      </c>
      <c r="T8" s="562">
        <v>0.36458333333333331</v>
      </c>
      <c r="U8" s="562">
        <v>0.36458333333333331</v>
      </c>
      <c r="V8" s="562">
        <v>0.36458333333333331</v>
      </c>
      <c r="W8" s="562">
        <v>0.36458333333333331</v>
      </c>
      <c r="X8" s="562">
        <v>0.36458333333333331</v>
      </c>
      <c r="Y8" s="562">
        <v>0.36458333333333331</v>
      </c>
      <c r="Z8" s="562">
        <v>0.36458333333333331</v>
      </c>
      <c r="AA8" s="562">
        <v>0.39583333333333331</v>
      </c>
      <c r="AB8" s="562">
        <v>0.39583333333333331</v>
      </c>
      <c r="AC8" s="562">
        <v>0.39583333333333331</v>
      </c>
      <c r="AD8" s="562">
        <v>0.39583333333333331</v>
      </c>
      <c r="AE8" s="562">
        <v>0.39583333333333331</v>
      </c>
      <c r="AF8" s="562">
        <v>0.39583333333333331</v>
      </c>
      <c r="AG8" s="560"/>
      <c r="AH8" s="562"/>
    </row>
    <row r="9" spans="1:135" s="180" customFormat="1" ht="20.25" customHeight="1" x14ac:dyDescent="0.4">
      <c r="A9" s="519" t="s">
        <v>36</v>
      </c>
      <c r="B9" s="511">
        <v>0.39583333333333331</v>
      </c>
      <c r="C9" s="511">
        <v>0.39583333333333331</v>
      </c>
      <c r="D9" s="511">
        <v>0.39583333333333331</v>
      </c>
      <c r="E9" s="511">
        <v>0.39583333333333331</v>
      </c>
      <c r="F9" s="511">
        <v>0.36458333333333331</v>
      </c>
      <c r="G9" s="511">
        <v>0.36458333333333331</v>
      </c>
      <c r="H9" s="511">
        <v>0.36458333333333331</v>
      </c>
      <c r="I9" s="511">
        <v>0.36458333333333331</v>
      </c>
      <c r="J9" s="511">
        <v>0.36458333333333331</v>
      </c>
      <c r="K9" s="511">
        <v>0.36458333333333331</v>
      </c>
      <c r="L9" s="511">
        <v>0.36458333333333331</v>
      </c>
      <c r="M9" s="511">
        <v>0.36458333333333331</v>
      </c>
      <c r="N9" s="511">
        <v>0.36458333333333331</v>
      </c>
      <c r="O9" s="511">
        <v>0.36458333333333331</v>
      </c>
      <c r="P9" s="511">
        <v>0.36458333333333331</v>
      </c>
      <c r="Q9" s="511">
        <v>0.36458333333333331</v>
      </c>
      <c r="R9" s="511">
        <v>0.36458333333333331</v>
      </c>
      <c r="S9" s="511">
        <v>0.36458333333333331</v>
      </c>
      <c r="T9" s="511">
        <v>0.36458333333333331</v>
      </c>
      <c r="U9" s="511">
        <v>0.36458333333333331</v>
      </c>
      <c r="V9" s="511">
        <v>0.36458333333333331</v>
      </c>
      <c r="W9" s="511">
        <v>0.36458333333333331</v>
      </c>
      <c r="X9" s="511">
        <v>0.36458333333333331</v>
      </c>
      <c r="Y9" s="511">
        <v>0.36458333333333331</v>
      </c>
      <c r="Z9" s="511">
        <v>0.36458333333333331</v>
      </c>
      <c r="AA9" s="511">
        <v>0.39583333333333331</v>
      </c>
      <c r="AB9" s="511">
        <v>0.39583333333333331</v>
      </c>
      <c r="AC9" s="511">
        <v>0.39583333333333331</v>
      </c>
      <c r="AD9" s="511">
        <v>0.39583333333333331</v>
      </c>
      <c r="AE9" s="511">
        <v>0.39583333333333331</v>
      </c>
      <c r="AF9" s="511">
        <v>0.39583333333333331</v>
      </c>
      <c r="AG9" s="172"/>
      <c r="AH9" s="554"/>
    </row>
    <row r="10" spans="1:135" s="180" customFormat="1" ht="20.100000000000001" customHeight="1" x14ac:dyDescent="0.4">
      <c r="A10" s="520" t="s">
        <v>5</v>
      </c>
      <c r="B10" s="626">
        <v>0.39583333333333331</v>
      </c>
      <c r="C10" s="626">
        <v>0.39583333333333331</v>
      </c>
      <c r="D10" s="626">
        <v>0.39583333333333331</v>
      </c>
      <c r="E10" s="626">
        <v>0.39583333333333331</v>
      </c>
      <c r="F10" s="626">
        <v>0.36458333333333331</v>
      </c>
      <c r="G10" s="626">
        <v>0.36458333333333331</v>
      </c>
      <c r="H10" s="626">
        <v>0.36458333333333331</v>
      </c>
      <c r="I10" s="626">
        <v>0.36458333333333331</v>
      </c>
      <c r="J10" s="626">
        <v>0.36458333333333331</v>
      </c>
      <c r="K10" s="626">
        <v>0.36458333333333331</v>
      </c>
      <c r="L10" s="626">
        <v>0.36458333333333331</v>
      </c>
      <c r="M10" s="626">
        <v>0.36458333333333331</v>
      </c>
      <c r="N10" s="626">
        <v>0.36458333333333331</v>
      </c>
      <c r="O10" s="626">
        <v>0.36458333333333331</v>
      </c>
      <c r="P10" s="626">
        <v>0.36458333333333331</v>
      </c>
      <c r="Q10" s="626">
        <v>0.36458333333333331</v>
      </c>
      <c r="R10" s="626">
        <v>0.36458333333333331</v>
      </c>
      <c r="S10" s="626">
        <v>0.36458333333333331</v>
      </c>
      <c r="T10" s="626">
        <v>0.36458333333333331</v>
      </c>
      <c r="U10" s="626">
        <v>0.36458333333333331</v>
      </c>
      <c r="V10" s="626">
        <v>0.36458333333333331</v>
      </c>
      <c r="W10" s="626">
        <v>0.36458333333333331</v>
      </c>
      <c r="X10" s="626">
        <v>0.36458333333333331</v>
      </c>
      <c r="Y10" s="626">
        <v>0.36458333333333331</v>
      </c>
      <c r="Z10" s="626">
        <v>0.36458333333333331</v>
      </c>
      <c r="AA10" s="626">
        <v>0.39583333333333331</v>
      </c>
      <c r="AB10" s="626">
        <v>0.39583333333333331</v>
      </c>
      <c r="AC10" s="626">
        <v>0.39583333333333331</v>
      </c>
      <c r="AD10" s="626">
        <v>0.39583333333333331</v>
      </c>
      <c r="AE10" s="626">
        <v>0.39583333333333331</v>
      </c>
      <c r="AF10" s="626">
        <v>0.39583333333333331</v>
      </c>
      <c r="AG10" s="171"/>
      <c r="AH10" s="626"/>
    </row>
    <row r="11" spans="1:135" s="180" customFormat="1" ht="20.100000000000001" customHeight="1" x14ac:dyDescent="0.4">
      <c r="A11" s="520" t="s">
        <v>6</v>
      </c>
      <c r="B11" s="627">
        <f t="shared" ref="B11:E11" si="2">IF(B10="","",IF(B15=0,B14+"0:30",+B15+"0:30"))</f>
        <v>0.95833333333333337</v>
      </c>
      <c r="C11" s="627">
        <f t="shared" si="2"/>
        <v>0.95833333333333337</v>
      </c>
      <c r="D11" s="627">
        <f t="shared" si="2"/>
        <v>0.95833333333333337</v>
      </c>
      <c r="E11" s="627">
        <f t="shared" si="2"/>
        <v>0.95833333333333337</v>
      </c>
      <c r="F11" s="627">
        <f t="shared" ref="F11:AA11" si="3">IF(F10="","",IF(F15=0,F14+"0:30",+F15+"0:30"))</f>
        <v>0.96875</v>
      </c>
      <c r="G11" s="627">
        <f t="shared" ref="G11:Z11" si="4">IF(G10="","",IF(G15=0,G14+"0:30",+G15+"0:30"))</f>
        <v>0.96875</v>
      </c>
      <c r="H11" s="627">
        <f t="shared" si="4"/>
        <v>0.96875</v>
      </c>
      <c r="I11" s="627">
        <f t="shared" si="4"/>
        <v>0.96875</v>
      </c>
      <c r="J11" s="627">
        <f t="shared" si="4"/>
        <v>0.96875</v>
      </c>
      <c r="K11" s="627">
        <f t="shared" si="4"/>
        <v>0.96875</v>
      </c>
      <c r="L11" s="627">
        <f t="shared" si="4"/>
        <v>0.96875</v>
      </c>
      <c r="M11" s="627">
        <f t="shared" si="4"/>
        <v>0.96875</v>
      </c>
      <c r="N11" s="627">
        <f t="shared" si="4"/>
        <v>0.96875</v>
      </c>
      <c r="O11" s="627">
        <f t="shared" si="4"/>
        <v>0.96875</v>
      </c>
      <c r="P11" s="627">
        <f t="shared" si="4"/>
        <v>0.96875</v>
      </c>
      <c r="Q11" s="627">
        <f t="shared" si="4"/>
        <v>0.96875</v>
      </c>
      <c r="R11" s="627">
        <f t="shared" si="4"/>
        <v>0.96875</v>
      </c>
      <c r="S11" s="627">
        <f t="shared" si="4"/>
        <v>0.96875</v>
      </c>
      <c r="T11" s="627">
        <f t="shared" si="4"/>
        <v>0.96875</v>
      </c>
      <c r="U11" s="627">
        <f t="shared" si="4"/>
        <v>0.96875</v>
      </c>
      <c r="V11" s="627">
        <f t="shared" si="4"/>
        <v>0.96875</v>
      </c>
      <c r="W11" s="627">
        <f t="shared" si="4"/>
        <v>0.96875</v>
      </c>
      <c r="X11" s="627">
        <f t="shared" si="4"/>
        <v>0.96875</v>
      </c>
      <c r="Y11" s="627">
        <f t="shared" si="4"/>
        <v>0.96875</v>
      </c>
      <c r="Z11" s="627">
        <f t="shared" si="4"/>
        <v>0.96875</v>
      </c>
      <c r="AA11" s="627">
        <f t="shared" si="3"/>
        <v>0.94791666666666674</v>
      </c>
      <c r="AB11" s="627">
        <f t="shared" ref="AB11:AF11" si="5">IF(AB10="","",IF(AB15=0,AB14+"0:30",+AB15+"0:30"))</f>
        <v>0.94791666666666674</v>
      </c>
      <c r="AC11" s="627">
        <f t="shared" si="5"/>
        <v>0.94791666666666674</v>
      </c>
      <c r="AD11" s="627">
        <f t="shared" si="5"/>
        <v>0.91666666666666674</v>
      </c>
      <c r="AE11" s="627">
        <f t="shared" si="5"/>
        <v>0.91666666666666674</v>
      </c>
      <c r="AF11" s="627">
        <f t="shared" si="5"/>
        <v>0.91666666666666674</v>
      </c>
      <c r="AG11" s="171"/>
      <c r="AH11" s="626"/>
    </row>
    <row r="12" spans="1:135" s="180" customFormat="1" ht="20.100000000000001" customHeight="1" x14ac:dyDescent="0.4">
      <c r="A12" s="521" t="s">
        <v>7</v>
      </c>
      <c r="B12" s="623">
        <f t="shared" ref="B12:E12" si="6">+IF(B10="","",(B11-B10))</f>
        <v>0.5625</v>
      </c>
      <c r="C12" s="623">
        <f t="shared" si="6"/>
        <v>0.5625</v>
      </c>
      <c r="D12" s="623">
        <f t="shared" si="6"/>
        <v>0.5625</v>
      </c>
      <c r="E12" s="623">
        <f t="shared" si="6"/>
        <v>0.5625</v>
      </c>
      <c r="F12" s="623">
        <f t="shared" ref="F12" si="7">+IF(F10="","",(F11-F10))</f>
        <v>0.60416666666666674</v>
      </c>
      <c r="G12" s="623">
        <f t="shared" ref="G12:Z12" si="8">+IF(G10="","",(G11-G10))</f>
        <v>0.60416666666666674</v>
      </c>
      <c r="H12" s="623">
        <f t="shared" si="8"/>
        <v>0.60416666666666674</v>
      </c>
      <c r="I12" s="623">
        <f t="shared" si="8"/>
        <v>0.60416666666666674</v>
      </c>
      <c r="J12" s="623">
        <f t="shared" si="8"/>
        <v>0.60416666666666674</v>
      </c>
      <c r="K12" s="623">
        <f t="shared" si="8"/>
        <v>0.60416666666666674</v>
      </c>
      <c r="L12" s="623">
        <f t="shared" si="8"/>
        <v>0.60416666666666674</v>
      </c>
      <c r="M12" s="623">
        <f t="shared" si="8"/>
        <v>0.60416666666666674</v>
      </c>
      <c r="N12" s="623">
        <f t="shared" si="8"/>
        <v>0.60416666666666674</v>
      </c>
      <c r="O12" s="623">
        <f t="shared" si="8"/>
        <v>0.60416666666666674</v>
      </c>
      <c r="P12" s="623">
        <f t="shared" si="8"/>
        <v>0.60416666666666674</v>
      </c>
      <c r="Q12" s="623">
        <f t="shared" si="8"/>
        <v>0.60416666666666674</v>
      </c>
      <c r="R12" s="623">
        <f t="shared" si="8"/>
        <v>0.60416666666666674</v>
      </c>
      <c r="S12" s="623">
        <f t="shared" si="8"/>
        <v>0.60416666666666674</v>
      </c>
      <c r="T12" s="623">
        <f t="shared" si="8"/>
        <v>0.60416666666666674</v>
      </c>
      <c r="U12" s="623">
        <f t="shared" si="8"/>
        <v>0.60416666666666674</v>
      </c>
      <c r="V12" s="623">
        <f t="shared" si="8"/>
        <v>0.60416666666666674</v>
      </c>
      <c r="W12" s="623">
        <f t="shared" si="8"/>
        <v>0.60416666666666674</v>
      </c>
      <c r="X12" s="623">
        <f t="shared" si="8"/>
        <v>0.60416666666666674</v>
      </c>
      <c r="Y12" s="623">
        <f t="shared" si="8"/>
        <v>0.60416666666666674</v>
      </c>
      <c r="Z12" s="623">
        <f t="shared" si="8"/>
        <v>0.60416666666666674</v>
      </c>
      <c r="AA12" s="623">
        <f t="shared" ref="AA12" si="9">+IF(AA10="","",(AA11-AA10))</f>
        <v>0.55208333333333348</v>
      </c>
      <c r="AB12" s="623">
        <f t="shared" ref="AB12:AF12" si="10">+IF(AB10="","",(AB11-AB10))</f>
        <v>0.55208333333333348</v>
      </c>
      <c r="AC12" s="623">
        <f t="shared" si="10"/>
        <v>0.55208333333333348</v>
      </c>
      <c r="AD12" s="623">
        <f t="shared" si="10"/>
        <v>0.52083333333333348</v>
      </c>
      <c r="AE12" s="623">
        <f t="shared" si="10"/>
        <v>0.52083333333333348</v>
      </c>
      <c r="AF12" s="623">
        <f t="shared" si="10"/>
        <v>0.52083333333333348</v>
      </c>
      <c r="AG12" s="171"/>
      <c r="AH12" s="624">
        <f>SUM(B12:AF12)</f>
        <v>18.156249999999993</v>
      </c>
    </row>
    <row r="13" spans="1:135" s="180" customFormat="1" ht="9.9" customHeight="1" x14ac:dyDescent="0.4">
      <c r="A13" s="166"/>
      <c r="B13" s="174"/>
      <c r="C13" s="174"/>
      <c r="D13" s="174"/>
      <c r="E13" s="174"/>
      <c r="F13" s="174"/>
      <c r="G13" s="174"/>
      <c r="H13" s="174"/>
      <c r="I13" s="174"/>
      <c r="J13" s="174"/>
      <c r="K13" s="174"/>
      <c r="L13" s="174"/>
      <c r="M13" s="174"/>
      <c r="N13" s="174"/>
      <c r="O13" s="174"/>
      <c r="P13" s="174"/>
      <c r="Q13" s="174"/>
      <c r="R13" s="174"/>
      <c r="S13" s="174"/>
      <c r="T13" s="174"/>
      <c r="U13" s="174"/>
      <c r="V13" s="174"/>
      <c r="W13" s="174"/>
      <c r="X13" s="174"/>
      <c r="Y13" s="174"/>
      <c r="Z13" s="174"/>
      <c r="AA13" s="175"/>
      <c r="AB13" s="175"/>
      <c r="AC13" s="175"/>
      <c r="AD13" s="175"/>
      <c r="AE13" s="175"/>
      <c r="AF13" s="175"/>
      <c r="AG13" s="486"/>
      <c r="AH13" s="174"/>
    </row>
    <row r="14" spans="1:135" s="180" customFormat="1" ht="19.5" customHeight="1" x14ac:dyDescent="0.4">
      <c r="A14" s="616" t="s">
        <v>8</v>
      </c>
      <c r="B14" s="176">
        <v>0.9375</v>
      </c>
      <c r="C14" s="176">
        <v>0.9375</v>
      </c>
      <c r="D14" s="176">
        <v>0.9375</v>
      </c>
      <c r="E14" s="176">
        <v>0.9375</v>
      </c>
      <c r="F14" s="176">
        <v>0.91666666666666663</v>
      </c>
      <c r="G14" s="176">
        <v>0.91666666666666663</v>
      </c>
      <c r="H14" s="176">
        <v>0.91666666666666663</v>
      </c>
      <c r="I14" s="176">
        <v>0.91666666666666663</v>
      </c>
      <c r="J14" s="176">
        <v>0.91666666666666663</v>
      </c>
      <c r="K14" s="176">
        <v>0.91666666666666663</v>
      </c>
      <c r="L14" s="176">
        <v>0.91666666666666663</v>
      </c>
      <c r="M14" s="176">
        <v>0.91666666666666663</v>
      </c>
      <c r="N14" s="176">
        <v>0.91666666666666663</v>
      </c>
      <c r="O14" s="176">
        <v>0.91666666666666663</v>
      </c>
      <c r="P14" s="176">
        <v>0.91666666666666663</v>
      </c>
      <c r="Q14" s="176">
        <v>0.91666666666666663</v>
      </c>
      <c r="R14" s="176">
        <v>0.91666666666666663</v>
      </c>
      <c r="S14" s="176">
        <v>0.91666666666666663</v>
      </c>
      <c r="T14" s="176">
        <v>0.91666666666666663</v>
      </c>
      <c r="U14" s="176">
        <v>0.91666666666666663</v>
      </c>
      <c r="V14" s="176">
        <v>0.91666666666666663</v>
      </c>
      <c r="W14" s="176">
        <v>0.91666666666666663</v>
      </c>
      <c r="X14" s="176">
        <v>0.91666666666666663</v>
      </c>
      <c r="Y14" s="176">
        <v>0.91666666666666663</v>
      </c>
      <c r="Z14" s="176">
        <v>0.91666666666666663</v>
      </c>
      <c r="AA14" s="176">
        <v>0.89583333333333337</v>
      </c>
      <c r="AB14" s="176">
        <v>0.89583333333333337</v>
      </c>
      <c r="AC14" s="176">
        <v>0.89583333333333337</v>
      </c>
      <c r="AD14" s="176">
        <v>0.89583333333333337</v>
      </c>
      <c r="AE14" s="176">
        <v>0.89583333333333337</v>
      </c>
      <c r="AF14" s="176">
        <v>0.89583333333333337</v>
      </c>
      <c r="AG14" s="486"/>
      <c r="AH14" s="176"/>
    </row>
    <row r="15" spans="1:135" s="180" customFormat="1" x14ac:dyDescent="0.4">
      <c r="A15" s="617" t="s">
        <v>9</v>
      </c>
      <c r="B15" s="575"/>
      <c r="C15" s="575"/>
      <c r="D15" s="575"/>
      <c r="E15" s="575"/>
      <c r="F15" s="575">
        <v>0.94791666666666663</v>
      </c>
      <c r="G15" s="575">
        <v>0.94791666666666663</v>
      </c>
      <c r="H15" s="575">
        <v>0.94791666666666663</v>
      </c>
      <c r="I15" s="575">
        <v>0.94791666666666663</v>
      </c>
      <c r="J15" s="575">
        <v>0.94791666666666663</v>
      </c>
      <c r="K15" s="575">
        <v>0.94791666666666663</v>
      </c>
      <c r="L15" s="575">
        <v>0.94791666666666663</v>
      </c>
      <c r="M15" s="575">
        <v>0.94791666666666663</v>
      </c>
      <c r="N15" s="575">
        <v>0.94791666666666663</v>
      </c>
      <c r="O15" s="575">
        <v>0.94791666666666663</v>
      </c>
      <c r="P15" s="575">
        <v>0.94791666666666663</v>
      </c>
      <c r="Q15" s="575">
        <v>0.94791666666666663</v>
      </c>
      <c r="R15" s="575">
        <v>0.94791666666666663</v>
      </c>
      <c r="S15" s="575">
        <v>0.94791666666666663</v>
      </c>
      <c r="T15" s="575">
        <v>0.94791666666666663</v>
      </c>
      <c r="U15" s="575">
        <v>0.94791666666666663</v>
      </c>
      <c r="V15" s="575">
        <v>0.94791666666666663</v>
      </c>
      <c r="W15" s="575">
        <v>0.94791666666666663</v>
      </c>
      <c r="X15" s="575">
        <v>0.94791666666666663</v>
      </c>
      <c r="Y15" s="575">
        <v>0.94791666666666663</v>
      </c>
      <c r="Z15" s="575">
        <v>0.94791666666666663</v>
      </c>
      <c r="AA15" s="575">
        <v>0.92708333333333337</v>
      </c>
      <c r="AB15" s="575">
        <v>0.92708333333333337</v>
      </c>
      <c r="AC15" s="575">
        <v>0.92708333333333337</v>
      </c>
      <c r="AD15" s="575"/>
      <c r="AE15" s="575"/>
      <c r="AF15" s="575"/>
      <c r="AG15" s="486"/>
      <c r="AH15" s="555"/>
    </row>
    <row r="16" spans="1:135" s="180" customFormat="1" ht="16.2" x14ac:dyDescent="0.4">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16.2" x14ac:dyDescent="0.4">
      <c r="A17" s="519" t="s">
        <v>10</v>
      </c>
      <c r="B17" s="179">
        <f>COUNTIF(B14,"&gt;0")</f>
        <v>1</v>
      </c>
      <c r="C17" s="179">
        <f t="shared" ref="C17:AF17" si="11">COUNTIF(C14,"&gt;0")</f>
        <v>1</v>
      </c>
      <c r="D17" s="179">
        <f t="shared" si="11"/>
        <v>1</v>
      </c>
      <c r="E17" s="179">
        <f t="shared" si="11"/>
        <v>1</v>
      </c>
      <c r="F17" s="179">
        <f t="shared" si="11"/>
        <v>1</v>
      </c>
      <c r="G17" s="179">
        <f t="shared" si="11"/>
        <v>1</v>
      </c>
      <c r="H17" s="179">
        <f t="shared" si="11"/>
        <v>1</v>
      </c>
      <c r="I17" s="179">
        <f t="shared" si="11"/>
        <v>1</v>
      </c>
      <c r="J17" s="179">
        <f t="shared" si="11"/>
        <v>1</v>
      </c>
      <c r="K17" s="179">
        <f t="shared" si="11"/>
        <v>1</v>
      </c>
      <c r="L17" s="179">
        <f t="shared" si="11"/>
        <v>1</v>
      </c>
      <c r="M17" s="179">
        <f t="shared" si="11"/>
        <v>1</v>
      </c>
      <c r="N17" s="179">
        <f t="shared" si="11"/>
        <v>1</v>
      </c>
      <c r="O17" s="179">
        <f t="shared" si="11"/>
        <v>1</v>
      </c>
      <c r="P17" s="179">
        <f t="shared" si="11"/>
        <v>1</v>
      </c>
      <c r="Q17" s="179">
        <f t="shared" si="11"/>
        <v>1</v>
      </c>
      <c r="R17" s="179">
        <f t="shared" si="11"/>
        <v>1</v>
      </c>
      <c r="S17" s="179">
        <f t="shared" si="11"/>
        <v>1</v>
      </c>
      <c r="T17" s="179">
        <f t="shared" si="11"/>
        <v>1</v>
      </c>
      <c r="U17" s="179">
        <f t="shared" si="11"/>
        <v>1</v>
      </c>
      <c r="V17" s="179">
        <f t="shared" si="11"/>
        <v>1</v>
      </c>
      <c r="W17" s="179">
        <f t="shared" si="11"/>
        <v>1</v>
      </c>
      <c r="X17" s="179">
        <f t="shared" si="11"/>
        <v>1</v>
      </c>
      <c r="Y17" s="179">
        <f t="shared" si="11"/>
        <v>1</v>
      </c>
      <c r="Z17" s="179">
        <f t="shared" si="11"/>
        <v>1</v>
      </c>
      <c r="AA17" s="179">
        <f t="shared" si="11"/>
        <v>1</v>
      </c>
      <c r="AB17" s="179">
        <f t="shared" si="11"/>
        <v>1</v>
      </c>
      <c r="AC17" s="179">
        <f t="shared" si="11"/>
        <v>1</v>
      </c>
      <c r="AD17" s="179">
        <f t="shared" si="11"/>
        <v>1</v>
      </c>
      <c r="AE17" s="179">
        <f t="shared" si="11"/>
        <v>1</v>
      </c>
      <c r="AF17" s="179">
        <f t="shared" si="11"/>
        <v>1</v>
      </c>
      <c r="AG17" s="171"/>
      <c r="AH17" s="163"/>
    </row>
    <row r="18" spans="1:135" s="180" customFormat="1" ht="16.2" x14ac:dyDescent="0.4">
      <c r="A18" s="519" t="s">
        <v>11</v>
      </c>
      <c r="B18" s="179">
        <f>COUNTIF(B15,"&gt;0")</f>
        <v>0</v>
      </c>
      <c r="C18" s="179">
        <f t="shared" ref="C18:AF18" si="12">COUNTIF(C15,"&gt;0")</f>
        <v>0</v>
      </c>
      <c r="D18" s="179">
        <f t="shared" si="12"/>
        <v>0</v>
      </c>
      <c r="E18" s="179">
        <f t="shared" si="12"/>
        <v>0</v>
      </c>
      <c r="F18" s="179">
        <f t="shared" si="12"/>
        <v>1</v>
      </c>
      <c r="G18" s="179">
        <f t="shared" si="12"/>
        <v>1</v>
      </c>
      <c r="H18" s="179">
        <f t="shared" si="12"/>
        <v>1</v>
      </c>
      <c r="I18" s="179">
        <f t="shared" si="12"/>
        <v>1</v>
      </c>
      <c r="J18" s="179">
        <f t="shared" si="12"/>
        <v>1</v>
      </c>
      <c r="K18" s="179">
        <f t="shared" si="12"/>
        <v>1</v>
      </c>
      <c r="L18" s="179">
        <f t="shared" si="12"/>
        <v>1</v>
      </c>
      <c r="M18" s="179">
        <f t="shared" si="12"/>
        <v>1</v>
      </c>
      <c r="N18" s="179">
        <f t="shared" si="12"/>
        <v>1</v>
      </c>
      <c r="O18" s="179">
        <f t="shared" si="12"/>
        <v>1</v>
      </c>
      <c r="P18" s="179">
        <f t="shared" si="12"/>
        <v>1</v>
      </c>
      <c r="Q18" s="179">
        <f t="shared" si="12"/>
        <v>1</v>
      </c>
      <c r="R18" s="179">
        <f t="shared" si="12"/>
        <v>1</v>
      </c>
      <c r="S18" s="179">
        <f t="shared" si="12"/>
        <v>1</v>
      </c>
      <c r="T18" s="179">
        <f t="shared" si="12"/>
        <v>1</v>
      </c>
      <c r="U18" s="179">
        <f t="shared" si="12"/>
        <v>1</v>
      </c>
      <c r="V18" s="179">
        <f t="shared" si="12"/>
        <v>1</v>
      </c>
      <c r="W18" s="179">
        <f t="shared" si="12"/>
        <v>1</v>
      </c>
      <c r="X18" s="179">
        <f t="shared" si="12"/>
        <v>1</v>
      </c>
      <c r="Y18" s="179">
        <f t="shared" si="12"/>
        <v>1</v>
      </c>
      <c r="Z18" s="179">
        <f t="shared" si="12"/>
        <v>1</v>
      </c>
      <c r="AA18" s="179">
        <f t="shared" si="12"/>
        <v>1</v>
      </c>
      <c r="AB18" s="179">
        <f t="shared" si="12"/>
        <v>1</v>
      </c>
      <c r="AC18" s="179">
        <f t="shared" si="12"/>
        <v>1</v>
      </c>
      <c r="AD18" s="179">
        <f t="shared" si="12"/>
        <v>0</v>
      </c>
      <c r="AE18" s="179">
        <f t="shared" si="12"/>
        <v>0</v>
      </c>
      <c r="AF18" s="179">
        <f t="shared" si="12"/>
        <v>0</v>
      </c>
      <c r="AG18" s="171"/>
      <c r="AH18" s="163"/>
    </row>
    <row r="19" spans="1:135" s="180" customFormat="1" thickBot="1" x14ac:dyDescent="0.45">
      <c r="A19" s="519" t="s">
        <v>20</v>
      </c>
      <c r="B19" s="179">
        <f>COUNTIF(B16,"&gt;0")</f>
        <v>0</v>
      </c>
      <c r="C19" s="179">
        <f t="shared" ref="C19:AF19" si="13">COUNTIF(C16,"&gt;0")</f>
        <v>0</v>
      </c>
      <c r="D19" s="179">
        <f t="shared" si="13"/>
        <v>0</v>
      </c>
      <c r="E19" s="179">
        <f t="shared" si="13"/>
        <v>0</v>
      </c>
      <c r="F19" s="179">
        <f t="shared" si="13"/>
        <v>0</v>
      </c>
      <c r="G19" s="179">
        <f t="shared" si="13"/>
        <v>0</v>
      </c>
      <c r="H19" s="179">
        <f t="shared" si="13"/>
        <v>0</v>
      </c>
      <c r="I19" s="179">
        <f t="shared" si="13"/>
        <v>0</v>
      </c>
      <c r="J19" s="179">
        <f t="shared" si="13"/>
        <v>0</v>
      </c>
      <c r="K19" s="179">
        <f t="shared" si="13"/>
        <v>0</v>
      </c>
      <c r="L19" s="179">
        <f t="shared" si="13"/>
        <v>0</v>
      </c>
      <c r="M19" s="179">
        <f t="shared" si="13"/>
        <v>0</v>
      </c>
      <c r="N19" s="179">
        <f t="shared" si="13"/>
        <v>0</v>
      </c>
      <c r="O19" s="179">
        <f t="shared" si="13"/>
        <v>0</v>
      </c>
      <c r="P19" s="179">
        <f t="shared" si="13"/>
        <v>0</v>
      </c>
      <c r="Q19" s="179">
        <f t="shared" si="13"/>
        <v>0</v>
      </c>
      <c r="R19" s="179">
        <f t="shared" si="13"/>
        <v>0</v>
      </c>
      <c r="S19" s="179">
        <f t="shared" si="13"/>
        <v>0</v>
      </c>
      <c r="T19" s="179">
        <f t="shared" si="13"/>
        <v>0</v>
      </c>
      <c r="U19" s="179">
        <f t="shared" si="13"/>
        <v>0</v>
      </c>
      <c r="V19" s="179">
        <f t="shared" si="13"/>
        <v>0</v>
      </c>
      <c r="W19" s="179">
        <f t="shared" si="13"/>
        <v>0</v>
      </c>
      <c r="X19" s="179">
        <f t="shared" si="13"/>
        <v>0</v>
      </c>
      <c r="Y19" s="179">
        <f t="shared" si="13"/>
        <v>0</v>
      </c>
      <c r="Z19" s="179">
        <f t="shared" si="13"/>
        <v>0</v>
      </c>
      <c r="AA19" s="179">
        <f t="shared" si="13"/>
        <v>0</v>
      </c>
      <c r="AB19" s="179">
        <f t="shared" si="13"/>
        <v>0</v>
      </c>
      <c r="AC19" s="179">
        <f t="shared" si="13"/>
        <v>0</v>
      </c>
      <c r="AD19" s="179">
        <f t="shared" si="13"/>
        <v>0</v>
      </c>
      <c r="AE19" s="179">
        <f t="shared" si="13"/>
        <v>0</v>
      </c>
      <c r="AF19" s="179">
        <f t="shared" si="13"/>
        <v>0</v>
      </c>
      <c r="AG19" s="171"/>
      <c r="AH19" s="163"/>
    </row>
    <row r="20" spans="1:135" s="180" customFormat="1" ht="17.399999999999999" thickBot="1" x14ac:dyDescent="0.45">
      <c r="A20" s="616" t="s">
        <v>12</v>
      </c>
      <c r="B20" s="618">
        <f>SUM(B17:B19)</f>
        <v>1</v>
      </c>
      <c r="C20" s="618">
        <f t="shared" ref="C20:AF20" si="14">SUM(C17:C19)</f>
        <v>1</v>
      </c>
      <c r="D20" s="618">
        <f t="shared" si="14"/>
        <v>1</v>
      </c>
      <c r="E20" s="618">
        <f t="shared" si="14"/>
        <v>1</v>
      </c>
      <c r="F20" s="618">
        <f t="shared" si="14"/>
        <v>2</v>
      </c>
      <c r="G20" s="618">
        <f t="shared" si="14"/>
        <v>2</v>
      </c>
      <c r="H20" s="618">
        <f t="shared" si="14"/>
        <v>2</v>
      </c>
      <c r="I20" s="618">
        <f t="shared" si="14"/>
        <v>2</v>
      </c>
      <c r="J20" s="618">
        <f t="shared" si="14"/>
        <v>2</v>
      </c>
      <c r="K20" s="618">
        <f t="shared" si="14"/>
        <v>2</v>
      </c>
      <c r="L20" s="618">
        <f t="shared" si="14"/>
        <v>2</v>
      </c>
      <c r="M20" s="618">
        <f t="shared" si="14"/>
        <v>2</v>
      </c>
      <c r="N20" s="618">
        <f t="shared" si="14"/>
        <v>2</v>
      </c>
      <c r="O20" s="618">
        <f t="shared" si="14"/>
        <v>2</v>
      </c>
      <c r="P20" s="618">
        <f t="shared" si="14"/>
        <v>2</v>
      </c>
      <c r="Q20" s="618">
        <f t="shared" si="14"/>
        <v>2</v>
      </c>
      <c r="R20" s="618">
        <f t="shared" si="14"/>
        <v>2</v>
      </c>
      <c r="S20" s="618">
        <f t="shared" si="14"/>
        <v>2</v>
      </c>
      <c r="T20" s="618">
        <f t="shared" si="14"/>
        <v>2</v>
      </c>
      <c r="U20" s="618">
        <f t="shared" si="14"/>
        <v>2</v>
      </c>
      <c r="V20" s="618">
        <f t="shared" si="14"/>
        <v>2</v>
      </c>
      <c r="W20" s="618">
        <f t="shared" si="14"/>
        <v>2</v>
      </c>
      <c r="X20" s="618">
        <f t="shared" si="14"/>
        <v>2</v>
      </c>
      <c r="Y20" s="618">
        <f t="shared" si="14"/>
        <v>2</v>
      </c>
      <c r="Z20" s="618">
        <f t="shared" si="14"/>
        <v>2</v>
      </c>
      <c r="AA20" s="618">
        <f t="shared" si="14"/>
        <v>2</v>
      </c>
      <c r="AB20" s="618">
        <f t="shared" si="14"/>
        <v>2</v>
      </c>
      <c r="AC20" s="618">
        <f t="shared" si="14"/>
        <v>2</v>
      </c>
      <c r="AD20" s="618">
        <f t="shared" si="14"/>
        <v>1</v>
      </c>
      <c r="AE20" s="618">
        <f t="shared" si="14"/>
        <v>1</v>
      </c>
      <c r="AF20" s="618">
        <f t="shared" si="14"/>
        <v>1</v>
      </c>
      <c r="AG20" s="171"/>
      <c r="AH20" s="619">
        <f>SUM(B20:AF20)</f>
        <v>55</v>
      </c>
    </row>
    <row r="21" spans="1:135" ht="16.2"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7.5" customHeight="1" x14ac:dyDescent="0.25">
      <c r="A22" s="588" t="s">
        <v>21</v>
      </c>
      <c r="B22" s="600">
        <v>3000</v>
      </c>
      <c r="C22" s="600">
        <v>3000</v>
      </c>
      <c r="D22" s="600">
        <v>3100</v>
      </c>
      <c r="E22" s="600">
        <v>3000</v>
      </c>
      <c r="F22" s="600">
        <v>4000</v>
      </c>
      <c r="G22" s="600">
        <v>4900</v>
      </c>
      <c r="H22" s="600">
        <v>4500</v>
      </c>
      <c r="I22" s="600">
        <v>4300</v>
      </c>
      <c r="J22" s="600">
        <v>3700</v>
      </c>
      <c r="K22" s="600">
        <v>3300</v>
      </c>
      <c r="L22" s="600">
        <v>3900</v>
      </c>
      <c r="M22" s="600">
        <v>4400</v>
      </c>
      <c r="N22" s="600">
        <v>4600</v>
      </c>
      <c r="O22" s="600">
        <v>4600</v>
      </c>
      <c r="P22" s="600">
        <v>4500</v>
      </c>
      <c r="Q22" s="600">
        <v>4200</v>
      </c>
      <c r="R22" s="600">
        <v>3700</v>
      </c>
      <c r="S22" s="600">
        <v>3400</v>
      </c>
      <c r="T22" s="600">
        <v>4100</v>
      </c>
      <c r="U22" s="600">
        <v>4300</v>
      </c>
      <c r="V22" s="600">
        <v>4000</v>
      </c>
      <c r="W22" s="600">
        <v>3800</v>
      </c>
      <c r="X22" s="600">
        <v>2900</v>
      </c>
      <c r="Y22" s="600">
        <v>2800</v>
      </c>
      <c r="Z22" s="600">
        <v>2500</v>
      </c>
      <c r="AA22" s="600">
        <v>3400</v>
      </c>
      <c r="AB22" s="600">
        <v>3900</v>
      </c>
      <c r="AC22" s="600">
        <v>3300</v>
      </c>
      <c r="AD22" s="600">
        <v>2800</v>
      </c>
      <c r="AE22" s="600">
        <v>2000</v>
      </c>
      <c r="AF22" s="600">
        <v>2100</v>
      </c>
      <c r="AG22" s="522"/>
      <c r="AH22" s="594">
        <f>SUM(B22:AG22)</f>
        <v>112000</v>
      </c>
    </row>
    <row r="23" spans="1:135" s="1" customFormat="1" ht="33.9" customHeight="1" x14ac:dyDescent="0.25">
      <c r="A23" s="590" t="s">
        <v>22</v>
      </c>
      <c r="B23" s="602">
        <v>6300</v>
      </c>
      <c r="C23" s="602">
        <v>6300</v>
      </c>
      <c r="D23" s="602">
        <v>6200</v>
      </c>
      <c r="E23" s="602">
        <v>6400</v>
      </c>
      <c r="F23" s="602">
        <v>8000</v>
      </c>
      <c r="G23" s="602">
        <v>9000</v>
      </c>
      <c r="H23" s="602">
        <v>9000</v>
      </c>
      <c r="I23" s="602">
        <v>8900</v>
      </c>
      <c r="J23" s="602">
        <v>7800</v>
      </c>
      <c r="K23" s="602">
        <v>7400</v>
      </c>
      <c r="L23" s="602">
        <v>8300</v>
      </c>
      <c r="M23" s="602">
        <v>9900</v>
      </c>
      <c r="N23" s="602">
        <v>9600</v>
      </c>
      <c r="O23" s="602">
        <v>9400</v>
      </c>
      <c r="P23" s="602">
        <v>9000</v>
      </c>
      <c r="Q23" s="602">
        <v>9000</v>
      </c>
      <c r="R23" s="602">
        <v>7700</v>
      </c>
      <c r="S23" s="602">
        <v>6900</v>
      </c>
      <c r="T23" s="602">
        <v>8600</v>
      </c>
      <c r="U23" s="602">
        <v>9500</v>
      </c>
      <c r="V23" s="602">
        <v>9000</v>
      </c>
      <c r="W23" s="602">
        <v>8500</v>
      </c>
      <c r="X23" s="602">
        <v>6600</v>
      </c>
      <c r="Y23" s="602">
        <v>6400</v>
      </c>
      <c r="Z23" s="602">
        <v>6300</v>
      </c>
      <c r="AA23" s="602">
        <v>7400</v>
      </c>
      <c r="AB23" s="602">
        <v>8700</v>
      </c>
      <c r="AC23" s="602">
        <v>7500</v>
      </c>
      <c r="AD23" s="602">
        <v>6200</v>
      </c>
      <c r="AE23" s="602">
        <v>3900</v>
      </c>
      <c r="AF23" s="602">
        <v>3900</v>
      </c>
      <c r="AG23" s="522"/>
      <c r="AH23" s="595">
        <f t="shared" ref="AH23:AH32" si="15">SUM(B23:AG23)</f>
        <v>237600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603">
        <v>9300</v>
      </c>
      <c r="C24" s="603">
        <v>9600</v>
      </c>
      <c r="D24" s="603">
        <v>9300</v>
      </c>
      <c r="E24" s="603">
        <v>9400</v>
      </c>
      <c r="F24" s="603">
        <v>12000</v>
      </c>
      <c r="G24" s="603">
        <v>13900</v>
      </c>
      <c r="H24" s="603">
        <v>13500</v>
      </c>
      <c r="I24" s="603">
        <v>13200</v>
      </c>
      <c r="J24" s="603">
        <v>11500</v>
      </c>
      <c r="K24" s="603">
        <v>10700</v>
      </c>
      <c r="L24" s="603">
        <v>12200</v>
      </c>
      <c r="M24" s="603">
        <v>14300</v>
      </c>
      <c r="N24" s="603">
        <v>14200</v>
      </c>
      <c r="O24" s="603">
        <v>14000</v>
      </c>
      <c r="P24" s="603">
        <v>13500</v>
      </c>
      <c r="Q24" s="603">
        <v>13200</v>
      </c>
      <c r="R24" s="603">
        <v>11400</v>
      </c>
      <c r="S24" s="603">
        <v>10300</v>
      </c>
      <c r="T24" s="603">
        <v>12700</v>
      </c>
      <c r="U24" s="603">
        <v>13800</v>
      </c>
      <c r="V24" s="603">
        <v>13000</v>
      </c>
      <c r="W24" s="603">
        <v>12300</v>
      </c>
      <c r="X24" s="603">
        <v>9500</v>
      </c>
      <c r="Y24" s="603">
        <v>9200</v>
      </c>
      <c r="Z24" s="603">
        <v>8800</v>
      </c>
      <c r="AA24" s="603">
        <v>10800</v>
      </c>
      <c r="AB24" s="603">
        <v>12600</v>
      </c>
      <c r="AC24" s="603">
        <v>10800</v>
      </c>
      <c r="AD24" s="603">
        <v>9000</v>
      </c>
      <c r="AE24" s="603">
        <v>5900</v>
      </c>
      <c r="AF24" s="603">
        <v>6000</v>
      </c>
      <c r="AG24" s="513"/>
      <c r="AH24" s="596">
        <f t="shared" si="15"/>
        <v>349900</v>
      </c>
    </row>
    <row r="25" spans="1:135" s="1" customFormat="1" ht="33.9" customHeight="1" x14ac:dyDescent="0.25">
      <c r="A25" s="588" t="s">
        <v>43</v>
      </c>
      <c r="B25" s="600">
        <v>50</v>
      </c>
      <c r="C25" s="600">
        <v>20</v>
      </c>
      <c r="D25" s="600">
        <v>180</v>
      </c>
      <c r="E25" s="600">
        <v>30</v>
      </c>
      <c r="F25" s="600">
        <v>30</v>
      </c>
      <c r="G25" s="600">
        <v>60</v>
      </c>
      <c r="H25" s="600">
        <v>120</v>
      </c>
      <c r="I25" s="600">
        <v>0</v>
      </c>
      <c r="J25" s="600">
        <v>0</v>
      </c>
      <c r="K25" s="600">
        <v>30</v>
      </c>
      <c r="L25" s="600">
        <v>0</v>
      </c>
      <c r="M25" s="600">
        <v>30</v>
      </c>
      <c r="N25" s="600">
        <v>40</v>
      </c>
      <c r="O25" s="600">
        <v>60</v>
      </c>
      <c r="P25" s="600">
        <v>80</v>
      </c>
      <c r="Q25" s="600">
        <v>80</v>
      </c>
      <c r="R25" s="600">
        <v>210</v>
      </c>
      <c r="S25" s="600">
        <v>30</v>
      </c>
      <c r="T25" s="600">
        <v>130</v>
      </c>
      <c r="U25" s="600">
        <v>0</v>
      </c>
      <c r="V25" s="600">
        <v>0</v>
      </c>
      <c r="W25" s="600">
        <v>0</v>
      </c>
      <c r="X25" s="600">
        <v>0</v>
      </c>
      <c r="Y25" s="600">
        <v>70</v>
      </c>
      <c r="Z25" s="600">
        <v>210</v>
      </c>
      <c r="AA25" s="600">
        <v>40</v>
      </c>
      <c r="AB25" s="600">
        <v>40</v>
      </c>
      <c r="AC25" s="600">
        <v>140</v>
      </c>
      <c r="AD25" s="600">
        <v>140</v>
      </c>
      <c r="AE25" s="600">
        <v>220</v>
      </c>
      <c r="AF25" s="600">
        <v>770</v>
      </c>
      <c r="AG25" s="522"/>
      <c r="AH25" s="594">
        <f t="shared" si="15"/>
        <v>2810</v>
      </c>
    </row>
    <row r="26" spans="1:135" s="1" customFormat="1" ht="33.9" customHeight="1" x14ac:dyDescent="0.25">
      <c r="A26" s="590" t="s">
        <v>44</v>
      </c>
      <c r="B26" s="602">
        <v>390</v>
      </c>
      <c r="C26" s="602">
        <v>110</v>
      </c>
      <c r="D26" s="602">
        <v>140</v>
      </c>
      <c r="E26" s="602">
        <v>70</v>
      </c>
      <c r="F26" s="602">
        <v>0</v>
      </c>
      <c r="G26" s="602">
        <v>90</v>
      </c>
      <c r="H26" s="602">
        <v>200</v>
      </c>
      <c r="I26" s="602">
        <v>250</v>
      </c>
      <c r="J26" s="602">
        <v>400</v>
      </c>
      <c r="K26" s="602">
        <v>170</v>
      </c>
      <c r="L26" s="602">
        <v>0</v>
      </c>
      <c r="M26" s="602">
        <v>60</v>
      </c>
      <c r="N26" s="602">
        <v>350</v>
      </c>
      <c r="O26" s="602">
        <v>180</v>
      </c>
      <c r="P26" s="602">
        <v>110</v>
      </c>
      <c r="Q26" s="602">
        <v>100</v>
      </c>
      <c r="R26" s="602">
        <v>0</v>
      </c>
      <c r="S26" s="602">
        <v>130</v>
      </c>
      <c r="T26" s="602">
        <v>80</v>
      </c>
      <c r="U26" s="602">
        <v>220</v>
      </c>
      <c r="V26" s="602">
        <v>200</v>
      </c>
      <c r="W26" s="602">
        <v>170</v>
      </c>
      <c r="X26" s="602">
        <v>100</v>
      </c>
      <c r="Y26" s="602">
        <v>90</v>
      </c>
      <c r="Z26" s="602">
        <v>90</v>
      </c>
      <c r="AA26" s="602">
        <v>170</v>
      </c>
      <c r="AB26" s="602">
        <v>590</v>
      </c>
      <c r="AC26" s="602">
        <v>640</v>
      </c>
      <c r="AD26" s="602">
        <v>550</v>
      </c>
      <c r="AE26" s="602">
        <v>130</v>
      </c>
      <c r="AF26" s="602">
        <v>30</v>
      </c>
      <c r="AG26" s="522"/>
      <c r="AH26" s="595">
        <f t="shared" si="15"/>
        <v>5810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603">
        <v>440</v>
      </c>
      <c r="C27" s="603">
        <v>130</v>
      </c>
      <c r="D27" s="603">
        <v>320</v>
      </c>
      <c r="E27" s="603">
        <v>100</v>
      </c>
      <c r="F27" s="603">
        <v>30</v>
      </c>
      <c r="G27" s="603">
        <v>150</v>
      </c>
      <c r="H27" s="603">
        <v>320</v>
      </c>
      <c r="I27" s="603">
        <v>250</v>
      </c>
      <c r="J27" s="603">
        <v>400</v>
      </c>
      <c r="K27" s="603">
        <v>200</v>
      </c>
      <c r="L27" s="603">
        <v>0</v>
      </c>
      <c r="M27" s="603">
        <v>90</v>
      </c>
      <c r="N27" s="603">
        <v>390</v>
      </c>
      <c r="O27" s="603">
        <v>240</v>
      </c>
      <c r="P27" s="603">
        <v>190</v>
      </c>
      <c r="Q27" s="603">
        <v>180</v>
      </c>
      <c r="R27" s="603">
        <v>210</v>
      </c>
      <c r="S27" s="603">
        <v>160</v>
      </c>
      <c r="T27" s="603">
        <v>210</v>
      </c>
      <c r="U27" s="603">
        <v>220</v>
      </c>
      <c r="V27" s="603">
        <v>200</v>
      </c>
      <c r="W27" s="603">
        <v>170</v>
      </c>
      <c r="X27" s="603">
        <v>100</v>
      </c>
      <c r="Y27" s="603">
        <v>160</v>
      </c>
      <c r="Z27" s="603">
        <v>300</v>
      </c>
      <c r="AA27" s="603">
        <v>210</v>
      </c>
      <c r="AB27" s="603">
        <v>630</v>
      </c>
      <c r="AC27" s="603">
        <v>780</v>
      </c>
      <c r="AD27" s="603">
        <v>690</v>
      </c>
      <c r="AE27" s="603">
        <v>350</v>
      </c>
      <c r="AF27" s="603">
        <v>800</v>
      </c>
      <c r="AG27" s="513"/>
      <c r="AH27" s="596">
        <f t="shared" si="15"/>
        <v>8620</v>
      </c>
    </row>
    <row r="28" spans="1:135" s="1" customFormat="1" ht="33.9" customHeight="1" x14ac:dyDescent="0.25">
      <c r="A28" s="588" t="s">
        <v>23</v>
      </c>
      <c r="B28" s="600">
        <v>270</v>
      </c>
      <c r="C28" s="600">
        <v>230</v>
      </c>
      <c r="D28" s="600">
        <v>230</v>
      </c>
      <c r="E28" s="600">
        <v>230</v>
      </c>
      <c r="F28" s="600">
        <v>350</v>
      </c>
      <c r="G28" s="600">
        <v>330</v>
      </c>
      <c r="H28" s="600">
        <v>310</v>
      </c>
      <c r="I28" s="600">
        <v>310</v>
      </c>
      <c r="J28" s="600">
        <v>310</v>
      </c>
      <c r="K28" s="600">
        <v>250</v>
      </c>
      <c r="L28" s="600">
        <v>310</v>
      </c>
      <c r="M28" s="600">
        <v>330</v>
      </c>
      <c r="N28" s="600">
        <v>250</v>
      </c>
      <c r="O28" s="600">
        <v>340</v>
      </c>
      <c r="P28" s="600">
        <v>360</v>
      </c>
      <c r="Q28" s="600">
        <v>270</v>
      </c>
      <c r="R28" s="600">
        <v>260</v>
      </c>
      <c r="S28" s="600">
        <v>210</v>
      </c>
      <c r="T28" s="600">
        <v>260</v>
      </c>
      <c r="U28" s="600">
        <v>300</v>
      </c>
      <c r="V28" s="600">
        <v>300</v>
      </c>
      <c r="W28" s="600">
        <v>260</v>
      </c>
      <c r="X28" s="600">
        <v>180</v>
      </c>
      <c r="Y28" s="600">
        <v>200</v>
      </c>
      <c r="Z28" s="600">
        <v>190</v>
      </c>
      <c r="AA28" s="600">
        <v>180</v>
      </c>
      <c r="AB28" s="600">
        <v>180</v>
      </c>
      <c r="AC28" s="600">
        <v>140</v>
      </c>
      <c r="AD28" s="600">
        <v>130</v>
      </c>
      <c r="AE28" s="600">
        <v>100</v>
      </c>
      <c r="AF28" s="600">
        <v>140</v>
      </c>
      <c r="AG28" s="522"/>
      <c r="AH28" s="594">
        <f t="shared" si="15"/>
        <v>7710</v>
      </c>
    </row>
    <row r="29" spans="1:135" s="1" customFormat="1" ht="33.9" customHeight="1" x14ac:dyDescent="0.25">
      <c r="A29" s="590" t="s">
        <v>26</v>
      </c>
      <c r="B29" s="602">
        <v>210</v>
      </c>
      <c r="C29" s="602">
        <v>180</v>
      </c>
      <c r="D29" s="602">
        <v>180</v>
      </c>
      <c r="E29" s="602">
        <v>180</v>
      </c>
      <c r="F29" s="602">
        <v>270</v>
      </c>
      <c r="G29" s="602">
        <v>250</v>
      </c>
      <c r="H29" s="602">
        <v>240</v>
      </c>
      <c r="I29" s="602">
        <v>240</v>
      </c>
      <c r="J29" s="602">
        <v>240</v>
      </c>
      <c r="K29" s="602">
        <v>190</v>
      </c>
      <c r="L29" s="602">
        <v>240</v>
      </c>
      <c r="M29" s="602">
        <v>250</v>
      </c>
      <c r="N29" s="602">
        <v>190</v>
      </c>
      <c r="O29" s="602">
        <v>260</v>
      </c>
      <c r="P29" s="602">
        <v>280</v>
      </c>
      <c r="Q29" s="602">
        <v>210</v>
      </c>
      <c r="R29" s="602">
        <v>200</v>
      </c>
      <c r="S29" s="602">
        <v>160</v>
      </c>
      <c r="T29" s="602">
        <v>200</v>
      </c>
      <c r="U29" s="602">
        <v>230</v>
      </c>
      <c r="V29" s="602">
        <v>230</v>
      </c>
      <c r="W29" s="602">
        <v>200</v>
      </c>
      <c r="X29" s="602">
        <v>140</v>
      </c>
      <c r="Y29" s="602">
        <v>150</v>
      </c>
      <c r="Z29" s="602">
        <v>130</v>
      </c>
      <c r="AA29" s="602">
        <v>140</v>
      </c>
      <c r="AB29" s="602">
        <v>140</v>
      </c>
      <c r="AC29" s="602">
        <v>110</v>
      </c>
      <c r="AD29" s="602">
        <v>100</v>
      </c>
      <c r="AE29" s="602">
        <v>80</v>
      </c>
      <c r="AF29" s="602">
        <v>110</v>
      </c>
      <c r="AG29" s="522"/>
      <c r="AH29" s="595">
        <f t="shared" si="15"/>
        <v>5930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600">
        <v>30</v>
      </c>
      <c r="C30" s="600">
        <v>0</v>
      </c>
      <c r="D30" s="600">
        <v>10</v>
      </c>
      <c r="E30" s="600">
        <v>0</v>
      </c>
      <c r="F30" s="600">
        <v>0</v>
      </c>
      <c r="G30" s="600">
        <v>0</v>
      </c>
      <c r="H30" s="600">
        <v>0</v>
      </c>
      <c r="I30" s="600">
        <v>0</v>
      </c>
      <c r="J30" s="600">
        <v>0</v>
      </c>
      <c r="K30" s="600">
        <v>0</v>
      </c>
      <c r="L30" s="600">
        <v>10</v>
      </c>
      <c r="M30" s="600">
        <v>0</v>
      </c>
      <c r="N30" s="600">
        <v>0</v>
      </c>
      <c r="O30" s="600">
        <v>0</v>
      </c>
      <c r="P30" s="600">
        <v>0</v>
      </c>
      <c r="Q30" s="600">
        <v>0</v>
      </c>
      <c r="R30" s="600">
        <v>0</v>
      </c>
      <c r="S30" s="600">
        <v>0</v>
      </c>
      <c r="T30" s="600">
        <v>0</v>
      </c>
      <c r="U30" s="600">
        <v>0</v>
      </c>
      <c r="V30" s="600">
        <v>0</v>
      </c>
      <c r="W30" s="600">
        <v>0</v>
      </c>
      <c r="X30" s="600">
        <v>0</v>
      </c>
      <c r="Y30" s="600">
        <v>0</v>
      </c>
      <c r="Z30" s="600">
        <v>0</v>
      </c>
      <c r="AA30" s="600">
        <v>0</v>
      </c>
      <c r="AB30" s="600">
        <v>35</v>
      </c>
      <c r="AC30" s="600">
        <v>150</v>
      </c>
      <c r="AD30" s="600">
        <v>50</v>
      </c>
      <c r="AE30" s="600">
        <v>1000</v>
      </c>
      <c r="AF30" s="600">
        <v>50</v>
      </c>
      <c r="AG30" s="522"/>
      <c r="AH30" s="594">
        <f t="shared" si="15"/>
        <v>1335</v>
      </c>
    </row>
    <row r="31" spans="1:135" s="3" customFormat="1" ht="33.75" customHeight="1" x14ac:dyDescent="0.25">
      <c r="A31" s="590" t="s">
        <v>25</v>
      </c>
      <c r="B31" s="602">
        <v>200</v>
      </c>
      <c r="C31" s="602">
        <v>240</v>
      </c>
      <c r="D31" s="602">
        <v>150</v>
      </c>
      <c r="E31" s="602">
        <v>240</v>
      </c>
      <c r="F31" s="602">
        <v>290</v>
      </c>
      <c r="G31" s="602">
        <v>210</v>
      </c>
      <c r="H31" s="602">
        <v>300</v>
      </c>
      <c r="I31" s="602">
        <v>350</v>
      </c>
      <c r="J31" s="602">
        <v>290</v>
      </c>
      <c r="K31" s="602">
        <v>230</v>
      </c>
      <c r="L31" s="602">
        <v>330</v>
      </c>
      <c r="M31" s="602">
        <v>320</v>
      </c>
      <c r="N31" s="602">
        <v>240</v>
      </c>
      <c r="O31" s="602">
        <v>200</v>
      </c>
      <c r="P31" s="602">
        <v>200</v>
      </c>
      <c r="Q31" s="602">
        <v>300</v>
      </c>
      <c r="R31" s="602">
        <v>380</v>
      </c>
      <c r="S31" s="602">
        <v>270</v>
      </c>
      <c r="T31" s="602">
        <v>270</v>
      </c>
      <c r="U31" s="602">
        <v>320</v>
      </c>
      <c r="V31" s="602">
        <v>350</v>
      </c>
      <c r="W31" s="602">
        <v>350</v>
      </c>
      <c r="X31" s="602">
        <v>170</v>
      </c>
      <c r="Y31" s="602">
        <v>320</v>
      </c>
      <c r="Z31" s="602">
        <v>370</v>
      </c>
      <c r="AA31" s="602">
        <v>230</v>
      </c>
      <c r="AB31" s="602">
        <v>260</v>
      </c>
      <c r="AC31" s="602">
        <v>220</v>
      </c>
      <c r="AD31" s="602">
        <v>230</v>
      </c>
      <c r="AE31" s="602">
        <v>190</v>
      </c>
      <c r="AF31" s="602">
        <v>340</v>
      </c>
      <c r="AG31" s="522"/>
      <c r="AH31" s="595">
        <f t="shared" si="15"/>
        <v>8360</v>
      </c>
    </row>
    <row r="32" spans="1:135" s="514" customFormat="1" ht="33.9" customHeight="1" x14ac:dyDescent="0.25">
      <c r="A32" s="592" t="s">
        <v>30</v>
      </c>
      <c r="B32" s="603">
        <v>710</v>
      </c>
      <c r="C32" s="603">
        <v>650</v>
      </c>
      <c r="D32" s="603">
        <v>570</v>
      </c>
      <c r="E32" s="603">
        <v>650</v>
      </c>
      <c r="F32" s="603">
        <v>910</v>
      </c>
      <c r="G32" s="603">
        <v>790</v>
      </c>
      <c r="H32" s="603">
        <v>850</v>
      </c>
      <c r="I32" s="603">
        <v>900</v>
      </c>
      <c r="J32" s="603">
        <v>840</v>
      </c>
      <c r="K32" s="603">
        <v>670</v>
      </c>
      <c r="L32" s="603">
        <v>890</v>
      </c>
      <c r="M32" s="603">
        <v>900</v>
      </c>
      <c r="N32" s="603">
        <v>680</v>
      </c>
      <c r="O32" s="603">
        <v>800</v>
      </c>
      <c r="P32" s="603">
        <v>840</v>
      </c>
      <c r="Q32" s="603">
        <v>780</v>
      </c>
      <c r="R32" s="603">
        <v>840</v>
      </c>
      <c r="S32" s="603">
        <v>640</v>
      </c>
      <c r="T32" s="603">
        <v>730</v>
      </c>
      <c r="U32" s="603">
        <v>850</v>
      </c>
      <c r="V32" s="603">
        <v>880</v>
      </c>
      <c r="W32" s="603">
        <v>810</v>
      </c>
      <c r="X32" s="603">
        <v>490</v>
      </c>
      <c r="Y32" s="603">
        <v>670</v>
      </c>
      <c r="Z32" s="603">
        <v>690</v>
      </c>
      <c r="AA32" s="603">
        <v>550</v>
      </c>
      <c r="AB32" s="603">
        <v>615</v>
      </c>
      <c r="AC32" s="603">
        <v>620</v>
      </c>
      <c r="AD32" s="603">
        <v>510</v>
      </c>
      <c r="AE32" s="603">
        <v>1370</v>
      </c>
      <c r="AF32" s="603">
        <v>640</v>
      </c>
      <c r="AG32" s="513"/>
      <c r="AH32" s="596">
        <f t="shared" si="15"/>
        <v>23335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+B32+B27+B24</f>
        <v>10450</v>
      </c>
      <c r="C34" s="599">
        <f t="shared" ref="C34:AF34" si="16">+C32+C27+C24</f>
        <v>10380</v>
      </c>
      <c r="D34" s="599">
        <f t="shared" si="16"/>
        <v>10190</v>
      </c>
      <c r="E34" s="599">
        <f t="shared" si="16"/>
        <v>10150</v>
      </c>
      <c r="F34" s="599">
        <f t="shared" si="16"/>
        <v>12940</v>
      </c>
      <c r="G34" s="599">
        <f t="shared" si="16"/>
        <v>14840</v>
      </c>
      <c r="H34" s="599">
        <f t="shared" si="16"/>
        <v>14670</v>
      </c>
      <c r="I34" s="599">
        <f t="shared" si="16"/>
        <v>14350</v>
      </c>
      <c r="J34" s="599">
        <f t="shared" si="16"/>
        <v>12740</v>
      </c>
      <c r="K34" s="599">
        <f t="shared" si="16"/>
        <v>11570</v>
      </c>
      <c r="L34" s="599">
        <f t="shared" si="16"/>
        <v>13090</v>
      </c>
      <c r="M34" s="599">
        <f t="shared" si="16"/>
        <v>15290</v>
      </c>
      <c r="N34" s="599">
        <f t="shared" si="16"/>
        <v>15270</v>
      </c>
      <c r="O34" s="599">
        <f t="shared" si="16"/>
        <v>15040</v>
      </c>
      <c r="P34" s="599">
        <f t="shared" si="16"/>
        <v>14530</v>
      </c>
      <c r="Q34" s="599">
        <f t="shared" si="16"/>
        <v>14160</v>
      </c>
      <c r="R34" s="599">
        <f t="shared" si="16"/>
        <v>12450</v>
      </c>
      <c r="S34" s="599">
        <f t="shared" si="16"/>
        <v>11100</v>
      </c>
      <c r="T34" s="599">
        <f t="shared" si="16"/>
        <v>13640</v>
      </c>
      <c r="U34" s="599">
        <f t="shared" si="16"/>
        <v>14870</v>
      </c>
      <c r="V34" s="599">
        <f t="shared" si="16"/>
        <v>14080</v>
      </c>
      <c r="W34" s="599">
        <f t="shared" si="16"/>
        <v>13280</v>
      </c>
      <c r="X34" s="599">
        <f t="shared" si="16"/>
        <v>10090</v>
      </c>
      <c r="Y34" s="599">
        <f t="shared" si="16"/>
        <v>10030</v>
      </c>
      <c r="Z34" s="599">
        <f t="shared" si="16"/>
        <v>9790</v>
      </c>
      <c r="AA34" s="599">
        <f t="shared" si="16"/>
        <v>11560</v>
      </c>
      <c r="AB34" s="599">
        <f t="shared" si="16"/>
        <v>13845</v>
      </c>
      <c r="AC34" s="599">
        <f t="shared" si="16"/>
        <v>12200</v>
      </c>
      <c r="AD34" s="599">
        <f t="shared" si="16"/>
        <v>10200</v>
      </c>
      <c r="AE34" s="599">
        <f t="shared" si="16"/>
        <v>7620</v>
      </c>
      <c r="AF34" s="599">
        <f t="shared" si="16"/>
        <v>7440</v>
      </c>
      <c r="AG34" s="586"/>
      <c r="AH34" s="597">
        <f>SUM(B34:AF34)</f>
        <v>381855</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3" customHeight="1" x14ac:dyDescent="0.4">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
      <c r="AH36" s="2"/>
    </row>
    <row r="37" spans="1:256" s="544" customFormat="1" ht="21.9" customHeight="1" x14ac:dyDescent="0.4">
      <c r="A37" s="540" t="s">
        <v>17</v>
      </c>
      <c r="B37" s="541">
        <v>0.9194444444444444</v>
      </c>
      <c r="C37" s="541">
        <v>0.91805555555555562</v>
      </c>
      <c r="D37" s="541">
        <v>0.91736111111111107</v>
      </c>
      <c r="E37" s="541">
        <v>0.9159722222222223</v>
      </c>
      <c r="F37" s="541">
        <v>0.91527777777777775</v>
      </c>
      <c r="G37" s="541">
        <v>0.91388888888888886</v>
      </c>
      <c r="H37" s="541">
        <v>0.91249999999999998</v>
      </c>
      <c r="I37" s="541">
        <v>0.95347222222222217</v>
      </c>
      <c r="J37" s="541">
        <v>0.91041666666666676</v>
      </c>
      <c r="K37" s="541">
        <v>0.90902777777777777</v>
      </c>
      <c r="L37" s="541">
        <v>0.90763888888888899</v>
      </c>
      <c r="M37" s="541">
        <v>0.90694444444444444</v>
      </c>
      <c r="N37" s="541">
        <v>0.90555555555555556</v>
      </c>
      <c r="O37" s="541">
        <v>0.90416666666666667</v>
      </c>
      <c r="P37" s="541">
        <v>0.90277777777777779</v>
      </c>
      <c r="Q37" s="541">
        <v>0.90208333333333324</v>
      </c>
      <c r="R37" s="541">
        <v>0.90069444444444446</v>
      </c>
      <c r="S37" s="541">
        <v>0.89930555555555547</v>
      </c>
      <c r="T37" s="541">
        <v>0.8979166666666667</v>
      </c>
      <c r="U37" s="541">
        <v>0.8965277777777777</v>
      </c>
      <c r="V37" s="541">
        <v>0.89513888888888893</v>
      </c>
      <c r="W37" s="541">
        <v>0.89374999999999993</v>
      </c>
      <c r="X37" s="541">
        <v>0.89236111111111116</v>
      </c>
      <c r="Y37" s="541">
        <v>0.89166666666666661</v>
      </c>
      <c r="Z37" s="541">
        <v>0.89027777777777783</v>
      </c>
      <c r="AA37" s="541">
        <v>0.88888888888888884</v>
      </c>
      <c r="AB37" s="541">
        <v>0.88750000000000007</v>
      </c>
      <c r="AC37" s="541">
        <v>0.88611111111111107</v>
      </c>
      <c r="AD37" s="541">
        <v>0.8847222222222223</v>
      </c>
      <c r="AE37" s="541">
        <v>0.8833333333333333</v>
      </c>
      <c r="AF37" s="541">
        <v>0.88194444444444453</v>
      </c>
      <c r="AG37" s="542"/>
      <c r="AH37" s="543"/>
    </row>
    <row r="38" spans="1:256" s="544" customFormat="1" ht="21.9" customHeight="1" x14ac:dyDescent="0.4">
      <c r="A38" s="545" t="s">
        <v>18</v>
      </c>
      <c r="B38" s="546" t="str">
        <f>+IF(B34&lt;=2500,"BF",IF(AND(B34&gt;2500,B34&lt;=6000),"MF",IF(AND(B34&gt;6000,B34&lt;12000),"HF","THF")))</f>
        <v>HF</v>
      </c>
      <c r="C38" s="546" t="str">
        <f t="shared" ref="C38:AF38" si="17">+IF(C34&lt;=2500,"BF",IF(AND(C34&gt;2500,C34&lt;=6000),"MF",IF(AND(C34&gt;6000,C34&lt;12000),"HF","THF")))</f>
        <v>HF</v>
      </c>
      <c r="D38" s="546" t="str">
        <f t="shared" si="17"/>
        <v>HF</v>
      </c>
      <c r="E38" s="546" t="str">
        <f t="shared" si="17"/>
        <v>HF</v>
      </c>
      <c r="F38" s="546" t="str">
        <f t="shared" si="17"/>
        <v>THF</v>
      </c>
      <c r="G38" s="546" t="str">
        <f t="shared" si="17"/>
        <v>THF</v>
      </c>
      <c r="H38" s="546" t="str">
        <f t="shared" si="17"/>
        <v>THF</v>
      </c>
      <c r="I38" s="546" t="str">
        <f t="shared" si="17"/>
        <v>THF</v>
      </c>
      <c r="J38" s="546" t="str">
        <f t="shared" si="17"/>
        <v>THF</v>
      </c>
      <c r="K38" s="546" t="str">
        <f t="shared" si="17"/>
        <v>HF</v>
      </c>
      <c r="L38" s="546" t="str">
        <f t="shared" si="17"/>
        <v>THF</v>
      </c>
      <c r="M38" s="546" t="str">
        <f t="shared" si="17"/>
        <v>THF</v>
      </c>
      <c r="N38" s="546" t="str">
        <f t="shared" si="17"/>
        <v>THF</v>
      </c>
      <c r="O38" s="546" t="str">
        <f t="shared" si="17"/>
        <v>THF</v>
      </c>
      <c r="P38" s="546" t="str">
        <f t="shared" si="17"/>
        <v>THF</v>
      </c>
      <c r="Q38" s="546" t="str">
        <f t="shared" si="17"/>
        <v>THF</v>
      </c>
      <c r="R38" s="546" t="str">
        <f t="shared" si="17"/>
        <v>THF</v>
      </c>
      <c r="S38" s="546" t="str">
        <f t="shared" si="17"/>
        <v>HF</v>
      </c>
      <c r="T38" s="546" t="str">
        <f t="shared" si="17"/>
        <v>THF</v>
      </c>
      <c r="U38" s="546" t="str">
        <f t="shared" si="17"/>
        <v>THF</v>
      </c>
      <c r="V38" s="546" t="str">
        <f t="shared" si="17"/>
        <v>THF</v>
      </c>
      <c r="W38" s="546" t="str">
        <f t="shared" si="17"/>
        <v>THF</v>
      </c>
      <c r="X38" s="546" t="str">
        <f t="shared" si="17"/>
        <v>HF</v>
      </c>
      <c r="Y38" s="546" t="str">
        <f t="shared" si="17"/>
        <v>HF</v>
      </c>
      <c r="Z38" s="546" t="str">
        <f t="shared" si="17"/>
        <v>HF</v>
      </c>
      <c r="AA38" s="546" t="str">
        <f t="shared" si="17"/>
        <v>HF</v>
      </c>
      <c r="AB38" s="546" t="str">
        <f t="shared" si="17"/>
        <v>THF</v>
      </c>
      <c r="AC38" s="546" t="str">
        <f t="shared" si="17"/>
        <v>THF</v>
      </c>
      <c r="AD38" s="546" t="str">
        <f t="shared" si="17"/>
        <v>HF</v>
      </c>
      <c r="AE38" s="546" t="str">
        <f t="shared" si="17"/>
        <v>HF</v>
      </c>
      <c r="AF38" s="546" t="str">
        <f t="shared" si="17"/>
        <v>HF</v>
      </c>
      <c r="AG38" s="547"/>
      <c r="AH38" s="543"/>
    </row>
    <row r="39" spans="1:256" s="43" customFormat="1" ht="3" customHeight="1" x14ac:dyDescent="0.4">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0">
        <f>+B34-B30</f>
        <v>10420</v>
      </c>
      <c r="C41" s="480">
        <f t="shared" ref="C41:AF41" si="18">+C34-C30</f>
        <v>10380</v>
      </c>
      <c r="D41" s="480">
        <f t="shared" si="18"/>
        <v>10180</v>
      </c>
      <c r="E41" s="480">
        <f t="shared" si="18"/>
        <v>10150</v>
      </c>
      <c r="F41" s="480">
        <f t="shared" si="18"/>
        <v>12940</v>
      </c>
      <c r="G41" s="480">
        <f t="shared" si="18"/>
        <v>14840</v>
      </c>
      <c r="H41" s="480">
        <f t="shared" si="18"/>
        <v>14670</v>
      </c>
      <c r="I41" s="480">
        <f t="shared" si="18"/>
        <v>14350</v>
      </c>
      <c r="J41" s="480">
        <f t="shared" si="18"/>
        <v>12740</v>
      </c>
      <c r="K41" s="480">
        <f t="shared" si="18"/>
        <v>11570</v>
      </c>
      <c r="L41" s="480">
        <f t="shared" si="18"/>
        <v>13080</v>
      </c>
      <c r="M41" s="480">
        <f t="shared" si="18"/>
        <v>15290</v>
      </c>
      <c r="N41" s="480">
        <f t="shared" si="18"/>
        <v>15270</v>
      </c>
      <c r="O41" s="480">
        <f t="shared" si="18"/>
        <v>15040</v>
      </c>
      <c r="P41" s="480">
        <f t="shared" si="18"/>
        <v>14530</v>
      </c>
      <c r="Q41" s="480">
        <f t="shared" si="18"/>
        <v>14160</v>
      </c>
      <c r="R41" s="480">
        <f t="shared" si="18"/>
        <v>12450</v>
      </c>
      <c r="S41" s="480">
        <f t="shared" si="18"/>
        <v>11100</v>
      </c>
      <c r="T41" s="480">
        <f t="shared" si="18"/>
        <v>13640</v>
      </c>
      <c r="U41" s="480">
        <f t="shared" si="18"/>
        <v>14870</v>
      </c>
      <c r="V41" s="480">
        <f t="shared" si="18"/>
        <v>14080</v>
      </c>
      <c r="W41" s="480">
        <f t="shared" si="18"/>
        <v>13280</v>
      </c>
      <c r="X41" s="480">
        <f t="shared" si="18"/>
        <v>10090</v>
      </c>
      <c r="Y41" s="480">
        <f t="shared" si="18"/>
        <v>10030</v>
      </c>
      <c r="Z41" s="480">
        <f t="shared" si="18"/>
        <v>9790</v>
      </c>
      <c r="AA41" s="480">
        <f t="shared" si="18"/>
        <v>11560</v>
      </c>
      <c r="AB41" s="480">
        <f t="shared" si="18"/>
        <v>13810</v>
      </c>
      <c r="AC41" s="480">
        <f t="shared" si="18"/>
        <v>12050</v>
      </c>
      <c r="AD41" s="480">
        <f t="shared" si="18"/>
        <v>10150</v>
      </c>
      <c r="AE41" s="480">
        <f t="shared" si="18"/>
        <v>6620</v>
      </c>
      <c r="AF41" s="480">
        <f t="shared" si="18"/>
        <v>7390</v>
      </c>
      <c r="AG41"/>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row>
    <row r="42" spans="1:256" s="1" customFormat="1" ht="15" customHeight="1" x14ac:dyDescent="0.25">
      <c r="A42" s="13"/>
      <c r="B42" s="481">
        <f>+B32-B30</f>
        <v>680</v>
      </c>
      <c r="C42" s="481">
        <f t="shared" ref="C42:AF42" si="19">+C32-C30</f>
        <v>650</v>
      </c>
      <c r="D42" s="481">
        <f t="shared" si="19"/>
        <v>560</v>
      </c>
      <c r="E42" s="481">
        <f t="shared" si="19"/>
        <v>650</v>
      </c>
      <c r="F42" s="481">
        <f t="shared" si="19"/>
        <v>910</v>
      </c>
      <c r="G42" s="481">
        <f t="shared" si="19"/>
        <v>790</v>
      </c>
      <c r="H42" s="481">
        <f t="shared" si="19"/>
        <v>850</v>
      </c>
      <c r="I42" s="481">
        <f t="shared" si="19"/>
        <v>900</v>
      </c>
      <c r="J42" s="481">
        <f t="shared" si="19"/>
        <v>840</v>
      </c>
      <c r="K42" s="481">
        <f t="shared" si="19"/>
        <v>670</v>
      </c>
      <c r="L42" s="481">
        <f t="shared" si="19"/>
        <v>880</v>
      </c>
      <c r="M42" s="481">
        <f t="shared" si="19"/>
        <v>900</v>
      </c>
      <c r="N42" s="481">
        <f t="shared" si="19"/>
        <v>680</v>
      </c>
      <c r="O42" s="481">
        <f t="shared" si="19"/>
        <v>800</v>
      </c>
      <c r="P42" s="481">
        <f t="shared" si="19"/>
        <v>840</v>
      </c>
      <c r="Q42" s="481">
        <f t="shared" si="19"/>
        <v>780</v>
      </c>
      <c r="R42" s="481">
        <f t="shared" si="19"/>
        <v>840</v>
      </c>
      <c r="S42" s="481">
        <f t="shared" si="19"/>
        <v>640</v>
      </c>
      <c r="T42" s="481">
        <f t="shared" si="19"/>
        <v>730</v>
      </c>
      <c r="U42" s="481">
        <f t="shared" si="19"/>
        <v>850</v>
      </c>
      <c r="V42" s="481">
        <f t="shared" si="19"/>
        <v>880</v>
      </c>
      <c r="W42" s="481">
        <f t="shared" si="19"/>
        <v>810</v>
      </c>
      <c r="X42" s="481">
        <f t="shared" si="19"/>
        <v>490</v>
      </c>
      <c r="Y42" s="481">
        <f t="shared" si="19"/>
        <v>670</v>
      </c>
      <c r="Z42" s="481">
        <f t="shared" si="19"/>
        <v>690</v>
      </c>
      <c r="AA42" s="481">
        <f t="shared" si="19"/>
        <v>550</v>
      </c>
      <c r="AB42" s="481">
        <f t="shared" si="19"/>
        <v>580</v>
      </c>
      <c r="AC42" s="481">
        <f t="shared" si="19"/>
        <v>470</v>
      </c>
      <c r="AD42" s="481">
        <f t="shared" si="19"/>
        <v>460</v>
      </c>
      <c r="AE42" s="481">
        <f t="shared" si="19"/>
        <v>370</v>
      </c>
      <c r="AF42" s="481">
        <f t="shared" si="19"/>
        <v>590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20">IF(C9="",0,1)</f>
        <v>1</v>
      </c>
      <c r="D44" s="454">
        <f t="shared" si="20"/>
        <v>1</v>
      </c>
      <c r="E44" s="454">
        <f t="shared" si="20"/>
        <v>1</v>
      </c>
      <c r="F44" s="454">
        <f t="shared" si="20"/>
        <v>1</v>
      </c>
      <c r="G44" s="454">
        <f t="shared" si="20"/>
        <v>1</v>
      </c>
      <c r="H44" s="454">
        <f t="shared" si="20"/>
        <v>1</v>
      </c>
      <c r="I44" s="454">
        <f t="shared" si="20"/>
        <v>1</v>
      </c>
      <c r="J44" s="454">
        <f t="shared" si="20"/>
        <v>1</v>
      </c>
      <c r="K44" s="454">
        <f t="shared" si="20"/>
        <v>1</v>
      </c>
      <c r="L44" s="454">
        <f t="shared" si="20"/>
        <v>1</v>
      </c>
      <c r="M44" s="454">
        <f t="shared" si="20"/>
        <v>1</v>
      </c>
      <c r="N44" s="454">
        <f t="shared" si="20"/>
        <v>1</v>
      </c>
      <c r="O44" s="454">
        <f t="shared" si="20"/>
        <v>1</v>
      </c>
      <c r="P44" s="454">
        <f t="shared" si="20"/>
        <v>1</v>
      </c>
      <c r="Q44" s="454">
        <f t="shared" si="20"/>
        <v>1</v>
      </c>
      <c r="R44" s="454">
        <f t="shared" si="20"/>
        <v>1</v>
      </c>
      <c r="S44" s="454">
        <f t="shared" si="20"/>
        <v>1</v>
      </c>
      <c r="T44" s="454">
        <f t="shared" si="20"/>
        <v>1</v>
      </c>
      <c r="U44" s="454">
        <f t="shared" si="20"/>
        <v>1</v>
      </c>
      <c r="V44" s="454">
        <f t="shared" si="20"/>
        <v>1</v>
      </c>
      <c r="W44" s="454">
        <f t="shared" si="20"/>
        <v>1</v>
      </c>
      <c r="X44" s="454">
        <f t="shared" si="20"/>
        <v>1</v>
      </c>
      <c r="Y44" s="454">
        <f t="shared" si="20"/>
        <v>1</v>
      </c>
      <c r="Z44" s="454">
        <f t="shared" si="20"/>
        <v>1</v>
      </c>
      <c r="AA44" s="454">
        <f t="shared" si="20"/>
        <v>1</v>
      </c>
      <c r="AB44" s="454">
        <f t="shared" si="20"/>
        <v>1</v>
      </c>
      <c r="AC44" s="454">
        <f t="shared" si="20"/>
        <v>1</v>
      </c>
      <c r="AD44" s="454">
        <f t="shared" si="20"/>
        <v>1</v>
      </c>
      <c r="AE44" s="454">
        <f t="shared" si="20"/>
        <v>1</v>
      </c>
      <c r="AF44" s="454">
        <f t="shared" si="20"/>
        <v>1</v>
      </c>
      <c r="AG44" s="1"/>
      <c r="AH44" s="563">
        <f>SUM(B44:AF44)</f>
        <v>31</v>
      </c>
    </row>
    <row r="45" spans="1:256" s="561"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c r="EU50" s="13"/>
      <c r="EV50" s="13"/>
      <c r="EW50" s="13"/>
      <c r="EX50" s="13"/>
      <c r="EY50" s="13"/>
      <c r="EZ50" s="13"/>
      <c r="FA50" s="13"/>
      <c r="FB50" s="13"/>
      <c r="FC50" s="13"/>
      <c r="FD50" s="13"/>
      <c r="FE50" s="13"/>
      <c r="FF50" s="13"/>
      <c r="FG50" s="13"/>
      <c r="FH50" s="13"/>
      <c r="FI50" s="13"/>
      <c r="FJ50" s="13"/>
      <c r="FK50" s="13"/>
      <c r="FL50" s="13"/>
      <c r="FM50" s="13"/>
      <c r="FN50" s="13"/>
      <c r="FO50" s="13"/>
      <c r="FP50" s="13"/>
      <c r="FQ50" s="13"/>
      <c r="FR50" s="13"/>
      <c r="FS50" s="13"/>
      <c r="FT50" s="13"/>
      <c r="FU50" s="13"/>
      <c r="FV50" s="13"/>
      <c r="FW50" s="13"/>
      <c r="FX50" s="13"/>
      <c r="FY50" s="13"/>
      <c r="FZ50" s="13"/>
      <c r="GA50" s="13"/>
      <c r="GB50" s="13"/>
      <c r="GC50" s="13"/>
      <c r="GD50" s="13"/>
      <c r="GE50" s="13"/>
      <c r="GF50" s="13"/>
      <c r="GG50" s="13"/>
      <c r="GH50" s="13"/>
      <c r="GI50" s="13"/>
      <c r="GJ50" s="13"/>
      <c r="GK50" s="13"/>
      <c r="GL50" s="13"/>
      <c r="GM50" s="13"/>
      <c r="GN50" s="13"/>
      <c r="GO50" s="13"/>
      <c r="GP50" s="13"/>
      <c r="GQ50" s="13"/>
      <c r="GR50" s="13"/>
      <c r="GS50" s="13"/>
      <c r="GT50" s="13"/>
      <c r="GU50" s="13"/>
      <c r="GV50" s="13"/>
      <c r="GW50" s="13"/>
      <c r="GX50" s="13"/>
      <c r="GY50" s="13"/>
      <c r="GZ50" s="13"/>
      <c r="HA50" s="13"/>
      <c r="HB50" s="13"/>
      <c r="HC50" s="13"/>
      <c r="HD50" s="13"/>
      <c r="HE50" s="13"/>
      <c r="HF50" s="13"/>
      <c r="HG50" s="13"/>
      <c r="HH50" s="13"/>
      <c r="HI50" s="13"/>
      <c r="HJ50" s="13"/>
      <c r="HK50" s="13"/>
      <c r="HL50" s="13"/>
      <c r="HM50" s="13"/>
      <c r="HN50" s="13"/>
      <c r="HO50" s="13"/>
      <c r="HP50" s="13"/>
      <c r="HQ50" s="13"/>
      <c r="HR50" s="13"/>
      <c r="HS50" s="13"/>
      <c r="HT50" s="13"/>
      <c r="HU50" s="13"/>
      <c r="HV50" s="13"/>
      <c r="HW50" s="13"/>
      <c r="HX50" s="13"/>
      <c r="HY50" s="13"/>
      <c r="HZ50" s="13"/>
      <c r="IA50" s="13"/>
      <c r="IB50" s="13"/>
      <c r="IC50" s="13"/>
      <c r="ID50" s="13"/>
      <c r="IE50" s="13"/>
      <c r="IF50" s="13"/>
      <c r="IG50" s="13"/>
      <c r="IH50" s="13"/>
      <c r="II50" s="13"/>
      <c r="IJ50" s="13"/>
      <c r="IK50" s="13"/>
      <c r="IL50" s="13"/>
      <c r="IM50" s="13"/>
      <c r="IN50" s="13"/>
      <c r="IO50" s="13"/>
      <c r="IP50" s="13"/>
      <c r="IQ50" s="13"/>
      <c r="IR50" s="13"/>
      <c r="IS50" s="13"/>
      <c r="IT50" s="13"/>
      <c r="IU50" s="13"/>
      <c r="IV50" s="13"/>
    </row>
    <row r="51" spans="1:256" ht="19.8" x14ac:dyDescent="0.4">
      <c r="A51" s="23"/>
      <c r="B51" s="2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c r="EU51" s="13"/>
      <c r="EV51" s="13"/>
      <c r="EW51" s="13"/>
      <c r="EX51" s="13"/>
      <c r="EY51" s="13"/>
      <c r="EZ51" s="13"/>
      <c r="FA51" s="13"/>
      <c r="FB51" s="13"/>
      <c r="FC51" s="13"/>
      <c r="FD51" s="13"/>
      <c r="FE51" s="13"/>
      <c r="FF51" s="13"/>
      <c r="FG51" s="13"/>
      <c r="FH51" s="13"/>
      <c r="FI51" s="13"/>
      <c r="FJ51" s="13"/>
      <c r="FK51" s="13"/>
      <c r="FL51" s="13"/>
      <c r="FM51" s="13"/>
      <c r="FN51" s="13"/>
      <c r="FO51" s="13"/>
      <c r="FP51" s="13"/>
      <c r="FQ51" s="13"/>
      <c r="FR51" s="13"/>
      <c r="FS51" s="13"/>
      <c r="FT51" s="13"/>
      <c r="FU51" s="13"/>
      <c r="FV51" s="13"/>
      <c r="FW51" s="13"/>
      <c r="FX51" s="13"/>
      <c r="FY51" s="13"/>
      <c r="FZ51" s="13"/>
      <c r="GA51" s="13"/>
      <c r="GB51" s="13"/>
      <c r="GC51" s="13"/>
      <c r="GD51" s="13"/>
      <c r="GE51" s="13"/>
      <c r="GF51" s="13"/>
      <c r="GG51" s="13"/>
      <c r="GH51" s="13"/>
      <c r="GI51" s="13"/>
      <c r="GJ51" s="13"/>
      <c r="GK51" s="13"/>
      <c r="GL51" s="13"/>
      <c r="GM51" s="13"/>
      <c r="GN51" s="13"/>
      <c r="GO51" s="13"/>
      <c r="GP51" s="13"/>
      <c r="GQ51" s="13"/>
      <c r="GR51" s="13"/>
      <c r="GS51" s="13"/>
      <c r="GT51" s="13"/>
      <c r="GU51" s="13"/>
      <c r="GV51" s="13"/>
      <c r="GW51" s="13"/>
      <c r="GX51" s="13"/>
      <c r="GY51" s="13"/>
      <c r="GZ51" s="13"/>
      <c r="HA51" s="13"/>
      <c r="HB51" s="13"/>
      <c r="HC51" s="13"/>
      <c r="HD51" s="13"/>
      <c r="HE51" s="13"/>
      <c r="HF51" s="13"/>
      <c r="HG51" s="13"/>
      <c r="HH51" s="13"/>
      <c r="HI51" s="13"/>
      <c r="HJ51" s="13"/>
      <c r="HK51" s="13"/>
      <c r="HL51" s="13"/>
      <c r="HM51" s="13"/>
      <c r="HN51" s="13"/>
      <c r="HO51" s="13"/>
      <c r="HP51" s="13"/>
      <c r="HQ51" s="13"/>
      <c r="HR51" s="13"/>
      <c r="HS51" s="13"/>
      <c r="HT51" s="13"/>
      <c r="HU51" s="13"/>
      <c r="HV51" s="13"/>
      <c r="HW51" s="13"/>
      <c r="HX51" s="13"/>
      <c r="HY51" s="13"/>
      <c r="HZ51" s="13"/>
      <c r="IA51" s="13"/>
      <c r="IB51" s="13"/>
      <c r="IC51" s="13"/>
      <c r="ID51" s="13"/>
      <c r="IE51" s="13"/>
      <c r="IF51" s="13"/>
      <c r="IG51" s="13"/>
      <c r="IH51" s="13"/>
      <c r="II51" s="13"/>
      <c r="IJ51" s="13"/>
      <c r="IK51" s="13"/>
      <c r="IL51" s="13"/>
      <c r="IM51" s="13"/>
      <c r="IN51" s="13"/>
      <c r="IO51" s="13"/>
      <c r="IP51" s="13"/>
      <c r="IQ51" s="13"/>
      <c r="IR51" s="13"/>
      <c r="IS51" s="13"/>
      <c r="IT51" s="13"/>
      <c r="IU51" s="13"/>
      <c r="IV51" s="13"/>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4"/>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1"/>
      <headerFooter alignWithMargins="0"/>
    </customSheetView>
    <customSheetView guid="{45244E67-D811-4150-BEA1-A7A1C54045A9}" scale="75" showGridLines="0" zeroValues="0" fitToPage="1" hiddenRows="1" hiddenColumns="1" showRuler="0">
      <pane xSplit="1" ySplit="20" topLeftCell="I21" activePane="bottomRight" state="frozen"/>
      <selection pane="bottomRight" activeCell="D9" sqref="D9"/>
      <pageMargins left="0" right="0" top="0" bottom="0" header="0.51181102362204722" footer="0.51181102362204722"/>
      <printOptions horizontalCentered="1" verticalCentered="1"/>
      <pageSetup paperSize="45" scale="50" orientation="landscape" r:id="rId2"/>
      <headerFooter alignWithMargins="0"/>
    </customSheetView>
  </customSheetViews>
  <mergeCells count="1">
    <mergeCell ref="B1:U1"/>
  </mergeCells>
  <phoneticPr fontId="8" type="noConversion"/>
  <conditionalFormatting sqref="A14:A34">
    <cfRule type="expression" dxfId="192" priority="114" stopIfTrue="1">
      <formula>$P14="ALERTE"</formula>
    </cfRule>
  </conditionalFormatting>
  <conditionalFormatting sqref="A45">
    <cfRule type="expression" dxfId="191" priority="3" stopIfTrue="1">
      <formula>$P45="ALERTE"</formula>
    </cfRule>
  </conditionalFormatting>
  <conditionalFormatting sqref="B7">
    <cfRule type="expression" dxfId="190" priority="113" stopIfTrue="1">
      <formula>$BF7="ALERTE"</formula>
    </cfRule>
  </conditionalFormatting>
  <conditionalFormatting sqref="B3:AF5 A3:A10 B35:AF35">
    <cfRule type="expression" dxfId="189" priority="164" stopIfTrue="1">
      <formula>$P3="ALERTE"</formula>
    </cfRule>
  </conditionalFormatting>
  <conditionalFormatting sqref="B6:AF6">
    <cfRule type="expression" dxfId="188" priority="97" stopIfTrue="1">
      <formula>$BI6="ALERTE"</formula>
    </cfRule>
  </conditionalFormatting>
  <conditionalFormatting sqref="B8:AF9">
    <cfRule type="expression" dxfId="187" priority="5" stopIfTrue="1">
      <formula>$BI8="ALERTE"</formula>
    </cfRule>
  </conditionalFormatting>
  <conditionalFormatting sqref="B10:AF10">
    <cfRule type="expression" dxfId="186" priority="4" stopIfTrue="1">
      <formula>$BS10="ALERTE"</formula>
    </cfRule>
  </conditionalFormatting>
  <conditionalFormatting sqref="B14:AF14">
    <cfRule type="expression" dxfId="185" priority="6" stopIfTrue="1">
      <formula>$BI14="ALERTE"</formula>
    </cfRule>
  </conditionalFormatting>
  <conditionalFormatting sqref="B15:AF21">
    <cfRule type="expression" dxfId="184" priority="7" stopIfTrue="1">
      <formula>$P15="ALERTE"</formula>
    </cfRule>
  </conditionalFormatting>
  <conditionalFormatting sqref="B38:AF38">
    <cfRule type="cellIs" dxfId="183" priority="102" stopIfTrue="1" operator="equal">
      <formula>"THF"</formula>
    </cfRule>
    <cfRule type="cellIs" dxfId="182" priority="103" stopIfTrue="1" operator="equal">
      <formula>"HF"</formula>
    </cfRule>
    <cfRule type="cellIs" dxfId="181" priority="104" stopIfTrue="1" operator="equal">
      <formula>"MF"</formula>
    </cfRule>
  </conditionalFormatting>
  <conditionalFormatting sqref="B40:AF40">
    <cfRule type="cellIs" dxfId="180" priority="168" stopIfTrue="1" operator="equal">
      <formula>"THF"</formula>
    </cfRule>
    <cfRule type="cellIs" dxfId="179" priority="169" stopIfTrue="1" operator="equal">
      <formula>"HF"</formula>
    </cfRule>
    <cfRule type="cellIs" dxfId="178" priority="170" stopIfTrue="1" operator="equal">
      <formula>"MF"</formula>
    </cfRule>
  </conditionalFormatting>
  <conditionalFormatting sqref="B44:AF44">
    <cfRule type="expression" dxfId="177" priority="110" stopIfTrue="1">
      <formula>$P44="ALERTE"</formula>
    </cfRule>
  </conditionalFormatting>
  <conditionalFormatting sqref="B45:AF45">
    <cfRule type="expression" dxfId="176" priority="1" stopIfTrue="1">
      <formula>$BI45="ALERTE"</formula>
    </cfRule>
  </conditionalFormatting>
  <conditionalFormatting sqref="C7:AF7">
    <cfRule type="expression" dxfId="175" priority="129" stopIfTrue="1">
      <formula>$AY7="ALERTE"</formula>
    </cfRule>
  </conditionalFormatting>
  <conditionalFormatting sqref="AH6:AH10">
    <cfRule type="expression" dxfId="174" priority="111" stopIfTrue="1">
      <formula>$BI6="ALERTE"</formula>
    </cfRule>
  </conditionalFormatting>
  <conditionalFormatting sqref="AH14">
    <cfRule type="expression" dxfId="173" priority="116" stopIfTrue="1">
      <formula>$BI14="ALERTE"</formula>
    </cfRule>
  </conditionalFormatting>
  <conditionalFormatting sqref="AH15:AH16">
    <cfRule type="expression" dxfId="172" priority="115" stopIfTrue="1">
      <formula>$P15="ALERTE"</formula>
    </cfRule>
  </conditionalFormatting>
  <conditionalFormatting sqref="AH45">
    <cfRule type="expression" dxfId="171" priority="2" stopIfTrue="1">
      <formula>$BI45="ALERTE"</formula>
    </cfRule>
  </conditionalFormatting>
  <printOptions horizontalCentered="1" verticalCentered="1"/>
  <pageMargins left="0" right="0" top="0" bottom="0" header="0.51181102362204722" footer="0.51181102362204722"/>
  <pageSetup paperSize="9" scale="51" orientation="landscape" r:id="rId3"/>
  <headerFooter alignWithMargins="0">
    <oddFooter xml:space="preserve">&amp;Rimprimé le &amp;D à &amp;T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5">
    <pageSetUpPr fitToPage="1"/>
  </sheetPr>
  <dimension ref="A1:IV81"/>
  <sheetViews>
    <sheetView showGridLines="0" showZeros="0" zoomScale="80" zoomScaleNormal="80" workbookViewId="0">
      <pane xSplit="1" ySplit="20" topLeftCell="B29" activePane="bottomRight" state="frozen"/>
      <selection activeCell="AF45" sqref="B45:AF45"/>
      <selection pane="topRight" activeCell="AF45" sqref="B45:AF45"/>
      <selection pane="bottomLeft" activeCell="AF45" sqref="B45:AF45"/>
      <selection pane="bottomRight" activeCell="Y22" sqref="Y22:AE32"/>
    </sheetView>
  </sheetViews>
  <sheetFormatPr baseColWidth="10" defaultColWidth="0" defaultRowHeight="16.8" x14ac:dyDescent="0.4"/>
  <cols>
    <col min="1" max="1" width="26.33203125" style="10" customWidth="1"/>
    <col min="2" max="2" width="8.5546875" style="8" bestFit="1" customWidth="1"/>
    <col min="3" max="3" width="7.44140625" style="8" bestFit="1" customWidth="1"/>
    <col min="4" max="32" width="8.6640625" style="8" customWidth="1"/>
    <col min="33" max="33" width="2.6640625" style="8" customWidth="1"/>
    <col min="34" max="34" width="16.88671875" style="2" customWidth="1"/>
    <col min="35" max="16384" width="0" style="8" hidden="1"/>
  </cols>
  <sheetData>
    <row r="1" spans="1:135" s="499" customFormat="1" ht="42.75" customHeight="1" x14ac:dyDescent="0.25">
      <c r="A1" s="641">
        <v>45536</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33" t="s">
        <v>0</v>
      </c>
      <c r="B3" s="634">
        <f>+A1</f>
        <v>45536</v>
      </c>
      <c r="C3" s="634">
        <f t="shared" ref="C3:AE3" si="0">+B3+1</f>
        <v>45537</v>
      </c>
      <c r="D3" s="634">
        <f t="shared" si="0"/>
        <v>45538</v>
      </c>
      <c r="E3" s="634">
        <f t="shared" si="0"/>
        <v>45539</v>
      </c>
      <c r="F3" s="634">
        <f t="shared" si="0"/>
        <v>45540</v>
      </c>
      <c r="G3" s="634">
        <f t="shared" si="0"/>
        <v>45541</v>
      </c>
      <c r="H3" s="634">
        <f t="shared" si="0"/>
        <v>45542</v>
      </c>
      <c r="I3" s="634">
        <f t="shared" si="0"/>
        <v>45543</v>
      </c>
      <c r="J3" s="634">
        <f t="shared" si="0"/>
        <v>45544</v>
      </c>
      <c r="K3" s="634">
        <f t="shared" si="0"/>
        <v>45545</v>
      </c>
      <c r="L3" s="634">
        <f t="shared" si="0"/>
        <v>45546</v>
      </c>
      <c r="M3" s="634">
        <f t="shared" si="0"/>
        <v>45547</v>
      </c>
      <c r="N3" s="634">
        <f t="shared" si="0"/>
        <v>45548</v>
      </c>
      <c r="O3" s="634">
        <f t="shared" si="0"/>
        <v>45549</v>
      </c>
      <c r="P3" s="634">
        <f t="shared" si="0"/>
        <v>45550</v>
      </c>
      <c r="Q3" s="634">
        <f t="shared" si="0"/>
        <v>45551</v>
      </c>
      <c r="R3" s="634">
        <f t="shared" si="0"/>
        <v>45552</v>
      </c>
      <c r="S3" s="634">
        <f t="shared" si="0"/>
        <v>45553</v>
      </c>
      <c r="T3" s="634">
        <f t="shared" si="0"/>
        <v>45554</v>
      </c>
      <c r="U3" s="634">
        <f t="shared" si="0"/>
        <v>45555</v>
      </c>
      <c r="V3" s="634">
        <f t="shared" si="0"/>
        <v>45556</v>
      </c>
      <c r="W3" s="634">
        <f t="shared" si="0"/>
        <v>45557</v>
      </c>
      <c r="X3" s="634">
        <f t="shared" si="0"/>
        <v>45558</v>
      </c>
      <c r="Y3" s="634">
        <f t="shared" si="0"/>
        <v>45559</v>
      </c>
      <c r="Z3" s="634">
        <f t="shared" si="0"/>
        <v>45560</v>
      </c>
      <c r="AA3" s="634">
        <f t="shared" si="0"/>
        <v>45561</v>
      </c>
      <c r="AB3" s="634">
        <f t="shared" si="0"/>
        <v>45562</v>
      </c>
      <c r="AC3" s="634">
        <f t="shared" si="0"/>
        <v>45563</v>
      </c>
      <c r="AD3" s="634">
        <f t="shared" si="0"/>
        <v>45564</v>
      </c>
      <c r="AE3" s="634">
        <f t="shared" si="0"/>
        <v>45565</v>
      </c>
      <c r="AF3" s="634">
        <f t="shared" ref="C3:AF4" si="1">+AE3+1</f>
        <v>45566</v>
      </c>
      <c r="AG3" s="158"/>
      <c r="AH3" s="158"/>
    </row>
    <row r="4" spans="1:135" s="157" customFormat="1" ht="20.100000000000001" customHeight="1" x14ac:dyDescent="0.25">
      <c r="A4" s="527" t="s">
        <v>1</v>
      </c>
      <c r="B4" s="531">
        <f>+A1</f>
        <v>45536</v>
      </c>
      <c r="C4" s="531">
        <f t="shared" si="1"/>
        <v>45537</v>
      </c>
      <c r="D4" s="531">
        <f t="shared" si="1"/>
        <v>45538</v>
      </c>
      <c r="E4" s="531">
        <f t="shared" si="1"/>
        <v>45539</v>
      </c>
      <c r="F4" s="531">
        <f t="shared" si="1"/>
        <v>45540</v>
      </c>
      <c r="G4" s="531">
        <f t="shared" si="1"/>
        <v>45541</v>
      </c>
      <c r="H4" s="531">
        <f t="shared" si="1"/>
        <v>45542</v>
      </c>
      <c r="I4" s="531">
        <f t="shared" si="1"/>
        <v>45543</v>
      </c>
      <c r="J4" s="531">
        <f t="shared" si="1"/>
        <v>45544</v>
      </c>
      <c r="K4" s="531">
        <f t="shared" si="1"/>
        <v>45545</v>
      </c>
      <c r="L4" s="531">
        <f t="shared" si="1"/>
        <v>45546</v>
      </c>
      <c r="M4" s="531">
        <f t="shared" si="1"/>
        <v>45547</v>
      </c>
      <c r="N4" s="531">
        <f t="shared" si="1"/>
        <v>45548</v>
      </c>
      <c r="O4" s="531">
        <f t="shared" si="1"/>
        <v>45549</v>
      </c>
      <c r="P4" s="531">
        <f t="shared" si="1"/>
        <v>45550</v>
      </c>
      <c r="Q4" s="531">
        <f t="shared" si="1"/>
        <v>45551</v>
      </c>
      <c r="R4" s="531">
        <f t="shared" si="1"/>
        <v>45552</v>
      </c>
      <c r="S4" s="531">
        <f t="shared" si="1"/>
        <v>45553</v>
      </c>
      <c r="T4" s="531">
        <f t="shared" si="1"/>
        <v>45554</v>
      </c>
      <c r="U4" s="531">
        <f t="shared" si="1"/>
        <v>45555</v>
      </c>
      <c r="V4" s="531">
        <f t="shared" si="1"/>
        <v>45556</v>
      </c>
      <c r="W4" s="531">
        <f t="shared" si="1"/>
        <v>45557</v>
      </c>
      <c r="X4" s="531">
        <f t="shared" si="1"/>
        <v>45558</v>
      </c>
      <c r="Y4" s="531">
        <f t="shared" si="1"/>
        <v>45559</v>
      </c>
      <c r="Z4" s="531">
        <f t="shared" si="1"/>
        <v>45560</v>
      </c>
      <c r="AA4" s="531">
        <f t="shared" si="1"/>
        <v>45561</v>
      </c>
      <c r="AB4" s="531">
        <f t="shared" si="1"/>
        <v>45562</v>
      </c>
      <c r="AC4" s="531">
        <f t="shared" si="1"/>
        <v>45563</v>
      </c>
      <c r="AD4" s="531">
        <f t="shared" si="1"/>
        <v>45564</v>
      </c>
      <c r="AE4" s="531">
        <f t="shared" si="1"/>
        <v>45565</v>
      </c>
      <c r="AF4" s="531"/>
      <c r="AG4" s="158"/>
      <c r="AH4" s="158"/>
    </row>
    <row r="5" spans="1:135" s="180" customFormat="1" ht="9.9" customHeight="1" thickBot="1" x14ac:dyDescent="0.45">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9" t="s">
        <v>2</v>
      </c>
      <c r="B6" s="487"/>
      <c r="C6" s="487"/>
      <c r="D6" s="487"/>
      <c r="E6" s="487"/>
      <c r="F6" s="487"/>
      <c r="G6" s="488"/>
      <c r="H6" s="488"/>
      <c r="I6" s="487"/>
      <c r="J6" s="487"/>
      <c r="K6" s="487"/>
      <c r="L6" s="487"/>
      <c r="M6" s="488"/>
      <c r="N6" s="488"/>
      <c r="O6" s="488"/>
      <c r="P6" s="487"/>
      <c r="Q6" s="487"/>
      <c r="R6" s="487"/>
      <c r="S6" s="487"/>
      <c r="T6" s="488"/>
      <c r="U6" s="488"/>
      <c r="V6" s="488"/>
      <c r="W6" s="487"/>
      <c r="X6" s="487"/>
      <c r="Y6" s="487"/>
      <c r="Z6" s="487"/>
      <c r="AA6" s="488"/>
      <c r="AB6" s="488"/>
      <c r="AC6" s="488"/>
      <c r="AD6" s="487"/>
      <c r="AE6" s="487"/>
      <c r="AF6" s="487"/>
      <c r="AG6" s="467"/>
      <c r="AH6" s="470"/>
    </row>
    <row r="7" spans="1:135" s="180" customFormat="1" ht="20.100000000000001" customHeight="1" x14ac:dyDescent="0.4">
      <c r="A7" s="530" t="s">
        <v>3</v>
      </c>
      <c r="B7" s="472" t="s">
        <v>131</v>
      </c>
      <c r="C7" s="173"/>
      <c r="D7" s="173"/>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G7" s="171"/>
      <c r="AH7" s="165"/>
    </row>
    <row r="8" spans="1:135" s="561" customFormat="1" ht="25.5" customHeight="1" x14ac:dyDescent="0.3">
      <c r="A8" s="559" t="s">
        <v>132</v>
      </c>
      <c r="B8" s="562">
        <v>0.39583333333333331</v>
      </c>
      <c r="C8" s="562">
        <v>0.41666666666666669</v>
      </c>
      <c r="D8" s="562">
        <v>0.41666666666666669</v>
      </c>
      <c r="E8" s="562">
        <v>0.41666666666666669</v>
      </c>
      <c r="F8" s="562">
        <v>0.41666666666666669</v>
      </c>
      <c r="G8" s="562">
        <v>0.41666666666666669</v>
      </c>
      <c r="H8" s="562">
        <v>0.41666666666666669</v>
      </c>
      <c r="I8" s="562">
        <v>0.41666666666666669</v>
      </c>
      <c r="J8" s="562">
        <v>0.41666666666666669</v>
      </c>
      <c r="K8" s="562">
        <v>0.41666666666666669</v>
      </c>
      <c r="L8" s="562">
        <v>0.41666666666666669</v>
      </c>
      <c r="M8" s="562">
        <v>0.41666666666666669</v>
      </c>
      <c r="N8" s="562">
        <v>0.41666666666666669</v>
      </c>
      <c r="O8" s="562">
        <v>0.41666666666666669</v>
      </c>
      <c r="P8" s="562">
        <v>0.41666666666666669</v>
      </c>
      <c r="Q8" s="562"/>
      <c r="R8" s="562"/>
      <c r="S8" s="562"/>
      <c r="T8" s="562">
        <v>0.41666666666666669</v>
      </c>
      <c r="U8" s="562">
        <v>0.41666666666666669</v>
      </c>
      <c r="V8" s="562">
        <v>0.41666666666666669</v>
      </c>
      <c r="W8" s="562">
        <v>0.41666666666666669</v>
      </c>
      <c r="X8" s="562"/>
      <c r="Y8" s="562"/>
      <c r="Z8" s="562"/>
      <c r="AA8" s="562">
        <v>0.41666666666666669</v>
      </c>
      <c r="AB8" s="562">
        <v>0.41666666666666669</v>
      </c>
      <c r="AC8" s="562">
        <v>0.41666666666666669</v>
      </c>
      <c r="AD8" s="562">
        <v>0.41666666666666669</v>
      </c>
      <c r="AE8" s="562" t="str">
        <f t="shared" ref="AE8:AF8" si="2">AE9</f>
        <v/>
      </c>
      <c r="AF8" s="562" t="str">
        <f t="shared" si="2"/>
        <v/>
      </c>
      <c r="AG8" s="560"/>
      <c r="AH8" s="562"/>
    </row>
    <row r="9" spans="1:135" s="180" customFormat="1" ht="20.25" customHeight="1" x14ac:dyDescent="0.4">
      <c r="A9" s="519" t="s">
        <v>36</v>
      </c>
      <c r="B9" s="511">
        <v>0.39583333333333331</v>
      </c>
      <c r="C9" s="511">
        <v>0.41666666666666669</v>
      </c>
      <c r="D9" s="511">
        <v>0.41666666666666669</v>
      </c>
      <c r="E9" s="511">
        <v>0.41666666666666669</v>
      </c>
      <c r="F9" s="511">
        <v>0.41666666666666669</v>
      </c>
      <c r="G9" s="511">
        <v>0.41666666666666669</v>
      </c>
      <c r="H9" s="511">
        <v>0.41666666666666669</v>
      </c>
      <c r="I9" s="511">
        <v>0.41666666666666669</v>
      </c>
      <c r="J9" s="511">
        <v>0.41666666666666669</v>
      </c>
      <c r="K9" s="511">
        <v>0.41666666666666669</v>
      </c>
      <c r="L9" s="511">
        <v>0.41666666666666669</v>
      </c>
      <c r="M9" s="511">
        <v>0.41666666666666669</v>
      </c>
      <c r="N9" s="511">
        <v>0.41666666666666669</v>
      </c>
      <c r="O9" s="511">
        <v>0.41666666666666669</v>
      </c>
      <c r="P9" s="511">
        <v>0.41666666666666669</v>
      </c>
      <c r="Q9" s="511"/>
      <c r="R9" s="511"/>
      <c r="S9" s="511"/>
      <c r="T9" s="511">
        <v>0.41666666666666669</v>
      </c>
      <c r="U9" s="511">
        <v>0.41666666666666669</v>
      </c>
      <c r="V9" s="511">
        <v>0.40625</v>
      </c>
      <c r="W9" s="511">
        <v>0.40625</v>
      </c>
      <c r="X9" s="511"/>
      <c r="Y9" s="511"/>
      <c r="Z9" s="511"/>
      <c r="AA9" s="511">
        <v>0.41666666666666669</v>
      </c>
      <c r="AB9" s="511">
        <v>0.41666666666666669</v>
      </c>
      <c r="AC9" s="511">
        <v>0.40625</v>
      </c>
      <c r="AD9" s="511">
        <v>0.40625</v>
      </c>
      <c r="AE9" s="511" t="str">
        <f t="shared" ref="AE9:AF9" si="3">IF(AE10="","",AE10-"0:15")</f>
        <v/>
      </c>
      <c r="AF9" s="511" t="str">
        <f t="shared" si="3"/>
        <v/>
      </c>
      <c r="AG9" s="172"/>
      <c r="AH9" s="554"/>
    </row>
    <row r="10" spans="1:135" s="180" customFormat="1" ht="20.100000000000001" customHeight="1" x14ac:dyDescent="0.4">
      <c r="A10" s="520" t="s">
        <v>5</v>
      </c>
      <c r="B10" s="626">
        <v>0.39583333333333331</v>
      </c>
      <c r="C10" s="626">
        <v>0.41666666666666669</v>
      </c>
      <c r="D10" s="626">
        <v>0.41666666666666669</v>
      </c>
      <c r="E10" s="626">
        <v>0.41666666666666669</v>
      </c>
      <c r="F10" s="626">
        <v>0.41666666666666669</v>
      </c>
      <c r="G10" s="626">
        <v>0.41666666666666669</v>
      </c>
      <c r="H10" s="626">
        <v>0.41666666666666669</v>
      </c>
      <c r="I10" s="626">
        <v>0.41666666666666669</v>
      </c>
      <c r="J10" s="626">
        <v>0.41666666666666669</v>
      </c>
      <c r="K10" s="626">
        <v>0.41666666666666669</v>
      </c>
      <c r="L10" s="626">
        <v>0.41666666666666669</v>
      </c>
      <c r="M10" s="626">
        <v>0.41666666666666669</v>
      </c>
      <c r="N10" s="626">
        <v>0.41666666666666669</v>
      </c>
      <c r="O10" s="626">
        <v>0.41666666666666669</v>
      </c>
      <c r="P10" s="626">
        <v>0.41666666666666669</v>
      </c>
      <c r="Q10" s="626"/>
      <c r="R10" s="626"/>
      <c r="S10" s="626"/>
      <c r="T10" s="626">
        <v>0.41666666666666669</v>
      </c>
      <c r="U10" s="626">
        <v>0.41666666666666669</v>
      </c>
      <c r="V10" s="626">
        <v>0.41666666666666669</v>
      </c>
      <c r="W10" s="626">
        <v>0.41666666666666669</v>
      </c>
      <c r="X10" s="626"/>
      <c r="Y10" s="626"/>
      <c r="Z10" s="626"/>
      <c r="AA10" s="626">
        <v>0.41666666666666669</v>
      </c>
      <c r="AB10" s="626">
        <v>0.41666666666666669</v>
      </c>
      <c r="AC10" s="626">
        <v>0.41666666666666669</v>
      </c>
      <c r="AD10" s="626">
        <v>0.41666666666666669</v>
      </c>
      <c r="AE10" s="626"/>
      <c r="AF10" s="626"/>
      <c r="AG10" s="171"/>
      <c r="AH10" s="626"/>
    </row>
    <row r="11" spans="1:135" s="180" customFormat="1" ht="20.100000000000001" customHeight="1" x14ac:dyDescent="0.4">
      <c r="A11" s="520" t="s">
        <v>6</v>
      </c>
      <c r="B11" s="627">
        <f t="shared" ref="B11" si="4">IF(B10="","",IF(B15=0,B14+"0:30",+B15+"0:30"))</f>
        <v>0.91666666666666674</v>
      </c>
      <c r="C11" s="627">
        <f t="shared" ref="C11:D11" si="5">IF(C10="","",IF(C15=0,C14+"0:30",+C15+"0:30"))</f>
        <v>0.90625</v>
      </c>
      <c r="D11" s="627">
        <f t="shared" si="5"/>
        <v>0.90625</v>
      </c>
      <c r="E11" s="627">
        <f t="shared" ref="E11" si="6">IF(E10="","",IF(E15=0,E14+"0:30",+E15+"0:30"))</f>
        <v>0.90625</v>
      </c>
      <c r="F11" s="627">
        <f t="shared" ref="F11:Z11" si="7">IF(F10="","",IF(F15=0,F14+"0:30",+F15+"0:30"))</f>
        <v>0.90625</v>
      </c>
      <c r="G11" s="627">
        <f t="shared" si="7"/>
        <v>0.90625</v>
      </c>
      <c r="H11" s="627">
        <f t="shared" si="7"/>
        <v>0.91666666666666674</v>
      </c>
      <c r="I11" s="627">
        <f t="shared" si="7"/>
        <v>0.89583333333333337</v>
      </c>
      <c r="J11" s="627">
        <f t="shared" ref="J11:K11" si="8">IF(J10="","",IF(J15=0,J14+"0:30",+J15+"0:30"))</f>
        <v>0.89583333333333337</v>
      </c>
      <c r="K11" s="627">
        <f t="shared" si="8"/>
        <v>0.89583333333333337</v>
      </c>
      <c r="L11" s="627">
        <f t="shared" si="7"/>
        <v>0.89583333333333337</v>
      </c>
      <c r="M11" s="627">
        <f t="shared" si="7"/>
        <v>0.89583333333333337</v>
      </c>
      <c r="N11" s="627">
        <f t="shared" si="7"/>
        <v>0.89583333333333337</v>
      </c>
      <c r="O11" s="627">
        <f t="shared" si="7"/>
        <v>0.91666666666666674</v>
      </c>
      <c r="P11" s="627">
        <f t="shared" si="7"/>
        <v>0.89583333333333337</v>
      </c>
      <c r="Q11" s="627" t="str">
        <f t="shared" ref="Q11:R11" si="9">IF(Q10="","",IF(Q15=0,Q14+"0:30",+Q15+"0:30"))</f>
        <v/>
      </c>
      <c r="R11" s="627" t="str">
        <f t="shared" si="9"/>
        <v/>
      </c>
      <c r="S11" s="627" t="str">
        <f t="shared" si="7"/>
        <v/>
      </c>
      <c r="T11" s="627">
        <f t="shared" ref="T11:Y11" si="10">IF(T10="","",IF(T15=0,T14+"0:30",+T15+"0:30"))</f>
        <v>0.875</v>
      </c>
      <c r="U11" s="627">
        <f t="shared" si="10"/>
        <v>0.875</v>
      </c>
      <c r="V11" s="627">
        <f t="shared" si="10"/>
        <v>0.91666666666666674</v>
      </c>
      <c r="W11" s="627">
        <f t="shared" si="10"/>
        <v>0.875</v>
      </c>
      <c r="X11" s="627" t="str">
        <f t="shared" si="10"/>
        <v/>
      </c>
      <c r="Y11" s="627" t="str">
        <f t="shared" si="10"/>
        <v/>
      </c>
      <c r="Z11" s="627" t="str">
        <f t="shared" si="7"/>
        <v/>
      </c>
      <c r="AA11" s="627">
        <f t="shared" ref="AA11:AF11" si="11">IF(AA10="","",IF(AA15=0,AA14+"0:30",+AA15+"0:30"))</f>
        <v>0.875</v>
      </c>
      <c r="AB11" s="627">
        <f t="shared" si="11"/>
        <v>0.875</v>
      </c>
      <c r="AC11" s="627">
        <f t="shared" si="11"/>
        <v>0.91666666666666674</v>
      </c>
      <c r="AD11" s="627">
        <f t="shared" si="11"/>
        <v>0.875</v>
      </c>
      <c r="AE11" s="627" t="str">
        <f t="shared" si="11"/>
        <v/>
      </c>
      <c r="AF11" s="627" t="str">
        <f t="shared" si="11"/>
        <v/>
      </c>
      <c r="AG11" s="171"/>
      <c r="AH11" s="626"/>
    </row>
    <row r="12" spans="1:135" s="507" customFormat="1" ht="20.100000000000001" customHeight="1" x14ac:dyDescent="0.4">
      <c r="A12" s="521" t="s">
        <v>7</v>
      </c>
      <c r="B12" s="623">
        <f t="shared" ref="B12" si="12">+IF(B10="","",(B11-B10))</f>
        <v>0.52083333333333348</v>
      </c>
      <c r="C12" s="623">
        <f t="shared" ref="C12:D12" si="13">+IF(C10="","",(C11-C10))</f>
        <v>0.48958333333333331</v>
      </c>
      <c r="D12" s="623">
        <f t="shared" si="13"/>
        <v>0.48958333333333331</v>
      </c>
      <c r="E12" s="623">
        <f t="shared" ref="E12" si="14">+IF(E10="","",(E11-E10))</f>
        <v>0.48958333333333331</v>
      </c>
      <c r="F12" s="623">
        <f t="shared" ref="F12:P12" si="15">+IF(F10="","",(F11-F10))</f>
        <v>0.48958333333333331</v>
      </c>
      <c r="G12" s="623">
        <f t="shared" si="15"/>
        <v>0.48958333333333331</v>
      </c>
      <c r="H12" s="623">
        <f t="shared" si="15"/>
        <v>0.5</v>
      </c>
      <c r="I12" s="623">
        <f t="shared" si="15"/>
        <v>0.47916666666666669</v>
      </c>
      <c r="J12" s="623">
        <f t="shared" ref="J12:K12" si="16">+IF(J10="","",(J11-J10))</f>
        <v>0.47916666666666669</v>
      </c>
      <c r="K12" s="623">
        <f t="shared" si="16"/>
        <v>0.47916666666666669</v>
      </c>
      <c r="L12" s="623">
        <f t="shared" si="15"/>
        <v>0.47916666666666669</v>
      </c>
      <c r="M12" s="623">
        <f t="shared" si="15"/>
        <v>0.47916666666666669</v>
      </c>
      <c r="N12" s="623">
        <f t="shared" si="15"/>
        <v>0.47916666666666669</v>
      </c>
      <c r="O12" s="623">
        <f t="shared" si="15"/>
        <v>0.5</v>
      </c>
      <c r="P12" s="623">
        <f t="shared" si="15"/>
        <v>0.47916666666666669</v>
      </c>
      <c r="Q12" s="623" t="str">
        <f>+IF(Q10="","",(Q11-Q10))</f>
        <v/>
      </c>
      <c r="R12" s="623" t="str">
        <f t="shared" ref="R12" si="17">+IF(R10="","",(R11-R10))</f>
        <v/>
      </c>
      <c r="S12" s="623" t="str">
        <f>+IF(S10="","",(S11-S10))</f>
        <v/>
      </c>
      <c r="T12" s="623">
        <f t="shared" ref="T12:W12" si="18">+IF(T10="","",(T11-T10))</f>
        <v>0.45833333333333331</v>
      </c>
      <c r="U12" s="623">
        <f t="shared" si="18"/>
        <v>0.45833333333333331</v>
      </c>
      <c r="V12" s="623">
        <f t="shared" si="18"/>
        <v>0.5</v>
      </c>
      <c r="W12" s="623">
        <f t="shared" si="18"/>
        <v>0.45833333333333331</v>
      </c>
      <c r="X12" s="623" t="str">
        <f>+IF(X10="","",(X11-X10))</f>
        <v/>
      </c>
      <c r="Y12" s="623" t="str">
        <f t="shared" ref="Y12" si="19">+IF(Y10="","",(Y11-Y10))</f>
        <v/>
      </c>
      <c r="Z12" s="623" t="str">
        <f t="shared" ref="Z12:AD12" si="20">+IF(Z10="","",(Z11-Z10))</f>
        <v/>
      </c>
      <c r="AA12" s="623">
        <f t="shared" si="20"/>
        <v>0.45833333333333331</v>
      </c>
      <c r="AB12" s="623">
        <f t="shared" si="20"/>
        <v>0.45833333333333331</v>
      </c>
      <c r="AC12" s="623">
        <f t="shared" si="20"/>
        <v>0.5</v>
      </c>
      <c r="AD12" s="623">
        <f t="shared" si="20"/>
        <v>0.45833333333333331</v>
      </c>
      <c r="AE12" s="623" t="str">
        <f>+IF(AE10="","",(AE11-AE10))</f>
        <v/>
      </c>
      <c r="AF12" s="623" t="str">
        <f t="shared" ref="AF12" si="21">+IF(AF10="","",(AF11-AF10))</f>
        <v/>
      </c>
      <c r="AG12" s="486"/>
      <c r="AH12" s="624">
        <f>SUM(B12:AF12)</f>
        <v>11.07291666666667</v>
      </c>
    </row>
    <row r="13" spans="1:135" s="180" customFormat="1" ht="9.9" customHeight="1" x14ac:dyDescent="0.4">
      <c r="A13" s="473"/>
      <c r="B13" s="175"/>
      <c r="C13" s="175"/>
      <c r="D13" s="175"/>
      <c r="E13" s="175"/>
      <c r="F13" s="175"/>
      <c r="G13" s="175"/>
      <c r="H13" s="174"/>
      <c r="I13" s="174"/>
      <c r="J13" s="175"/>
      <c r="K13" s="175"/>
      <c r="L13" s="175"/>
      <c r="M13" s="175"/>
      <c r="N13" s="175"/>
      <c r="O13" s="175"/>
      <c r="P13" s="174"/>
      <c r="Q13" s="174"/>
      <c r="R13" s="174"/>
      <c r="S13" s="174"/>
      <c r="T13" s="175"/>
      <c r="U13" s="175"/>
      <c r="V13" s="175"/>
      <c r="W13" s="174"/>
      <c r="X13" s="174"/>
      <c r="Y13" s="174"/>
      <c r="Z13" s="174"/>
      <c r="AA13" s="175"/>
      <c r="AB13" s="175"/>
      <c r="AC13" s="175"/>
      <c r="AD13" s="174"/>
      <c r="AE13" s="174"/>
      <c r="AF13" s="174"/>
      <c r="AG13" s="172"/>
      <c r="AH13" s="174"/>
    </row>
    <row r="14" spans="1:135" s="180" customFormat="1" ht="20.100000000000001" customHeight="1" x14ac:dyDescent="0.4">
      <c r="A14" s="616" t="s">
        <v>8</v>
      </c>
      <c r="B14" s="176">
        <v>0.89583333333333337</v>
      </c>
      <c r="C14" s="176">
        <v>0.88541666666666663</v>
      </c>
      <c r="D14" s="176">
        <v>0.88541666666666663</v>
      </c>
      <c r="E14" s="176">
        <v>0.88541666666666663</v>
      </c>
      <c r="F14" s="176">
        <v>0.88541666666666663</v>
      </c>
      <c r="G14" s="176">
        <v>0.88541666666666663</v>
      </c>
      <c r="H14" s="176">
        <v>0.89583333333333337</v>
      </c>
      <c r="I14" s="176">
        <v>0.875</v>
      </c>
      <c r="J14" s="176">
        <v>0.875</v>
      </c>
      <c r="K14" s="176">
        <v>0.875</v>
      </c>
      <c r="L14" s="176">
        <v>0.875</v>
      </c>
      <c r="M14" s="176">
        <v>0.875</v>
      </c>
      <c r="N14" s="176">
        <v>0.875</v>
      </c>
      <c r="O14" s="176">
        <v>0.89583333333333337</v>
      </c>
      <c r="P14" s="176">
        <v>0.875</v>
      </c>
      <c r="Q14" s="176"/>
      <c r="R14" s="176"/>
      <c r="S14" s="176"/>
      <c r="T14" s="176">
        <v>0.85416666666666663</v>
      </c>
      <c r="U14" s="176">
        <v>0.85416666666666663</v>
      </c>
      <c r="V14" s="176">
        <v>0.89583333333333337</v>
      </c>
      <c r="W14" s="176">
        <v>0.85416666666666663</v>
      </c>
      <c r="X14" s="176"/>
      <c r="Y14" s="176"/>
      <c r="Z14" s="176"/>
      <c r="AA14" s="176">
        <v>0.85416666666666663</v>
      </c>
      <c r="AB14" s="176">
        <v>0.85416666666666663</v>
      </c>
      <c r="AC14" s="176">
        <v>0.89583333333333337</v>
      </c>
      <c r="AD14" s="176">
        <v>0.85416666666666663</v>
      </c>
      <c r="AE14" s="176"/>
      <c r="AF14" s="176"/>
      <c r="AG14" s="171"/>
      <c r="AH14" s="176"/>
    </row>
    <row r="15" spans="1:135" s="180" customFormat="1" ht="20.100000000000001" customHeight="1" thickBot="1" x14ac:dyDescent="0.45">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c r="AB15" s="575"/>
      <c r="AC15" s="575"/>
      <c r="AD15" s="575"/>
      <c r="AE15" s="575"/>
      <c r="AF15" s="575"/>
      <c r="AG15" s="171"/>
      <c r="AH15" s="555"/>
    </row>
    <row r="16" spans="1:135" s="180" customFormat="1" ht="20.100000000000001" hidden="1" customHeight="1" thickBot="1" x14ac:dyDescent="0.45">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t="20.100000000000001" hidden="1" customHeight="1" x14ac:dyDescent="0.4">
      <c r="A17" s="519" t="s">
        <v>10</v>
      </c>
      <c r="B17" s="179">
        <f>COUNTIF(B14,"&gt;0")</f>
        <v>1</v>
      </c>
      <c r="C17" s="179">
        <f t="shared" ref="C17:AE17" si="22">COUNTIF(C14,"&gt;0")</f>
        <v>1</v>
      </c>
      <c r="D17" s="179">
        <f t="shared" si="22"/>
        <v>1</v>
      </c>
      <c r="E17" s="179">
        <f t="shared" si="22"/>
        <v>1</v>
      </c>
      <c r="F17" s="179">
        <f t="shared" si="22"/>
        <v>1</v>
      </c>
      <c r="G17" s="179">
        <f t="shared" si="22"/>
        <v>1</v>
      </c>
      <c r="H17" s="179">
        <f t="shared" si="22"/>
        <v>1</v>
      </c>
      <c r="I17" s="179">
        <f t="shared" si="22"/>
        <v>1</v>
      </c>
      <c r="J17" s="179">
        <f t="shared" si="22"/>
        <v>1</v>
      </c>
      <c r="K17" s="179">
        <f t="shared" si="22"/>
        <v>1</v>
      </c>
      <c r="L17" s="179">
        <f t="shared" si="22"/>
        <v>1</v>
      </c>
      <c r="M17" s="179">
        <f t="shared" si="22"/>
        <v>1</v>
      </c>
      <c r="N17" s="179">
        <f t="shared" si="22"/>
        <v>1</v>
      </c>
      <c r="O17" s="179">
        <f t="shared" ref="O17:P17" si="23">COUNTIF(O14,"&gt;0")</f>
        <v>1</v>
      </c>
      <c r="P17" s="179">
        <f t="shared" si="23"/>
        <v>1</v>
      </c>
      <c r="Q17" s="179">
        <f t="shared" si="22"/>
        <v>0</v>
      </c>
      <c r="R17" s="179">
        <f t="shared" si="22"/>
        <v>0</v>
      </c>
      <c r="S17" s="179">
        <f t="shared" si="22"/>
        <v>0</v>
      </c>
      <c r="T17" s="179">
        <f t="shared" si="22"/>
        <v>1</v>
      </c>
      <c r="U17" s="179">
        <f t="shared" si="22"/>
        <v>1</v>
      </c>
      <c r="V17" s="179">
        <f t="shared" si="22"/>
        <v>1</v>
      </c>
      <c r="W17" s="179">
        <f t="shared" ref="W17" si="24">COUNTIF(W14,"&gt;0")</f>
        <v>1</v>
      </c>
      <c r="X17" s="179">
        <f t="shared" si="22"/>
        <v>0</v>
      </c>
      <c r="Y17" s="179">
        <f t="shared" si="22"/>
        <v>0</v>
      </c>
      <c r="Z17" s="179">
        <f t="shared" si="22"/>
        <v>0</v>
      </c>
      <c r="AA17" s="179">
        <f t="shared" si="22"/>
        <v>1</v>
      </c>
      <c r="AB17" s="179">
        <f t="shared" si="22"/>
        <v>1</v>
      </c>
      <c r="AC17" s="179">
        <f t="shared" si="22"/>
        <v>1</v>
      </c>
      <c r="AD17" s="179">
        <f t="shared" ref="AD17" si="25">COUNTIF(AD14,"&gt;0")</f>
        <v>1</v>
      </c>
      <c r="AE17" s="179">
        <f t="shared" si="22"/>
        <v>0</v>
      </c>
      <c r="AF17" s="179"/>
      <c r="AG17" s="171"/>
      <c r="AH17" s="163"/>
    </row>
    <row r="18" spans="1:135" s="180" customFormat="1" ht="20.100000000000001" hidden="1" customHeight="1" x14ac:dyDescent="0.4">
      <c r="A18" s="519" t="s">
        <v>11</v>
      </c>
      <c r="B18" s="179">
        <f>COUNTIF(B15,"&gt;0")</f>
        <v>0</v>
      </c>
      <c r="C18" s="179">
        <f t="shared" ref="C18:AE18" si="26">COUNTIF(C15,"&gt;0")</f>
        <v>0</v>
      </c>
      <c r="D18" s="179">
        <f t="shared" si="26"/>
        <v>0</v>
      </c>
      <c r="E18" s="179">
        <f t="shared" si="26"/>
        <v>0</v>
      </c>
      <c r="F18" s="179">
        <f t="shared" si="26"/>
        <v>0</v>
      </c>
      <c r="G18" s="179">
        <f t="shared" si="26"/>
        <v>0</v>
      </c>
      <c r="H18" s="179">
        <f t="shared" si="26"/>
        <v>0</v>
      </c>
      <c r="I18" s="179">
        <f t="shared" si="26"/>
        <v>0</v>
      </c>
      <c r="J18" s="179">
        <f t="shared" si="26"/>
        <v>0</v>
      </c>
      <c r="K18" s="179">
        <f t="shared" si="26"/>
        <v>0</v>
      </c>
      <c r="L18" s="179">
        <f t="shared" si="26"/>
        <v>0</v>
      </c>
      <c r="M18" s="179">
        <f t="shared" si="26"/>
        <v>0</v>
      </c>
      <c r="N18" s="179">
        <f t="shared" si="26"/>
        <v>0</v>
      </c>
      <c r="O18" s="179">
        <f t="shared" ref="O18:P18" si="27">COUNTIF(O15,"&gt;0")</f>
        <v>0</v>
      </c>
      <c r="P18" s="179">
        <f t="shared" si="27"/>
        <v>0</v>
      </c>
      <c r="Q18" s="179">
        <f t="shared" si="26"/>
        <v>0</v>
      </c>
      <c r="R18" s="179">
        <f t="shared" si="26"/>
        <v>0</v>
      </c>
      <c r="S18" s="179">
        <f t="shared" si="26"/>
        <v>0</v>
      </c>
      <c r="T18" s="179">
        <f t="shared" si="26"/>
        <v>0</v>
      </c>
      <c r="U18" s="179">
        <f t="shared" si="26"/>
        <v>0</v>
      </c>
      <c r="V18" s="179">
        <f t="shared" si="26"/>
        <v>0</v>
      </c>
      <c r="W18" s="179">
        <f t="shared" ref="W18" si="28">COUNTIF(W15,"&gt;0")</f>
        <v>0</v>
      </c>
      <c r="X18" s="179">
        <f t="shared" si="26"/>
        <v>0</v>
      </c>
      <c r="Y18" s="179">
        <f t="shared" si="26"/>
        <v>0</v>
      </c>
      <c r="Z18" s="179">
        <f t="shared" si="26"/>
        <v>0</v>
      </c>
      <c r="AA18" s="179">
        <f t="shared" si="26"/>
        <v>0</v>
      </c>
      <c r="AB18" s="179">
        <f t="shared" si="26"/>
        <v>0</v>
      </c>
      <c r="AC18" s="179">
        <f t="shared" si="26"/>
        <v>0</v>
      </c>
      <c r="AD18" s="179">
        <f t="shared" ref="AD18" si="29">COUNTIF(AD15,"&gt;0")</f>
        <v>0</v>
      </c>
      <c r="AE18" s="179">
        <f t="shared" si="26"/>
        <v>0</v>
      </c>
      <c r="AF18" s="179"/>
      <c r="AG18" s="171"/>
      <c r="AH18" s="163"/>
    </row>
    <row r="19" spans="1:135" s="180" customFormat="1" ht="20.100000000000001" hidden="1" customHeight="1" thickBot="1" x14ac:dyDescent="0.45">
      <c r="A19" s="519" t="s">
        <v>20</v>
      </c>
      <c r="B19" s="179">
        <f>COUNTIF(B16,"&gt;0")</f>
        <v>0</v>
      </c>
      <c r="C19" s="179">
        <f t="shared" ref="C19:AE19" si="30">COUNTIF(C16,"&gt;0")</f>
        <v>0</v>
      </c>
      <c r="D19" s="179">
        <f t="shared" si="30"/>
        <v>0</v>
      </c>
      <c r="E19" s="179">
        <f t="shared" si="30"/>
        <v>0</v>
      </c>
      <c r="F19" s="179">
        <f t="shared" si="30"/>
        <v>0</v>
      </c>
      <c r="G19" s="179">
        <f t="shared" si="30"/>
        <v>0</v>
      </c>
      <c r="H19" s="179">
        <f t="shared" si="30"/>
        <v>0</v>
      </c>
      <c r="I19" s="179">
        <f t="shared" si="30"/>
        <v>0</v>
      </c>
      <c r="J19" s="179">
        <f t="shared" si="30"/>
        <v>0</v>
      </c>
      <c r="K19" s="179">
        <f t="shared" si="30"/>
        <v>0</v>
      </c>
      <c r="L19" s="179">
        <f t="shared" si="30"/>
        <v>0</v>
      </c>
      <c r="M19" s="179">
        <f t="shared" si="30"/>
        <v>0</v>
      </c>
      <c r="N19" s="179">
        <f t="shared" si="30"/>
        <v>0</v>
      </c>
      <c r="O19" s="179">
        <f t="shared" ref="O19:P19" si="31">COUNTIF(O16,"&gt;0")</f>
        <v>0</v>
      </c>
      <c r="P19" s="179">
        <f t="shared" si="31"/>
        <v>0</v>
      </c>
      <c r="Q19" s="179">
        <f t="shared" si="30"/>
        <v>0</v>
      </c>
      <c r="R19" s="179">
        <f t="shared" si="30"/>
        <v>0</v>
      </c>
      <c r="S19" s="179">
        <f t="shared" si="30"/>
        <v>0</v>
      </c>
      <c r="T19" s="179">
        <f t="shared" si="30"/>
        <v>0</v>
      </c>
      <c r="U19" s="179">
        <f t="shared" si="30"/>
        <v>0</v>
      </c>
      <c r="V19" s="179">
        <f t="shared" si="30"/>
        <v>0</v>
      </c>
      <c r="W19" s="179">
        <f t="shared" ref="W19" si="32">COUNTIF(W16,"&gt;0")</f>
        <v>0</v>
      </c>
      <c r="X19" s="179">
        <f t="shared" si="30"/>
        <v>0</v>
      </c>
      <c r="Y19" s="179">
        <f t="shared" si="30"/>
        <v>0</v>
      </c>
      <c r="Z19" s="179">
        <f t="shared" si="30"/>
        <v>0</v>
      </c>
      <c r="AA19" s="179">
        <f t="shared" si="30"/>
        <v>0</v>
      </c>
      <c r="AB19" s="179">
        <f t="shared" si="30"/>
        <v>0</v>
      </c>
      <c r="AC19" s="179">
        <f t="shared" si="30"/>
        <v>0</v>
      </c>
      <c r="AD19" s="179">
        <f t="shared" ref="AD19" si="33">COUNTIF(AD16,"&gt;0")</f>
        <v>0</v>
      </c>
      <c r="AE19" s="179">
        <f t="shared" si="30"/>
        <v>0</v>
      </c>
      <c r="AF19" s="179"/>
      <c r="AG19" s="171"/>
      <c r="AH19" s="163"/>
    </row>
    <row r="20" spans="1:135" s="180" customFormat="1" ht="20.100000000000001" customHeight="1" thickBot="1" x14ac:dyDescent="0.45">
      <c r="A20" s="616" t="s">
        <v>12</v>
      </c>
      <c r="B20" s="618">
        <f>SUM(B17:B19)</f>
        <v>1</v>
      </c>
      <c r="C20" s="618">
        <f t="shared" ref="C20:AE20" si="34">SUM(C17:C19)</f>
        <v>1</v>
      </c>
      <c r="D20" s="618">
        <f t="shared" si="34"/>
        <v>1</v>
      </c>
      <c r="E20" s="618">
        <f t="shared" si="34"/>
        <v>1</v>
      </c>
      <c r="F20" s="618">
        <f t="shared" si="34"/>
        <v>1</v>
      </c>
      <c r="G20" s="618">
        <f t="shared" si="34"/>
        <v>1</v>
      </c>
      <c r="H20" s="618">
        <f t="shared" si="34"/>
        <v>1</v>
      </c>
      <c r="I20" s="618">
        <f t="shared" si="34"/>
        <v>1</v>
      </c>
      <c r="J20" s="618">
        <f t="shared" si="34"/>
        <v>1</v>
      </c>
      <c r="K20" s="618">
        <f t="shared" si="34"/>
        <v>1</v>
      </c>
      <c r="L20" s="618">
        <f t="shared" si="34"/>
        <v>1</v>
      </c>
      <c r="M20" s="618">
        <f t="shared" si="34"/>
        <v>1</v>
      </c>
      <c r="N20" s="618">
        <f t="shared" si="34"/>
        <v>1</v>
      </c>
      <c r="O20" s="618">
        <f t="shared" ref="O20:P20" si="35">SUM(O17:O19)</f>
        <v>1</v>
      </c>
      <c r="P20" s="618">
        <f t="shared" si="35"/>
        <v>1</v>
      </c>
      <c r="Q20" s="618">
        <f t="shared" si="34"/>
        <v>0</v>
      </c>
      <c r="R20" s="618">
        <f t="shared" si="34"/>
        <v>0</v>
      </c>
      <c r="S20" s="618">
        <f t="shared" si="34"/>
        <v>0</v>
      </c>
      <c r="T20" s="618">
        <f t="shared" si="34"/>
        <v>1</v>
      </c>
      <c r="U20" s="618">
        <f t="shared" si="34"/>
        <v>1</v>
      </c>
      <c r="V20" s="618">
        <f t="shared" si="34"/>
        <v>1</v>
      </c>
      <c r="W20" s="618">
        <f t="shared" ref="W20" si="36">SUM(W17:W19)</f>
        <v>1</v>
      </c>
      <c r="X20" s="618">
        <f t="shared" si="34"/>
        <v>0</v>
      </c>
      <c r="Y20" s="618">
        <f t="shared" si="34"/>
        <v>0</v>
      </c>
      <c r="Z20" s="618">
        <f t="shared" si="34"/>
        <v>0</v>
      </c>
      <c r="AA20" s="618">
        <f t="shared" si="34"/>
        <v>1</v>
      </c>
      <c r="AB20" s="618">
        <f t="shared" si="34"/>
        <v>1</v>
      </c>
      <c r="AC20" s="618">
        <f t="shared" si="34"/>
        <v>1</v>
      </c>
      <c r="AD20" s="618">
        <f t="shared" ref="AD20" si="37">SUM(AD17:AD19)</f>
        <v>1</v>
      </c>
      <c r="AE20" s="618">
        <f t="shared" si="34"/>
        <v>0</v>
      </c>
      <c r="AF20" s="618"/>
      <c r="AG20" s="171"/>
      <c r="AH20" s="619">
        <f>SUM(B20:AF20)</f>
        <v>23</v>
      </c>
    </row>
    <row r="21" spans="1:135" ht="9.9"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8" t="s">
        <v>21</v>
      </c>
      <c r="B22" s="600">
        <v>1400</v>
      </c>
      <c r="C22" s="600">
        <v>500</v>
      </c>
      <c r="D22" s="600">
        <v>500</v>
      </c>
      <c r="E22" s="600">
        <v>500</v>
      </c>
      <c r="F22" s="600">
        <v>500</v>
      </c>
      <c r="G22" s="600">
        <v>500</v>
      </c>
      <c r="H22" s="600">
        <v>2500</v>
      </c>
      <c r="I22" s="600">
        <v>1700</v>
      </c>
      <c r="J22" s="600">
        <v>500</v>
      </c>
      <c r="K22" s="600">
        <v>500</v>
      </c>
      <c r="L22" s="600">
        <v>500</v>
      </c>
      <c r="M22" s="600">
        <v>500</v>
      </c>
      <c r="N22" s="600">
        <v>500</v>
      </c>
      <c r="O22" s="600">
        <v>2100</v>
      </c>
      <c r="P22" s="600">
        <v>1100</v>
      </c>
      <c r="Q22" s="600">
        <v>0</v>
      </c>
      <c r="R22" s="600">
        <v>0</v>
      </c>
      <c r="S22" s="600">
        <v>0</v>
      </c>
      <c r="T22" s="600">
        <v>500</v>
      </c>
      <c r="U22" s="600">
        <v>400</v>
      </c>
      <c r="V22" s="600">
        <v>2500</v>
      </c>
      <c r="W22" s="600">
        <v>1200</v>
      </c>
      <c r="X22" s="600">
        <v>0</v>
      </c>
      <c r="Y22" s="600">
        <v>0</v>
      </c>
      <c r="Z22" s="600">
        <v>0</v>
      </c>
      <c r="AA22" s="600">
        <v>500</v>
      </c>
      <c r="AB22" s="600">
        <v>500</v>
      </c>
      <c r="AC22" s="600">
        <v>2200</v>
      </c>
      <c r="AD22" s="600">
        <v>1000</v>
      </c>
      <c r="AE22" s="600">
        <v>0</v>
      </c>
      <c r="AF22" s="600"/>
      <c r="AG22" s="522"/>
      <c r="AH22" s="594">
        <f>SUM(B22:AG22)</f>
        <v>22600</v>
      </c>
    </row>
    <row r="23" spans="1:135" s="1" customFormat="1" ht="33.9" customHeight="1" x14ac:dyDescent="0.25">
      <c r="A23" s="590" t="s">
        <v>22</v>
      </c>
      <c r="B23" s="602">
        <v>2800</v>
      </c>
      <c r="C23" s="602">
        <v>1400</v>
      </c>
      <c r="D23" s="602">
        <v>1500</v>
      </c>
      <c r="E23" s="602">
        <v>1400</v>
      </c>
      <c r="F23" s="602">
        <v>1200</v>
      </c>
      <c r="G23" s="602">
        <v>1300</v>
      </c>
      <c r="H23" s="602">
        <v>3800</v>
      </c>
      <c r="I23" s="602">
        <v>2400</v>
      </c>
      <c r="J23" s="602">
        <v>1200</v>
      </c>
      <c r="K23" s="602">
        <v>1400</v>
      </c>
      <c r="L23" s="602">
        <v>1250</v>
      </c>
      <c r="M23" s="602">
        <v>1300</v>
      </c>
      <c r="N23" s="602">
        <v>1400</v>
      </c>
      <c r="O23" s="602">
        <v>3700</v>
      </c>
      <c r="P23" s="602">
        <v>2300</v>
      </c>
      <c r="Q23" s="602">
        <v>0</v>
      </c>
      <c r="R23" s="602">
        <v>0</v>
      </c>
      <c r="S23" s="602">
        <v>0</v>
      </c>
      <c r="T23" s="602">
        <v>1200</v>
      </c>
      <c r="U23" s="602">
        <v>1450</v>
      </c>
      <c r="V23" s="602">
        <v>4000</v>
      </c>
      <c r="W23" s="602">
        <v>2300</v>
      </c>
      <c r="X23" s="602">
        <v>0</v>
      </c>
      <c r="Y23" s="602">
        <v>0</v>
      </c>
      <c r="Z23" s="602">
        <v>0</v>
      </c>
      <c r="AA23" s="602">
        <v>1100</v>
      </c>
      <c r="AB23" s="602">
        <v>1400</v>
      </c>
      <c r="AC23" s="602">
        <v>3400</v>
      </c>
      <c r="AD23" s="602">
        <v>1800</v>
      </c>
      <c r="AE23" s="602">
        <v>0</v>
      </c>
      <c r="AF23" s="602"/>
      <c r="AG23" s="522"/>
      <c r="AH23" s="595">
        <f t="shared" ref="AH23:AH32" si="38">SUM(B23:AG23)</f>
        <v>45000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603">
        <v>4200</v>
      </c>
      <c r="C24" s="603">
        <v>1900</v>
      </c>
      <c r="D24" s="603">
        <v>2000</v>
      </c>
      <c r="E24" s="603">
        <v>1900</v>
      </c>
      <c r="F24" s="603">
        <v>1700</v>
      </c>
      <c r="G24" s="603">
        <v>1800</v>
      </c>
      <c r="H24" s="603">
        <v>6300</v>
      </c>
      <c r="I24" s="603">
        <v>4100</v>
      </c>
      <c r="J24" s="603">
        <v>1700</v>
      </c>
      <c r="K24" s="603">
        <v>1900</v>
      </c>
      <c r="L24" s="603">
        <v>1750</v>
      </c>
      <c r="M24" s="603">
        <v>1800</v>
      </c>
      <c r="N24" s="603">
        <v>1900</v>
      </c>
      <c r="O24" s="603">
        <v>5800</v>
      </c>
      <c r="P24" s="603">
        <v>3400</v>
      </c>
      <c r="Q24" s="603">
        <v>0</v>
      </c>
      <c r="R24" s="603">
        <v>0</v>
      </c>
      <c r="S24" s="603">
        <v>0</v>
      </c>
      <c r="T24" s="603">
        <v>1700</v>
      </c>
      <c r="U24" s="603">
        <v>1850</v>
      </c>
      <c r="V24" s="603">
        <v>6500</v>
      </c>
      <c r="W24" s="603">
        <v>3500</v>
      </c>
      <c r="X24" s="603">
        <v>0</v>
      </c>
      <c r="Y24" s="603">
        <v>0</v>
      </c>
      <c r="Z24" s="603">
        <v>0</v>
      </c>
      <c r="AA24" s="603">
        <v>1600</v>
      </c>
      <c r="AB24" s="603">
        <v>1900</v>
      </c>
      <c r="AC24" s="603">
        <v>5600</v>
      </c>
      <c r="AD24" s="603">
        <v>2800</v>
      </c>
      <c r="AE24" s="603">
        <v>0</v>
      </c>
      <c r="AF24" s="603"/>
      <c r="AG24" s="513"/>
      <c r="AH24" s="596">
        <f t="shared" si="38"/>
        <v>67600</v>
      </c>
    </row>
    <row r="25" spans="1:135" s="1" customFormat="1" ht="33.9" customHeight="1" x14ac:dyDescent="0.25">
      <c r="A25" s="588" t="s">
        <v>43</v>
      </c>
      <c r="B25" s="600">
        <v>410</v>
      </c>
      <c r="C25" s="600">
        <v>20</v>
      </c>
      <c r="D25" s="600">
        <v>70</v>
      </c>
      <c r="E25" s="600">
        <v>80</v>
      </c>
      <c r="F25" s="600">
        <v>0</v>
      </c>
      <c r="G25" s="600">
        <v>0</v>
      </c>
      <c r="H25" s="600">
        <v>1640</v>
      </c>
      <c r="I25" s="600">
        <v>1210</v>
      </c>
      <c r="J25" s="600">
        <v>20</v>
      </c>
      <c r="K25" s="600">
        <v>20</v>
      </c>
      <c r="L25" s="600">
        <v>60</v>
      </c>
      <c r="M25" s="600">
        <v>200</v>
      </c>
      <c r="N25" s="600">
        <v>350</v>
      </c>
      <c r="O25" s="600">
        <v>2110</v>
      </c>
      <c r="P25" s="600">
        <v>1650</v>
      </c>
      <c r="Q25" s="600">
        <v>0</v>
      </c>
      <c r="R25" s="600">
        <v>0</v>
      </c>
      <c r="S25" s="600">
        <v>0</v>
      </c>
      <c r="T25" s="600">
        <v>20</v>
      </c>
      <c r="U25" s="600">
        <v>60</v>
      </c>
      <c r="V25" s="600">
        <v>2290</v>
      </c>
      <c r="W25" s="600">
        <v>1620</v>
      </c>
      <c r="X25" s="600">
        <v>0</v>
      </c>
      <c r="Y25" s="600">
        <v>0</v>
      </c>
      <c r="Z25" s="600">
        <v>0</v>
      </c>
      <c r="AA25" s="600">
        <v>110</v>
      </c>
      <c r="AB25" s="600">
        <v>110</v>
      </c>
      <c r="AC25" s="600">
        <v>2190</v>
      </c>
      <c r="AD25" s="600">
        <v>1990</v>
      </c>
      <c r="AE25" s="600">
        <v>0</v>
      </c>
      <c r="AF25" s="600"/>
      <c r="AG25" s="522"/>
      <c r="AH25" s="594">
        <f t="shared" si="38"/>
        <v>16230</v>
      </c>
    </row>
    <row r="26" spans="1:135" s="1" customFormat="1" ht="33.9" customHeight="1" x14ac:dyDescent="0.25">
      <c r="A26" s="590" t="s">
        <v>44</v>
      </c>
      <c r="B26" s="602">
        <v>0</v>
      </c>
      <c r="C26" s="602">
        <v>0</v>
      </c>
      <c r="D26" s="602">
        <v>50</v>
      </c>
      <c r="E26" s="602">
        <v>0</v>
      </c>
      <c r="F26" s="602">
        <v>50</v>
      </c>
      <c r="G26" s="602">
        <v>0</v>
      </c>
      <c r="H26" s="602">
        <v>0</v>
      </c>
      <c r="I26" s="602">
        <v>0</v>
      </c>
      <c r="J26" s="602">
        <v>0</v>
      </c>
      <c r="K26" s="602">
        <v>120</v>
      </c>
      <c r="L26" s="602">
        <v>20</v>
      </c>
      <c r="M26" s="602">
        <v>100</v>
      </c>
      <c r="N26" s="602">
        <v>80</v>
      </c>
      <c r="O26" s="602">
        <v>420</v>
      </c>
      <c r="P26" s="602">
        <v>30</v>
      </c>
      <c r="Q26" s="602">
        <v>0</v>
      </c>
      <c r="R26" s="602">
        <v>0</v>
      </c>
      <c r="S26" s="602">
        <v>0</v>
      </c>
      <c r="T26" s="602">
        <v>200</v>
      </c>
      <c r="U26" s="602">
        <v>150</v>
      </c>
      <c r="V26" s="602">
        <v>60</v>
      </c>
      <c r="W26" s="602">
        <v>0</v>
      </c>
      <c r="X26" s="602">
        <v>0</v>
      </c>
      <c r="Y26" s="602">
        <v>0</v>
      </c>
      <c r="Z26" s="602">
        <v>0</v>
      </c>
      <c r="AA26" s="602">
        <v>240</v>
      </c>
      <c r="AB26" s="602">
        <v>210</v>
      </c>
      <c r="AC26" s="602">
        <v>70</v>
      </c>
      <c r="AD26" s="602">
        <v>0</v>
      </c>
      <c r="AE26" s="602">
        <v>0</v>
      </c>
      <c r="AF26" s="602"/>
      <c r="AG26" s="522"/>
      <c r="AH26" s="595">
        <f t="shared" si="38"/>
        <v>1800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603">
        <v>410</v>
      </c>
      <c r="C27" s="603">
        <v>20</v>
      </c>
      <c r="D27" s="603">
        <v>120</v>
      </c>
      <c r="E27" s="603">
        <v>80</v>
      </c>
      <c r="F27" s="603">
        <v>50</v>
      </c>
      <c r="G27" s="603">
        <v>0</v>
      </c>
      <c r="H27" s="603">
        <v>1640</v>
      </c>
      <c r="I27" s="603">
        <v>1210</v>
      </c>
      <c r="J27" s="603">
        <v>20</v>
      </c>
      <c r="K27" s="603">
        <v>140</v>
      </c>
      <c r="L27" s="603">
        <v>80</v>
      </c>
      <c r="M27" s="603">
        <v>300</v>
      </c>
      <c r="N27" s="603">
        <v>430</v>
      </c>
      <c r="O27" s="603">
        <v>2530</v>
      </c>
      <c r="P27" s="603">
        <v>1680</v>
      </c>
      <c r="Q27" s="603">
        <v>0</v>
      </c>
      <c r="R27" s="603">
        <v>0</v>
      </c>
      <c r="S27" s="603">
        <v>0</v>
      </c>
      <c r="T27" s="603">
        <v>220</v>
      </c>
      <c r="U27" s="603">
        <v>210</v>
      </c>
      <c r="V27" s="603">
        <v>2350</v>
      </c>
      <c r="W27" s="603">
        <v>1620</v>
      </c>
      <c r="X27" s="603">
        <v>0</v>
      </c>
      <c r="Y27" s="603">
        <v>0</v>
      </c>
      <c r="Z27" s="603">
        <v>0</v>
      </c>
      <c r="AA27" s="603">
        <v>350</v>
      </c>
      <c r="AB27" s="603">
        <v>320</v>
      </c>
      <c r="AC27" s="603">
        <v>2260</v>
      </c>
      <c r="AD27" s="603">
        <v>1990</v>
      </c>
      <c r="AE27" s="603">
        <v>0</v>
      </c>
      <c r="AF27" s="603"/>
      <c r="AG27" s="513"/>
      <c r="AH27" s="596">
        <f t="shared" si="38"/>
        <v>18030</v>
      </c>
    </row>
    <row r="28" spans="1:135" s="1" customFormat="1" ht="33.9" customHeight="1" x14ac:dyDescent="0.25">
      <c r="A28" s="588" t="s">
        <v>23</v>
      </c>
      <c r="B28" s="600">
        <v>70</v>
      </c>
      <c r="C28" s="600">
        <v>40</v>
      </c>
      <c r="D28" s="600">
        <v>30</v>
      </c>
      <c r="E28" s="600">
        <v>40</v>
      </c>
      <c r="F28" s="600">
        <v>40</v>
      </c>
      <c r="G28" s="600">
        <v>30</v>
      </c>
      <c r="H28" s="600">
        <v>80</v>
      </c>
      <c r="I28" s="600">
        <v>60</v>
      </c>
      <c r="J28" s="600">
        <v>40</v>
      </c>
      <c r="K28" s="600">
        <v>30</v>
      </c>
      <c r="L28" s="600">
        <v>40</v>
      </c>
      <c r="M28" s="600">
        <v>40</v>
      </c>
      <c r="N28" s="600">
        <v>30</v>
      </c>
      <c r="O28" s="600">
        <v>70</v>
      </c>
      <c r="P28" s="600">
        <v>60</v>
      </c>
      <c r="Q28" s="600">
        <v>0</v>
      </c>
      <c r="R28" s="600">
        <v>0</v>
      </c>
      <c r="S28" s="600">
        <v>0</v>
      </c>
      <c r="T28" s="600">
        <v>90</v>
      </c>
      <c r="U28" s="600">
        <v>60</v>
      </c>
      <c r="V28" s="600">
        <v>90</v>
      </c>
      <c r="W28" s="600">
        <v>60</v>
      </c>
      <c r="X28" s="600">
        <v>0</v>
      </c>
      <c r="Y28" s="600">
        <v>0</v>
      </c>
      <c r="Z28" s="600">
        <v>0</v>
      </c>
      <c r="AA28" s="600">
        <v>60</v>
      </c>
      <c r="AB28" s="600">
        <v>60</v>
      </c>
      <c r="AC28" s="600">
        <v>90</v>
      </c>
      <c r="AD28" s="600">
        <v>60</v>
      </c>
      <c r="AE28" s="600">
        <v>0</v>
      </c>
      <c r="AF28" s="600"/>
      <c r="AG28" s="522"/>
      <c r="AH28" s="594">
        <f t="shared" si="38"/>
        <v>1270</v>
      </c>
    </row>
    <row r="29" spans="1:135" s="1" customFormat="1" ht="33.9" customHeight="1" x14ac:dyDescent="0.25">
      <c r="A29" s="590" t="s">
        <v>26</v>
      </c>
      <c r="B29" s="602">
        <v>50</v>
      </c>
      <c r="C29" s="602">
        <v>40</v>
      </c>
      <c r="D29" s="602">
        <v>30</v>
      </c>
      <c r="E29" s="602">
        <v>40</v>
      </c>
      <c r="F29" s="602">
        <v>40</v>
      </c>
      <c r="G29" s="602">
        <v>30</v>
      </c>
      <c r="H29" s="602">
        <v>80</v>
      </c>
      <c r="I29" s="602">
        <v>60</v>
      </c>
      <c r="J29" s="602">
        <v>40</v>
      </c>
      <c r="K29" s="602">
        <v>30</v>
      </c>
      <c r="L29" s="602">
        <v>40</v>
      </c>
      <c r="M29" s="602">
        <v>40</v>
      </c>
      <c r="N29" s="602">
        <v>30</v>
      </c>
      <c r="O29" s="602">
        <v>70</v>
      </c>
      <c r="P29" s="602">
        <v>60</v>
      </c>
      <c r="Q29" s="602">
        <v>0</v>
      </c>
      <c r="R29" s="602">
        <v>0</v>
      </c>
      <c r="S29" s="602">
        <v>0</v>
      </c>
      <c r="T29" s="602">
        <v>90</v>
      </c>
      <c r="U29" s="602">
        <v>60</v>
      </c>
      <c r="V29" s="602">
        <v>90</v>
      </c>
      <c r="W29" s="602">
        <v>60</v>
      </c>
      <c r="X29" s="602">
        <v>0</v>
      </c>
      <c r="Y29" s="602">
        <v>0</v>
      </c>
      <c r="Z29" s="602">
        <v>0</v>
      </c>
      <c r="AA29" s="602">
        <v>60</v>
      </c>
      <c r="AB29" s="602">
        <v>60</v>
      </c>
      <c r="AC29" s="602">
        <v>90</v>
      </c>
      <c r="AD29" s="602">
        <v>60</v>
      </c>
      <c r="AE29" s="602">
        <v>0</v>
      </c>
      <c r="AF29" s="602"/>
      <c r="AG29" s="522"/>
      <c r="AH29" s="595">
        <f t="shared" si="38"/>
        <v>1250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600">
        <v>0</v>
      </c>
      <c r="C30" s="600">
        <v>0</v>
      </c>
      <c r="D30" s="600">
        <v>10</v>
      </c>
      <c r="E30" s="600">
        <v>130</v>
      </c>
      <c r="F30" s="600">
        <v>0</v>
      </c>
      <c r="G30" s="600">
        <v>650</v>
      </c>
      <c r="H30" s="600">
        <v>50</v>
      </c>
      <c r="I30" s="600">
        <v>0</v>
      </c>
      <c r="J30" s="600">
        <v>10</v>
      </c>
      <c r="K30" s="600">
        <v>60</v>
      </c>
      <c r="L30" s="600">
        <v>110</v>
      </c>
      <c r="M30" s="600">
        <v>90</v>
      </c>
      <c r="N30" s="600">
        <v>90</v>
      </c>
      <c r="O30" s="600">
        <v>20</v>
      </c>
      <c r="P30" s="600">
        <v>20</v>
      </c>
      <c r="Q30" s="600">
        <v>0</v>
      </c>
      <c r="R30" s="600">
        <v>450</v>
      </c>
      <c r="S30" s="600">
        <v>30</v>
      </c>
      <c r="T30" s="600">
        <v>540</v>
      </c>
      <c r="U30" s="600">
        <v>800</v>
      </c>
      <c r="V30" s="600">
        <v>0</v>
      </c>
      <c r="W30" s="600">
        <v>0</v>
      </c>
      <c r="X30" s="600">
        <v>0</v>
      </c>
      <c r="Y30" s="600">
        <v>200</v>
      </c>
      <c r="Z30" s="600">
        <v>20</v>
      </c>
      <c r="AA30" s="600">
        <v>610</v>
      </c>
      <c r="AB30" s="600">
        <v>420</v>
      </c>
      <c r="AC30" s="600">
        <v>0</v>
      </c>
      <c r="AD30" s="600">
        <v>0</v>
      </c>
      <c r="AE30" s="600">
        <v>50</v>
      </c>
      <c r="AF30" s="600"/>
      <c r="AG30" s="522"/>
      <c r="AH30" s="594">
        <f t="shared" si="38"/>
        <v>4360</v>
      </c>
    </row>
    <row r="31" spans="1:135" s="3" customFormat="1" ht="33.75" customHeight="1" x14ac:dyDescent="0.25">
      <c r="A31" s="590" t="s">
        <v>25</v>
      </c>
      <c r="B31" s="602">
        <v>160</v>
      </c>
      <c r="C31" s="602">
        <v>120</v>
      </c>
      <c r="D31" s="602">
        <v>90</v>
      </c>
      <c r="E31" s="602">
        <v>130</v>
      </c>
      <c r="F31" s="602">
        <v>130</v>
      </c>
      <c r="G31" s="602">
        <v>80</v>
      </c>
      <c r="H31" s="602">
        <v>280</v>
      </c>
      <c r="I31" s="602">
        <v>200</v>
      </c>
      <c r="J31" s="602">
        <v>120</v>
      </c>
      <c r="K31" s="602">
        <v>90</v>
      </c>
      <c r="L31" s="602">
        <v>130</v>
      </c>
      <c r="M31" s="602">
        <v>130</v>
      </c>
      <c r="N31" s="602">
        <v>80</v>
      </c>
      <c r="O31" s="602">
        <v>280</v>
      </c>
      <c r="P31" s="602">
        <v>200</v>
      </c>
      <c r="Q31" s="602">
        <v>0</v>
      </c>
      <c r="R31" s="602">
        <v>0</v>
      </c>
      <c r="S31" s="602">
        <v>0</v>
      </c>
      <c r="T31" s="602">
        <v>270</v>
      </c>
      <c r="U31" s="602">
        <v>180</v>
      </c>
      <c r="V31" s="602">
        <v>350</v>
      </c>
      <c r="W31" s="602">
        <v>190</v>
      </c>
      <c r="X31" s="602">
        <v>0</v>
      </c>
      <c r="Y31" s="602">
        <v>0</v>
      </c>
      <c r="Z31" s="602">
        <v>0</v>
      </c>
      <c r="AA31" s="602">
        <v>1600</v>
      </c>
      <c r="AB31" s="602">
        <v>180</v>
      </c>
      <c r="AC31" s="602">
        <v>600</v>
      </c>
      <c r="AD31" s="602">
        <v>500</v>
      </c>
      <c r="AE31" s="602">
        <v>0</v>
      </c>
      <c r="AF31" s="602"/>
      <c r="AG31" s="522"/>
      <c r="AH31" s="595">
        <f t="shared" si="38"/>
        <v>6090</v>
      </c>
    </row>
    <row r="32" spans="1:135" s="514" customFormat="1" ht="33.9" customHeight="1" x14ac:dyDescent="0.25">
      <c r="A32" s="592" t="s">
        <v>30</v>
      </c>
      <c r="B32" s="603">
        <v>280</v>
      </c>
      <c r="C32" s="603">
        <v>200</v>
      </c>
      <c r="D32" s="603">
        <v>160</v>
      </c>
      <c r="E32" s="603">
        <v>340</v>
      </c>
      <c r="F32" s="603">
        <v>210</v>
      </c>
      <c r="G32" s="603">
        <v>790</v>
      </c>
      <c r="H32" s="603">
        <v>490</v>
      </c>
      <c r="I32" s="603">
        <v>320</v>
      </c>
      <c r="J32" s="603">
        <v>210</v>
      </c>
      <c r="K32" s="603">
        <v>210</v>
      </c>
      <c r="L32" s="603">
        <v>320</v>
      </c>
      <c r="M32" s="603">
        <v>300</v>
      </c>
      <c r="N32" s="603">
        <v>230</v>
      </c>
      <c r="O32" s="603">
        <v>440</v>
      </c>
      <c r="P32" s="603">
        <v>340</v>
      </c>
      <c r="Q32" s="603">
        <v>0</v>
      </c>
      <c r="R32" s="603">
        <v>450</v>
      </c>
      <c r="S32" s="603">
        <v>30</v>
      </c>
      <c r="T32" s="603">
        <v>990</v>
      </c>
      <c r="U32" s="603">
        <v>1100</v>
      </c>
      <c r="V32" s="603">
        <v>530</v>
      </c>
      <c r="W32" s="603">
        <v>310</v>
      </c>
      <c r="X32" s="603">
        <v>0</v>
      </c>
      <c r="Y32" s="603">
        <v>200</v>
      </c>
      <c r="Z32" s="603">
        <v>20</v>
      </c>
      <c r="AA32" s="603">
        <v>2330</v>
      </c>
      <c r="AB32" s="603">
        <v>720</v>
      </c>
      <c r="AC32" s="603">
        <v>780</v>
      </c>
      <c r="AD32" s="603">
        <v>620</v>
      </c>
      <c r="AE32" s="603">
        <v>50</v>
      </c>
      <c r="AF32" s="603"/>
      <c r="AG32" s="513"/>
      <c r="AH32" s="596">
        <f t="shared" si="38"/>
        <v>12970</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+B32+B27+B24</f>
        <v>4890</v>
      </c>
      <c r="C34" s="599">
        <f t="shared" ref="C34:AE34" si="39">+C32+C27+C24</f>
        <v>2120</v>
      </c>
      <c r="D34" s="599">
        <f t="shared" si="39"/>
        <v>2280</v>
      </c>
      <c r="E34" s="599">
        <f t="shared" si="39"/>
        <v>2320</v>
      </c>
      <c r="F34" s="599">
        <f t="shared" si="39"/>
        <v>1960</v>
      </c>
      <c r="G34" s="599">
        <f t="shared" si="39"/>
        <v>2590</v>
      </c>
      <c r="H34" s="599">
        <f t="shared" si="39"/>
        <v>8430</v>
      </c>
      <c r="I34" s="599">
        <f t="shared" si="39"/>
        <v>5630</v>
      </c>
      <c r="J34" s="599">
        <f t="shared" si="39"/>
        <v>1930</v>
      </c>
      <c r="K34" s="599">
        <f t="shared" si="39"/>
        <v>2250</v>
      </c>
      <c r="L34" s="599">
        <f t="shared" si="39"/>
        <v>2150</v>
      </c>
      <c r="M34" s="599">
        <f t="shared" si="39"/>
        <v>2400</v>
      </c>
      <c r="N34" s="599">
        <f t="shared" si="39"/>
        <v>2560</v>
      </c>
      <c r="O34" s="599">
        <f t="shared" si="39"/>
        <v>8770</v>
      </c>
      <c r="P34" s="599">
        <f t="shared" si="39"/>
        <v>5420</v>
      </c>
      <c r="Q34" s="599">
        <f t="shared" si="39"/>
        <v>0</v>
      </c>
      <c r="R34" s="599">
        <f t="shared" si="39"/>
        <v>450</v>
      </c>
      <c r="S34" s="599">
        <f t="shared" si="39"/>
        <v>30</v>
      </c>
      <c r="T34" s="599">
        <f t="shared" si="39"/>
        <v>2910</v>
      </c>
      <c r="U34" s="599">
        <f t="shared" si="39"/>
        <v>3160</v>
      </c>
      <c r="V34" s="599">
        <f t="shared" si="39"/>
        <v>9380</v>
      </c>
      <c r="W34" s="599">
        <f t="shared" si="39"/>
        <v>5430</v>
      </c>
      <c r="X34" s="599">
        <f t="shared" si="39"/>
        <v>0</v>
      </c>
      <c r="Y34" s="599">
        <f t="shared" si="39"/>
        <v>200</v>
      </c>
      <c r="Z34" s="599">
        <f t="shared" si="39"/>
        <v>20</v>
      </c>
      <c r="AA34" s="599">
        <f t="shared" si="39"/>
        <v>4280</v>
      </c>
      <c r="AB34" s="599">
        <f t="shared" si="39"/>
        <v>2940</v>
      </c>
      <c r="AC34" s="599">
        <f t="shared" si="39"/>
        <v>8640</v>
      </c>
      <c r="AD34" s="599">
        <f t="shared" si="39"/>
        <v>5410</v>
      </c>
      <c r="AE34" s="599">
        <f t="shared" si="39"/>
        <v>50</v>
      </c>
      <c r="AF34" s="599"/>
      <c r="AG34" s="586"/>
      <c r="AH34" s="597">
        <f>SUM(B34:AF34)</f>
        <v>98600</v>
      </c>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G35" s="3"/>
      <c r="AH35" s="38"/>
    </row>
    <row r="36" spans="1:256" s="43" customFormat="1" ht="3" customHeight="1" x14ac:dyDescent="0.4">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
      <c r="AH36" s="2"/>
    </row>
    <row r="37" spans="1:256" s="544" customFormat="1" ht="21.9" customHeight="1" x14ac:dyDescent="0.4">
      <c r="A37" s="540" t="s">
        <v>17</v>
      </c>
      <c r="B37" s="541">
        <v>0.88055555555555554</v>
      </c>
      <c r="C37" s="541">
        <v>0.87916666666666676</v>
      </c>
      <c r="D37" s="541">
        <v>0.87777777777777777</v>
      </c>
      <c r="E37" s="541">
        <v>0.87638888888888899</v>
      </c>
      <c r="F37" s="541">
        <v>0.875</v>
      </c>
      <c r="G37" s="541">
        <v>0.87361111111111101</v>
      </c>
      <c r="H37" s="541">
        <v>0.87222222222222223</v>
      </c>
      <c r="I37" s="541">
        <v>0.87083333333333324</v>
      </c>
      <c r="J37" s="541">
        <v>0.86944444444444446</v>
      </c>
      <c r="K37" s="541">
        <v>0.86805555555555547</v>
      </c>
      <c r="L37" s="541">
        <v>0.8666666666666667</v>
      </c>
      <c r="M37" s="541">
        <v>0.8652777777777777</v>
      </c>
      <c r="N37" s="541">
        <v>0.86319444444444438</v>
      </c>
      <c r="O37" s="541">
        <v>0.8618055555555556</v>
      </c>
      <c r="P37" s="541">
        <v>0.86041666666666661</v>
      </c>
      <c r="Q37" s="541">
        <v>0.85902777777777783</v>
      </c>
      <c r="R37" s="541">
        <v>0.85763888888888884</v>
      </c>
      <c r="S37" s="541">
        <v>0.85625000000000007</v>
      </c>
      <c r="T37" s="541">
        <v>0.85486111111111107</v>
      </c>
      <c r="U37" s="541">
        <v>0.8534722222222223</v>
      </c>
      <c r="V37" s="541">
        <v>0.8520833333333333</v>
      </c>
      <c r="W37" s="541">
        <v>0.85069444444444453</v>
      </c>
      <c r="X37" s="541">
        <v>0.84930555555555554</v>
      </c>
      <c r="Y37" s="541">
        <v>0.84791666666666676</v>
      </c>
      <c r="Z37" s="541">
        <v>0.84652777777777777</v>
      </c>
      <c r="AA37" s="541">
        <v>0.84513888888888899</v>
      </c>
      <c r="AB37" s="541">
        <v>0.84375</v>
      </c>
      <c r="AC37" s="541">
        <v>0.84236111111111101</v>
      </c>
      <c r="AD37" s="541">
        <v>0.84097222222222223</v>
      </c>
      <c r="AE37" s="541">
        <v>0.83958333333333324</v>
      </c>
      <c r="AF37" s="541"/>
      <c r="AG37" s="542"/>
      <c r="AH37" s="543"/>
    </row>
    <row r="38" spans="1:256" s="544" customFormat="1" ht="21.9" customHeight="1" x14ac:dyDescent="0.4">
      <c r="A38" s="545" t="s">
        <v>18</v>
      </c>
      <c r="B38" s="546" t="str">
        <f>+IF(B34&lt;=2500,"BF",IF(AND(B34&gt;2500,B34&lt;=6000),"MF",IF(AND(B34&gt;6000,B34&lt;12000),"HF","THF")))</f>
        <v>MF</v>
      </c>
      <c r="C38" s="546" t="str">
        <f t="shared" ref="C38:AF38" si="40">+IF(C34&lt;=2500,"BF",IF(AND(C34&gt;2500,C34&lt;=6000),"MF",IF(AND(C34&gt;6000,C34&lt;12000),"HF","THF")))</f>
        <v>BF</v>
      </c>
      <c r="D38" s="546" t="str">
        <f t="shared" si="40"/>
        <v>BF</v>
      </c>
      <c r="E38" s="546" t="str">
        <f t="shared" si="40"/>
        <v>BF</v>
      </c>
      <c r="F38" s="546" t="str">
        <f t="shared" si="40"/>
        <v>BF</v>
      </c>
      <c r="G38" s="546" t="str">
        <f t="shared" si="40"/>
        <v>MF</v>
      </c>
      <c r="H38" s="546" t="str">
        <f t="shared" si="40"/>
        <v>HF</v>
      </c>
      <c r="I38" s="546" t="str">
        <f t="shared" si="40"/>
        <v>MF</v>
      </c>
      <c r="J38" s="546" t="str">
        <f t="shared" si="40"/>
        <v>BF</v>
      </c>
      <c r="K38" s="546" t="str">
        <f t="shared" si="40"/>
        <v>BF</v>
      </c>
      <c r="L38" s="546" t="str">
        <f t="shared" si="40"/>
        <v>BF</v>
      </c>
      <c r="M38" s="546" t="str">
        <f t="shared" si="40"/>
        <v>BF</v>
      </c>
      <c r="N38" s="546" t="str">
        <f t="shared" si="40"/>
        <v>MF</v>
      </c>
      <c r="O38" s="546" t="str">
        <f t="shared" si="40"/>
        <v>HF</v>
      </c>
      <c r="P38" s="546" t="str">
        <f t="shared" si="40"/>
        <v>MF</v>
      </c>
      <c r="Q38" s="546" t="str">
        <f t="shared" si="40"/>
        <v>BF</v>
      </c>
      <c r="R38" s="546" t="str">
        <f t="shared" si="40"/>
        <v>BF</v>
      </c>
      <c r="S38" s="546" t="str">
        <f t="shared" si="40"/>
        <v>BF</v>
      </c>
      <c r="T38" s="546" t="str">
        <f t="shared" si="40"/>
        <v>MF</v>
      </c>
      <c r="U38" s="546" t="str">
        <f t="shared" si="40"/>
        <v>MF</v>
      </c>
      <c r="V38" s="546" t="str">
        <f t="shared" si="40"/>
        <v>HF</v>
      </c>
      <c r="W38" s="546" t="str">
        <f t="shared" si="40"/>
        <v>MF</v>
      </c>
      <c r="X38" s="546" t="str">
        <f t="shared" si="40"/>
        <v>BF</v>
      </c>
      <c r="Y38" s="546" t="str">
        <f t="shared" si="40"/>
        <v>BF</v>
      </c>
      <c r="Z38" s="546" t="str">
        <f t="shared" si="40"/>
        <v>BF</v>
      </c>
      <c r="AA38" s="546" t="str">
        <f t="shared" si="40"/>
        <v>MF</v>
      </c>
      <c r="AB38" s="546" t="str">
        <f t="shared" si="40"/>
        <v>MF</v>
      </c>
      <c r="AC38" s="546" t="str">
        <f t="shared" si="40"/>
        <v>HF</v>
      </c>
      <c r="AD38" s="546" t="str">
        <f t="shared" si="40"/>
        <v>MF</v>
      </c>
      <c r="AE38" s="546" t="str">
        <f t="shared" si="40"/>
        <v>BF</v>
      </c>
      <c r="AF38" s="546" t="str">
        <f t="shared" si="40"/>
        <v>BF</v>
      </c>
      <c r="AG38" s="548"/>
      <c r="AH38" s="543"/>
    </row>
    <row r="39" spans="1:256" s="43" customFormat="1" ht="3" customHeight="1" x14ac:dyDescent="0.4">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13"/>
      <c r="AH39" s="2"/>
    </row>
    <row r="40" spans="1:256" s="1" customFormat="1" ht="19.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13"/>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5" hidden="1" customHeight="1" x14ac:dyDescent="0.25">
      <c r="A41" s="13"/>
      <c r="B41" s="480">
        <f>+B34-B30</f>
        <v>4890</v>
      </c>
      <c r="C41" s="480">
        <f t="shared" ref="C41:AF41" si="41">+C34-C30</f>
        <v>2120</v>
      </c>
      <c r="D41" s="480">
        <f t="shared" si="41"/>
        <v>2270</v>
      </c>
      <c r="E41" s="480">
        <f t="shared" si="41"/>
        <v>2190</v>
      </c>
      <c r="F41" s="480">
        <f t="shared" si="41"/>
        <v>1960</v>
      </c>
      <c r="G41" s="480">
        <f t="shared" si="41"/>
        <v>1940</v>
      </c>
      <c r="H41" s="480">
        <f t="shared" si="41"/>
        <v>8380</v>
      </c>
      <c r="I41" s="480">
        <f t="shared" si="41"/>
        <v>5630</v>
      </c>
      <c r="J41" s="480">
        <f t="shared" si="41"/>
        <v>1920</v>
      </c>
      <c r="K41" s="480">
        <f t="shared" si="41"/>
        <v>2190</v>
      </c>
      <c r="L41" s="480">
        <f t="shared" si="41"/>
        <v>2040</v>
      </c>
      <c r="M41" s="480">
        <f t="shared" si="41"/>
        <v>2310</v>
      </c>
      <c r="N41" s="480">
        <f t="shared" si="41"/>
        <v>2470</v>
      </c>
      <c r="O41" s="480">
        <f t="shared" si="41"/>
        <v>8750</v>
      </c>
      <c r="P41" s="480">
        <f t="shared" si="41"/>
        <v>5400</v>
      </c>
      <c r="Q41" s="480">
        <f t="shared" si="41"/>
        <v>0</v>
      </c>
      <c r="R41" s="480">
        <f t="shared" si="41"/>
        <v>0</v>
      </c>
      <c r="S41" s="480">
        <f t="shared" si="41"/>
        <v>0</v>
      </c>
      <c r="T41" s="480">
        <f t="shared" si="41"/>
        <v>2370</v>
      </c>
      <c r="U41" s="480">
        <f t="shared" si="41"/>
        <v>2360</v>
      </c>
      <c r="V41" s="480">
        <f t="shared" si="41"/>
        <v>9380</v>
      </c>
      <c r="W41" s="480">
        <f t="shared" si="41"/>
        <v>5430</v>
      </c>
      <c r="X41" s="480">
        <f t="shared" si="41"/>
        <v>0</v>
      </c>
      <c r="Y41" s="480">
        <f t="shared" si="41"/>
        <v>0</v>
      </c>
      <c r="Z41" s="480">
        <f t="shared" si="41"/>
        <v>0</v>
      </c>
      <c r="AA41" s="480">
        <f t="shared" si="41"/>
        <v>3670</v>
      </c>
      <c r="AB41" s="480">
        <f t="shared" si="41"/>
        <v>2520</v>
      </c>
      <c r="AC41" s="480">
        <f t="shared" si="41"/>
        <v>8640</v>
      </c>
      <c r="AD41" s="480">
        <f t="shared" si="41"/>
        <v>5410</v>
      </c>
      <c r="AE41" s="480">
        <f t="shared" si="41"/>
        <v>0</v>
      </c>
      <c r="AF41" s="480">
        <f t="shared" si="41"/>
        <v>0</v>
      </c>
      <c r="AG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3"/>
      <c r="IT41" s="13"/>
      <c r="IU41" s="13"/>
      <c r="IV41" s="13"/>
    </row>
    <row r="42" spans="1:256" s="1" customFormat="1" ht="15" customHeight="1" x14ac:dyDescent="0.25">
      <c r="A42" s="13"/>
      <c r="B42" s="481">
        <f>+B32-B30</f>
        <v>280</v>
      </c>
      <c r="C42" s="481">
        <f t="shared" ref="C42:AF42" si="42">+C32-C30</f>
        <v>200</v>
      </c>
      <c r="D42" s="481">
        <f t="shared" si="42"/>
        <v>150</v>
      </c>
      <c r="E42" s="481">
        <f t="shared" si="42"/>
        <v>210</v>
      </c>
      <c r="F42" s="481">
        <f t="shared" si="42"/>
        <v>210</v>
      </c>
      <c r="G42" s="481">
        <f t="shared" si="42"/>
        <v>140</v>
      </c>
      <c r="H42" s="481">
        <f t="shared" si="42"/>
        <v>440</v>
      </c>
      <c r="I42" s="481">
        <f t="shared" si="42"/>
        <v>320</v>
      </c>
      <c r="J42" s="481">
        <f t="shared" si="42"/>
        <v>200</v>
      </c>
      <c r="K42" s="481">
        <f t="shared" si="42"/>
        <v>150</v>
      </c>
      <c r="L42" s="481">
        <f t="shared" si="42"/>
        <v>210</v>
      </c>
      <c r="M42" s="481">
        <f t="shared" si="42"/>
        <v>210</v>
      </c>
      <c r="N42" s="481">
        <f t="shared" si="42"/>
        <v>140</v>
      </c>
      <c r="O42" s="481">
        <f t="shared" si="42"/>
        <v>420</v>
      </c>
      <c r="P42" s="481">
        <f t="shared" si="42"/>
        <v>320</v>
      </c>
      <c r="Q42" s="481">
        <f t="shared" si="42"/>
        <v>0</v>
      </c>
      <c r="R42" s="481">
        <f t="shared" si="42"/>
        <v>0</v>
      </c>
      <c r="S42" s="481">
        <f t="shared" si="42"/>
        <v>0</v>
      </c>
      <c r="T42" s="481">
        <f t="shared" si="42"/>
        <v>450</v>
      </c>
      <c r="U42" s="481">
        <f t="shared" si="42"/>
        <v>300</v>
      </c>
      <c r="V42" s="481">
        <f t="shared" si="42"/>
        <v>530</v>
      </c>
      <c r="W42" s="481">
        <f t="shared" si="42"/>
        <v>310</v>
      </c>
      <c r="X42" s="481">
        <f t="shared" si="42"/>
        <v>0</v>
      </c>
      <c r="Y42" s="481">
        <f t="shared" si="42"/>
        <v>0</v>
      </c>
      <c r="Z42" s="481">
        <f t="shared" si="42"/>
        <v>0</v>
      </c>
      <c r="AA42" s="481">
        <f t="shared" si="42"/>
        <v>1720</v>
      </c>
      <c r="AB42" s="481">
        <f t="shared" si="42"/>
        <v>300</v>
      </c>
      <c r="AC42" s="481">
        <f t="shared" si="42"/>
        <v>780</v>
      </c>
      <c r="AD42" s="481">
        <f t="shared" si="42"/>
        <v>620</v>
      </c>
      <c r="AE42" s="481">
        <f t="shared" si="42"/>
        <v>0</v>
      </c>
      <c r="AF42" s="481">
        <f t="shared" si="42"/>
        <v>0</v>
      </c>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5" customHeight="1" x14ac:dyDescent="0.25">
      <c r="A43" s="13"/>
      <c r="B43" s="13"/>
      <c r="C43" s="13"/>
      <c r="D43" s="13"/>
      <c r="E43" s="13"/>
      <c r="F43" s="13"/>
      <c r="G43" s="463"/>
      <c r="H43" s="463"/>
      <c r="I43" s="463"/>
      <c r="J43" s="463"/>
      <c r="K43" s="463"/>
      <c r="L43" s="463"/>
      <c r="M43" s="463"/>
      <c r="N43" s="463"/>
      <c r="O43" s="463"/>
      <c r="P43" s="463"/>
      <c r="Q43" s="463"/>
      <c r="R43" s="463"/>
      <c r="S43" s="463"/>
      <c r="T43" s="463"/>
      <c r="U43" s="463"/>
      <c r="V43" s="46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5" customHeight="1" x14ac:dyDescent="0.25">
      <c r="A44" s="22"/>
      <c r="B44" s="454">
        <f>IF(B9="",0,1)</f>
        <v>1</v>
      </c>
      <c r="C44" s="454">
        <f t="shared" ref="C44:AF44" si="43">IF(C9="",0,1)</f>
        <v>1</v>
      </c>
      <c r="D44" s="454">
        <f t="shared" si="43"/>
        <v>1</v>
      </c>
      <c r="E44" s="454">
        <f t="shared" si="43"/>
        <v>1</v>
      </c>
      <c r="F44" s="454">
        <f t="shared" si="43"/>
        <v>1</v>
      </c>
      <c r="G44" s="454">
        <f t="shared" si="43"/>
        <v>1</v>
      </c>
      <c r="H44" s="454">
        <f t="shared" si="43"/>
        <v>1</v>
      </c>
      <c r="I44" s="454">
        <f t="shared" si="43"/>
        <v>1</v>
      </c>
      <c r="J44" s="454">
        <f t="shared" si="43"/>
        <v>1</v>
      </c>
      <c r="K44" s="454">
        <f t="shared" si="43"/>
        <v>1</v>
      </c>
      <c r="L44" s="454">
        <f t="shared" si="43"/>
        <v>1</v>
      </c>
      <c r="M44" s="454">
        <f t="shared" si="43"/>
        <v>1</v>
      </c>
      <c r="N44" s="454">
        <f t="shared" si="43"/>
        <v>1</v>
      </c>
      <c r="O44" s="454">
        <f t="shared" si="43"/>
        <v>1</v>
      </c>
      <c r="P44" s="454">
        <f t="shared" si="43"/>
        <v>1</v>
      </c>
      <c r="Q44" s="454">
        <f t="shared" si="43"/>
        <v>0</v>
      </c>
      <c r="R44" s="454">
        <f t="shared" si="43"/>
        <v>0</v>
      </c>
      <c r="S44" s="454">
        <f t="shared" si="43"/>
        <v>0</v>
      </c>
      <c r="T44" s="454">
        <f t="shared" si="43"/>
        <v>1</v>
      </c>
      <c r="U44" s="454">
        <f t="shared" si="43"/>
        <v>1</v>
      </c>
      <c r="V44" s="454">
        <f t="shared" si="43"/>
        <v>1</v>
      </c>
      <c r="W44" s="454">
        <f t="shared" si="43"/>
        <v>1</v>
      </c>
      <c r="X44" s="454">
        <f t="shared" si="43"/>
        <v>0</v>
      </c>
      <c r="Y44" s="454">
        <f t="shared" si="43"/>
        <v>0</v>
      </c>
      <c r="Z44" s="454">
        <f t="shared" si="43"/>
        <v>0</v>
      </c>
      <c r="AA44" s="454">
        <f t="shared" si="43"/>
        <v>1</v>
      </c>
      <c r="AB44" s="454">
        <f t="shared" si="43"/>
        <v>1</v>
      </c>
      <c r="AC44" s="454">
        <f t="shared" si="43"/>
        <v>1</v>
      </c>
      <c r="AD44" s="454">
        <f t="shared" si="43"/>
        <v>1</v>
      </c>
      <c r="AE44" s="454">
        <f t="shared" si="43"/>
        <v>0</v>
      </c>
      <c r="AF44" s="454">
        <f t="shared" si="43"/>
        <v>0</v>
      </c>
      <c r="AG44" s="1"/>
      <c r="AH44" s="563">
        <f>SUM(B44:AF44)</f>
        <v>23</v>
      </c>
    </row>
    <row r="45" spans="1:256" s="561" customFormat="1" ht="25.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s="3" customFormat="1" ht="15" customHeight="1" x14ac:dyDescent="0.25">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2"/>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s="461" customFormat="1" ht="15" customHeight="1" x14ac:dyDescent="0.25">
      <c r="B47" s="460"/>
      <c r="AH47" s="2"/>
    </row>
    <row r="48" spans="1:256" ht="19.8" x14ac:dyDescent="0.4">
      <c r="A48" s="1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56" ht="19.8" x14ac:dyDescent="0.4">
      <c r="A49" s="13"/>
      <c r="B49" s="2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c r="EU49" s="13"/>
      <c r="EV49" s="13"/>
      <c r="EW49" s="13"/>
      <c r="EX49" s="13"/>
      <c r="EY49" s="13"/>
      <c r="EZ49" s="13"/>
      <c r="FA49" s="13"/>
      <c r="FB49" s="13"/>
      <c r="FC49" s="13"/>
      <c r="FD49" s="13"/>
      <c r="FE49" s="13"/>
      <c r="FF49" s="13"/>
      <c r="FG49" s="13"/>
      <c r="FH49" s="13"/>
      <c r="FI49" s="13"/>
      <c r="FJ49" s="13"/>
      <c r="FK49" s="13"/>
      <c r="FL49" s="13"/>
      <c r="FM49" s="13"/>
      <c r="FN49" s="13"/>
      <c r="FO49" s="13"/>
      <c r="FP49" s="13"/>
      <c r="FQ49" s="13"/>
      <c r="FR49" s="13"/>
      <c r="FS49" s="13"/>
      <c r="FT49" s="13"/>
      <c r="FU49" s="13"/>
      <c r="FV49" s="13"/>
      <c r="FW49" s="13"/>
      <c r="FX49" s="13"/>
      <c r="FY49" s="13"/>
      <c r="FZ49" s="13"/>
      <c r="GA49" s="13"/>
      <c r="GB49" s="13"/>
      <c r="GC49" s="13"/>
      <c r="GD49" s="13"/>
      <c r="GE49" s="13"/>
      <c r="GF49" s="13"/>
      <c r="GG49" s="13"/>
      <c r="GH49" s="13"/>
      <c r="GI49" s="13"/>
      <c r="GJ49" s="13"/>
      <c r="GK49" s="13"/>
      <c r="GL49" s="13"/>
      <c r="GM49" s="13"/>
      <c r="GN49" s="13"/>
      <c r="GO49" s="13"/>
      <c r="GP49" s="13"/>
      <c r="GQ49" s="13"/>
      <c r="GR49" s="13"/>
      <c r="GS49" s="13"/>
      <c r="GT49" s="13"/>
      <c r="GU49" s="13"/>
      <c r="GV49" s="13"/>
      <c r="GW49" s="13"/>
      <c r="GX49" s="13"/>
      <c r="GY49" s="13"/>
      <c r="GZ49" s="13"/>
      <c r="HA49" s="13"/>
      <c r="HB49" s="13"/>
      <c r="HC49" s="13"/>
      <c r="HD49" s="13"/>
      <c r="HE49" s="13"/>
      <c r="HF49" s="13"/>
      <c r="HG49" s="13"/>
      <c r="HH49" s="13"/>
      <c r="HI49" s="13"/>
      <c r="HJ49" s="13"/>
      <c r="HK49" s="13"/>
      <c r="HL49" s="13"/>
      <c r="HM49" s="13"/>
      <c r="HN49" s="13"/>
      <c r="HO49" s="13"/>
      <c r="HP49" s="13"/>
      <c r="HQ49" s="13"/>
      <c r="HR49" s="13"/>
      <c r="HS49" s="13"/>
      <c r="HT49" s="13"/>
      <c r="HU49" s="13"/>
      <c r="HV49" s="13"/>
      <c r="HW49" s="13"/>
      <c r="HX49" s="13"/>
      <c r="HY49" s="13"/>
      <c r="HZ49" s="13"/>
      <c r="IA49" s="13"/>
      <c r="IB49" s="13"/>
      <c r="IC49" s="13"/>
      <c r="ID49" s="13"/>
      <c r="IE49" s="13"/>
      <c r="IF49" s="13"/>
      <c r="IG49" s="13"/>
      <c r="IH49" s="13"/>
      <c r="II49" s="13"/>
      <c r="IJ49" s="13"/>
      <c r="IK49" s="13"/>
      <c r="IL49" s="13"/>
      <c r="IM49" s="13"/>
      <c r="IN49" s="13"/>
      <c r="IO49" s="13"/>
      <c r="IP49" s="13"/>
      <c r="IQ49" s="13"/>
      <c r="IR49" s="13"/>
      <c r="IS49" s="13"/>
      <c r="IT49" s="13"/>
      <c r="IU49" s="13"/>
      <c r="IV49" s="13"/>
    </row>
    <row r="50" spans="1:256" ht="19.8" x14ac:dyDescent="0.4">
      <c r="A50" s="13"/>
      <c r="B50" s="21"/>
    </row>
    <row r="51" spans="1:256" ht="18.600000000000001" x14ac:dyDescent="0.4">
      <c r="A51" s="23"/>
      <c r="B51" s="21"/>
    </row>
    <row r="52" spans="1:256" ht="18.600000000000001" x14ac:dyDescent="0.4">
      <c r="A52" s="23"/>
      <c r="B52" s="21"/>
    </row>
    <row r="53" spans="1:256" ht="18.600000000000001" x14ac:dyDescent="0.4">
      <c r="A53" s="23"/>
      <c r="B53" s="21"/>
    </row>
    <row r="54" spans="1:256" ht="18.600000000000001" x14ac:dyDescent="0.4">
      <c r="A54" s="23"/>
      <c r="B54" s="21"/>
    </row>
    <row r="55" spans="1:256" ht="18.600000000000001" x14ac:dyDescent="0.4">
      <c r="A55" s="23"/>
      <c r="B55" s="21"/>
    </row>
    <row r="56" spans="1:256" ht="18.600000000000001" x14ac:dyDescent="0.4">
      <c r="A56" s="23"/>
      <c r="B56" s="21"/>
    </row>
    <row r="58" spans="1:256" ht="18.600000000000001" x14ac:dyDescent="0.4">
      <c r="A58" s="23"/>
      <c r="B58" s="21"/>
    </row>
    <row r="59" spans="1:256" ht="18.600000000000001" x14ac:dyDescent="0.4">
      <c r="A59" s="23"/>
      <c r="B59" s="21"/>
    </row>
    <row r="60" spans="1:256" ht="18.600000000000001" x14ac:dyDescent="0.4">
      <c r="A60" s="23"/>
      <c r="B60" s="21"/>
    </row>
    <row r="61" spans="1:256" ht="18.600000000000001" x14ac:dyDescent="0.4">
      <c r="A61" s="23"/>
      <c r="B61" s="21"/>
    </row>
    <row r="62" spans="1:256" ht="18.600000000000001" x14ac:dyDescent="0.4">
      <c r="A62" s="23"/>
      <c r="B62" s="21"/>
    </row>
    <row r="63" spans="1:256" ht="18.600000000000001" x14ac:dyDescent="0.4">
      <c r="A63" s="23"/>
      <c r="B63" s="21"/>
    </row>
    <row r="64" spans="1:256"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c r="B72" s="21"/>
    </row>
    <row r="73" spans="1:2" ht="18.600000000000001" x14ac:dyDescent="0.4">
      <c r="A73" s="23"/>
      <c r="B73" s="21"/>
    </row>
    <row r="74" spans="1:2" ht="18.600000000000001" x14ac:dyDescent="0.4">
      <c r="A74" s="23"/>
      <c r="B74" s="21"/>
    </row>
    <row r="75" spans="1:2" ht="18.600000000000001" x14ac:dyDescent="0.4">
      <c r="A75" s="23"/>
    </row>
    <row r="76" spans="1:2" ht="18.600000000000001" x14ac:dyDescent="0.4">
      <c r="A76" s="23"/>
    </row>
    <row r="77" spans="1:2" ht="18.600000000000001" x14ac:dyDescent="0.4">
      <c r="A77" s="23"/>
    </row>
    <row r="78" spans="1:2" ht="18.600000000000001" x14ac:dyDescent="0.4">
      <c r="A78" s="23"/>
    </row>
    <row r="79" spans="1:2" ht="18.600000000000001" x14ac:dyDescent="0.4">
      <c r="A79" s="23"/>
    </row>
    <row r="80" spans="1:2" ht="18.600000000000001" x14ac:dyDescent="0.4">
      <c r="A80" s="23"/>
    </row>
    <row r="81" spans="1:1" ht="18.600000000000001" x14ac:dyDescent="0.4">
      <c r="A81" s="23"/>
    </row>
  </sheetData>
  <customSheetViews>
    <customSheetView guid="{0CC54A28-7FC1-4543-ABB1-95D1AD8E8D9F}" scale="75" showGridLines="0" zeroValues="0" fitToPage="1" hiddenRows="1" hiddenColumns="1" showRuler="0">
      <pane xSplit="1" ySplit="20" topLeftCell="B21" activePane="bottomRight" state="frozen"/>
      <selection pane="bottomRight" activeCell="K11" sqref="K11"/>
      <pageMargins left="0" right="0.78740157480314965" top="0" bottom="0" header="0.51181102362204722" footer="0.51181102362204722"/>
      <printOptions horizontalCentered="1" verticalCentered="1"/>
      <pageSetup paperSize="45" scale="46" orientation="landscape" r:id="rId1"/>
      <headerFooter alignWithMargins="0"/>
    </customSheetView>
    <customSheetView guid="{45244E67-D811-4150-BEA1-A7A1C54045A9}" scale="75" showGridLines="0" zeroValues="0" fitToPage="1" hiddenRows="1" hiddenColumns="1" showRuler="0">
      <pane xSplit="1" ySplit="20" topLeftCell="P21" activePane="bottomRight" state="frozen"/>
      <selection pane="bottomRight" activeCell="D9" sqref="D9"/>
      <pageMargins left="0" right="0.78740157480314965" top="0" bottom="0" header="0.51181102362204722" footer="0.51181102362204722"/>
      <printOptions horizontalCentered="1" verticalCentered="1"/>
      <pageSetup paperSize="45" scale="46" orientation="landscape" r:id="rId2"/>
      <headerFooter alignWithMargins="0"/>
    </customSheetView>
  </customSheetViews>
  <mergeCells count="1">
    <mergeCell ref="B1:U1"/>
  </mergeCells>
  <phoneticPr fontId="8" type="noConversion"/>
  <conditionalFormatting sqref="A14:A34">
    <cfRule type="expression" dxfId="170" priority="592" stopIfTrue="1">
      <formula>$P14="ALERTE"</formula>
    </cfRule>
  </conditionalFormatting>
  <conditionalFormatting sqref="A45">
    <cfRule type="expression" dxfId="169" priority="6" stopIfTrue="1">
      <formula>$P45="ALERTE"</formula>
    </cfRule>
  </conditionalFormatting>
  <conditionalFormatting sqref="B7">
    <cfRule type="expression" dxfId="168" priority="214" stopIfTrue="1">
      <formula>$AY7="ALERTE"</formula>
    </cfRule>
  </conditionalFormatting>
  <conditionalFormatting sqref="B8:B9">
    <cfRule type="expression" dxfId="167" priority="9" stopIfTrue="1">
      <formula>$BI8="ALERTE"</formula>
    </cfRule>
  </conditionalFormatting>
  <conditionalFormatting sqref="B10:P10">
    <cfRule type="expression" dxfId="166" priority="8" stopIfTrue="1">
      <formula>$BS10="ALERTE"</formula>
    </cfRule>
  </conditionalFormatting>
  <conditionalFormatting sqref="B15:AD15">
    <cfRule type="expression" dxfId="165" priority="523" stopIfTrue="1">
      <formula>$P15="ALERTE"</formula>
    </cfRule>
  </conditionalFormatting>
  <conditionalFormatting sqref="B3:AF5 A3:A10 O16:AD16 B16:N20 R16:W20 Y16:AC20 O17:AF20 B21:AF21 B35:AF35">
    <cfRule type="expression" dxfId="164" priority="699" stopIfTrue="1">
      <formula>$P3="ALERTE"</formula>
    </cfRule>
  </conditionalFormatting>
  <conditionalFormatting sqref="B6:AF6">
    <cfRule type="expression" dxfId="163" priority="700" stopIfTrue="1">
      <formula>$BI6="ALERTE"</formula>
    </cfRule>
  </conditionalFormatting>
  <conditionalFormatting sqref="B14:AF14">
    <cfRule type="expression" dxfId="162" priority="7" stopIfTrue="1">
      <formula>$BI14="ALERTE"</formula>
    </cfRule>
  </conditionalFormatting>
  <conditionalFormatting sqref="B38:AF38">
    <cfRule type="cellIs" dxfId="161" priority="564" stopIfTrue="1" operator="equal">
      <formula>"THF"</formula>
    </cfRule>
    <cfRule type="cellIs" dxfId="160" priority="565" stopIfTrue="1" operator="equal">
      <formula>"HF"</formula>
    </cfRule>
    <cfRule type="cellIs" dxfId="159" priority="566" stopIfTrue="1" operator="equal">
      <formula>"MF"</formula>
    </cfRule>
  </conditionalFormatting>
  <conditionalFormatting sqref="B40:AF40">
    <cfRule type="cellIs" dxfId="158" priority="703" stopIfTrue="1" operator="equal">
      <formula>"THF"</formula>
    </cfRule>
    <cfRule type="cellIs" dxfId="157" priority="704" stopIfTrue="1" operator="equal">
      <formula>"HF"</formula>
    </cfRule>
    <cfRule type="cellIs" dxfId="156" priority="705" stopIfTrue="1" operator="equal">
      <formula>"MF"</formula>
    </cfRule>
  </conditionalFormatting>
  <conditionalFormatting sqref="B44:AF44">
    <cfRule type="expression" dxfId="155" priority="584" stopIfTrue="1">
      <formula>$P44="ALERTE"</formula>
    </cfRule>
  </conditionalFormatting>
  <conditionalFormatting sqref="B45:AF45">
    <cfRule type="expression" dxfId="154" priority="3" stopIfTrue="1">
      <formula>$BI45="ALERTE"</formula>
    </cfRule>
  </conditionalFormatting>
  <conditionalFormatting sqref="C7:AF9">
    <cfRule type="expression" dxfId="153" priority="11" stopIfTrue="1">
      <formula>$BI7="ALERTE"</formula>
    </cfRule>
  </conditionalFormatting>
  <conditionalFormatting sqref="Q10:R10">
    <cfRule type="expression" dxfId="152" priority="218" stopIfTrue="1">
      <formula>$BS10="ALERTE"</formula>
    </cfRule>
  </conditionalFormatting>
  <conditionalFormatting sqref="Q10:S10">
    <cfRule type="expression" dxfId="151" priority="314" stopIfTrue="1">
      <formula>$BJ10="ALERTE"</formula>
    </cfRule>
  </conditionalFormatting>
  <conditionalFormatting sqref="R10">
    <cfRule type="expression" dxfId="150" priority="203" stopIfTrue="1">
      <formula>$BJ10="ALERTE"</formula>
    </cfRule>
  </conditionalFormatting>
  <conditionalFormatting sqref="T10:W10">
    <cfRule type="expression" dxfId="149" priority="2" stopIfTrue="1">
      <formula>$BS10="ALERTE"</formula>
    </cfRule>
  </conditionalFormatting>
  <conditionalFormatting sqref="X10:Y10">
    <cfRule type="expression" dxfId="148" priority="136" stopIfTrue="1">
      <formula>$BS10="ALERTE"</formula>
    </cfRule>
  </conditionalFormatting>
  <conditionalFormatting sqref="X10:Z10">
    <cfRule type="expression" dxfId="147" priority="139" stopIfTrue="1">
      <formula>$BJ10="ALERTE"</formula>
    </cfRule>
  </conditionalFormatting>
  <conditionalFormatting sqref="Y10">
    <cfRule type="expression" dxfId="146" priority="125" stopIfTrue="1">
      <formula>$BJ10="ALERTE"</formula>
    </cfRule>
  </conditionalFormatting>
  <conditionalFormatting sqref="AA10:AD10">
    <cfRule type="expression" dxfId="145" priority="1" stopIfTrue="1">
      <formula>$BS10="ALERTE"</formula>
    </cfRule>
  </conditionalFormatting>
  <conditionalFormatting sqref="AC15:AF16">
    <cfRule type="expression" dxfId="144" priority="515" stopIfTrue="1">
      <formula>$P15="ALERTE"</formula>
    </cfRule>
  </conditionalFormatting>
  <conditionalFormatting sqref="AE10:AF10">
    <cfRule type="expression" dxfId="143" priority="55" stopIfTrue="1">
      <formula>$BS10="ALERTE"</formula>
    </cfRule>
    <cfRule type="expression" dxfId="142" priority="58" stopIfTrue="1">
      <formula>$BJ10="ALERTE"</formula>
    </cfRule>
  </conditionalFormatting>
  <conditionalFormatting sqref="AF10">
    <cfRule type="expression" dxfId="141" priority="44" stopIfTrue="1">
      <formula>$BJ10="ALERTE"</formula>
    </cfRule>
  </conditionalFormatting>
  <conditionalFormatting sqref="AH6:AH10">
    <cfRule type="expression" dxfId="140" priority="585" stopIfTrue="1">
      <formula>$BI6="ALERTE"</formula>
    </cfRule>
  </conditionalFormatting>
  <conditionalFormatting sqref="AH14">
    <cfRule type="expression" dxfId="139" priority="594" stopIfTrue="1">
      <formula>$BI14="ALERTE"</formula>
    </cfRule>
  </conditionalFormatting>
  <conditionalFormatting sqref="AH15:AH16">
    <cfRule type="expression" dxfId="138" priority="593" stopIfTrue="1">
      <formula>$P15="ALERTE"</formula>
    </cfRule>
  </conditionalFormatting>
  <conditionalFormatting sqref="AH45">
    <cfRule type="expression" dxfId="137" priority="5" stopIfTrue="1">
      <formula>$BI45="ALERTE"</formula>
    </cfRule>
  </conditionalFormatting>
  <printOptions horizontalCentered="1" verticalCentered="1"/>
  <pageMargins left="0" right="0" top="0" bottom="0" header="0.51181102362204722" footer="0.51181102362204722"/>
  <pageSetup paperSize="9" scale="47" orientation="landscape" r:id="rId3"/>
  <headerFooter alignWithMargins="0">
    <oddFooter xml:space="preserve">&amp;Rimprimé le &amp;D à &amp;T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0E5C-32B8-47E5-99FC-FB88E13C4614}">
  <sheetPr>
    <pageSetUpPr fitToPage="1"/>
  </sheetPr>
  <dimension ref="A1:IV76"/>
  <sheetViews>
    <sheetView showGridLines="0" tabSelected="1" zoomScale="55" zoomScaleNormal="55" workbookViewId="0">
      <pane xSplit="1" ySplit="20" topLeftCell="B30" activePane="bottomRight" state="frozen"/>
      <selection activeCell="L25" sqref="L25"/>
      <selection pane="topRight" activeCell="L25" sqref="L25"/>
      <selection pane="bottomLeft" activeCell="L25" sqref="L25"/>
      <selection pane="bottomRight" activeCell="N52" sqref="N52"/>
    </sheetView>
  </sheetViews>
  <sheetFormatPr baseColWidth="10" defaultColWidth="0" defaultRowHeight="16.8" outlineLevelRow="1" x14ac:dyDescent="0.4"/>
  <cols>
    <col min="1" max="1" width="26.33203125" style="10" customWidth="1"/>
    <col min="2" max="32" width="10.109375" style="8" customWidth="1"/>
    <col min="33" max="33" width="2.6640625" style="8" customWidth="1"/>
    <col min="34" max="34" width="16.88671875" style="2" customWidth="1"/>
    <col min="35" max="16384" width="11.44140625" style="8" hidden="1"/>
  </cols>
  <sheetData>
    <row r="1" spans="1:135" s="499" customFormat="1" ht="42.75" customHeight="1" x14ac:dyDescent="0.25">
      <c r="A1" s="641">
        <v>45566</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7" customFormat="1" ht="20.100000000000001" customHeight="1" x14ac:dyDescent="0.25">
      <c r="A3" s="633" t="s">
        <v>0</v>
      </c>
      <c r="B3" s="634">
        <f>A1</f>
        <v>45566</v>
      </c>
      <c r="C3" s="634">
        <f>B3+1</f>
        <v>45567</v>
      </c>
      <c r="D3" s="634">
        <f>C3+1</f>
        <v>45568</v>
      </c>
      <c r="E3" s="634">
        <f>+D3+1</f>
        <v>45569</v>
      </c>
      <c r="F3" s="634">
        <f>+E3+1</f>
        <v>45570</v>
      </c>
      <c r="G3" s="634">
        <f>F3+1</f>
        <v>45571</v>
      </c>
      <c r="H3" s="634">
        <f>G3+1</f>
        <v>45572</v>
      </c>
      <c r="I3" s="634">
        <f>H3+1</f>
        <v>45573</v>
      </c>
      <c r="J3" s="634">
        <f>+I3+1</f>
        <v>45574</v>
      </c>
      <c r="K3" s="634">
        <f>+J3+1</f>
        <v>45575</v>
      </c>
      <c r="L3" s="634">
        <f>+K3+1</f>
        <v>45576</v>
      </c>
      <c r="M3" s="634">
        <f>+L3+1</f>
        <v>45577</v>
      </c>
      <c r="N3" s="634">
        <f>+M3+1</f>
        <v>45578</v>
      </c>
      <c r="O3" s="634">
        <f>+N3+1</f>
        <v>45579</v>
      </c>
      <c r="P3" s="634">
        <f>O3+1</f>
        <v>45580</v>
      </c>
      <c r="Q3" s="634">
        <f>+P3+1</f>
        <v>45581</v>
      </c>
      <c r="R3" s="634">
        <f>Q3+1</f>
        <v>45582</v>
      </c>
      <c r="S3" s="634">
        <f>+R3+1</f>
        <v>45583</v>
      </c>
      <c r="T3" s="634">
        <f>+S3+1</f>
        <v>45584</v>
      </c>
      <c r="U3" s="634">
        <f>+T3+1</f>
        <v>45585</v>
      </c>
      <c r="V3" s="634">
        <f>+U3+1</f>
        <v>45586</v>
      </c>
      <c r="W3" s="634">
        <f>+V3+1</f>
        <v>45587</v>
      </c>
      <c r="X3" s="634">
        <f>+W3+1</f>
        <v>45588</v>
      </c>
      <c r="Y3" s="634">
        <f>X3+1</f>
        <v>45589</v>
      </c>
      <c r="Z3" s="634">
        <f>+Y3+1</f>
        <v>45590</v>
      </c>
      <c r="AA3" s="634">
        <f>Z3+1</f>
        <v>45591</v>
      </c>
      <c r="AB3" s="634">
        <f>+AA3+1</f>
        <v>45592</v>
      </c>
      <c r="AC3" s="634">
        <f>+AB3+1</f>
        <v>45593</v>
      </c>
      <c r="AD3" s="634">
        <f>+AC3+1</f>
        <v>45594</v>
      </c>
      <c r="AE3" s="634">
        <f>+AD3+1</f>
        <v>45595</v>
      </c>
      <c r="AF3" s="634">
        <f>+AE3+1</f>
        <v>45596</v>
      </c>
      <c r="AG3" s="158"/>
      <c r="AH3" s="158"/>
    </row>
    <row r="4" spans="1:135" s="157" customFormat="1" ht="20.100000000000001" customHeight="1" x14ac:dyDescent="0.25">
      <c r="A4" s="527" t="s">
        <v>1</v>
      </c>
      <c r="B4" s="531">
        <f>A1</f>
        <v>45566</v>
      </c>
      <c r="C4" s="531">
        <f>+B4+1</f>
        <v>45567</v>
      </c>
      <c r="D4" s="531">
        <f>+C4+1</f>
        <v>45568</v>
      </c>
      <c r="E4" s="531">
        <f>+D4+1</f>
        <v>45569</v>
      </c>
      <c r="F4" s="531">
        <f>+E4+1</f>
        <v>45570</v>
      </c>
      <c r="G4" s="531">
        <f>+F4+1</f>
        <v>45571</v>
      </c>
      <c r="H4" s="531">
        <f>+G4+1</f>
        <v>45572</v>
      </c>
      <c r="I4" s="531">
        <f>+H4+1</f>
        <v>45573</v>
      </c>
      <c r="J4" s="531">
        <f>+I4+1</f>
        <v>45574</v>
      </c>
      <c r="K4" s="531">
        <f>+J4+1</f>
        <v>45575</v>
      </c>
      <c r="L4" s="531">
        <f>+K4+1</f>
        <v>45576</v>
      </c>
      <c r="M4" s="531">
        <f>+L4+1</f>
        <v>45577</v>
      </c>
      <c r="N4" s="531">
        <f>+M4+1</f>
        <v>45578</v>
      </c>
      <c r="O4" s="531">
        <f>+N4+1</f>
        <v>45579</v>
      </c>
      <c r="P4" s="531">
        <f>+O4+1</f>
        <v>45580</v>
      </c>
      <c r="Q4" s="531">
        <f>+P4+1</f>
        <v>45581</v>
      </c>
      <c r="R4" s="531">
        <f>+Q4+1</f>
        <v>45582</v>
      </c>
      <c r="S4" s="531">
        <f>+R4+1</f>
        <v>45583</v>
      </c>
      <c r="T4" s="531">
        <f>+S4+1</f>
        <v>45584</v>
      </c>
      <c r="U4" s="531">
        <f>+T4+1</f>
        <v>45585</v>
      </c>
      <c r="V4" s="531">
        <f>+U4+1</f>
        <v>45586</v>
      </c>
      <c r="W4" s="531">
        <f>+V4+1</f>
        <v>45587</v>
      </c>
      <c r="X4" s="531">
        <f>+W4+1</f>
        <v>45588</v>
      </c>
      <c r="Y4" s="531">
        <f>+X4+1</f>
        <v>45589</v>
      </c>
      <c r="Z4" s="531">
        <f>+Y4+1</f>
        <v>45590</v>
      </c>
      <c r="AA4" s="531">
        <f>+Z4+1</f>
        <v>45591</v>
      </c>
      <c r="AB4" s="531">
        <f>+AA4+1</f>
        <v>45592</v>
      </c>
      <c r="AC4" s="531">
        <f>+AB4+1</f>
        <v>45593</v>
      </c>
      <c r="AD4" s="531">
        <f>+AC4+1</f>
        <v>45594</v>
      </c>
      <c r="AE4" s="531">
        <f>+AD4+1</f>
        <v>45595</v>
      </c>
      <c r="AF4" s="531">
        <f>+AE4+1</f>
        <v>45596</v>
      </c>
      <c r="AG4" s="158"/>
      <c r="AH4" s="158"/>
    </row>
    <row r="5" spans="1:135" s="180" customFormat="1" ht="9.9" customHeight="1" thickBot="1" x14ac:dyDescent="0.45">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G5" s="171"/>
      <c r="AH5" s="163"/>
    </row>
    <row r="6" spans="1:135" s="469" customFormat="1" ht="20.100000000000001" customHeight="1" thickBot="1" x14ac:dyDescent="0.45">
      <c r="A6" s="529" t="s">
        <v>2</v>
      </c>
      <c r="B6" s="487"/>
      <c r="C6" s="487"/>
      <c r="D6" s="487"/>
      <c r="E6" s="487"/>
      <c r="F6" s="487"/>
      <c r="G6" s="488"/>
      <c r="H6" s="488"/>
      <c r="I6" s="487"/>
      <c r="J6" s="487"/>
      <c r="K6" s="487"/>
      <c r="L6" s="487"/>
      <c r="M6" s="488"/>
      <c r="N6" s="488"/>
      <c r="O6" s="488"/>
      <c r="P6" s="487"/>
      <c r="Q6" s="487"/>
      <c r="R6" s="487"/>
      <c r="S6" s="487"/>
      <c r="T6" s="488"/>
      <c r="U6" s="488"/>
      <c r="V6" s="488"/>
      <c r="W6" s="487"/>
      <c r="X6" s="487"/>
      <c r="Y6" s="487"/>
      <c r="Z6" s="487"/>
      <c r="AA6" s="488"/>
      <c r="AB6" s="488"/>
      <c r="AC6" s="488"/>
      <c r="AD6" s="487"/>
      <c r="AE6" s="487"/>
      <c r="AF6" s="487"/>
      <c r="AG6" s="467"/>
      <c r="AH6" s="470"/>
    </row>
    <row r="7" spans="1:135" s="180" customFormat="1" ht="20.100000000000001" customHeight="1" x14ac:dyDescent="0.4">
      <c r="A7" s="530" t="s">
        <v>3</v>
      </c>
      <c r="B7" s="173"/>
      <c r="C7" s="173"/>
      <c r="D7" s="173"/>
      <c r="E7" s="173"/>
      <c r="F7" s="173"/>
      <c r="G7" s="173"/>
      <c r="H7" s="173"/>
      <c r="I7" s="173"/>
      <c r="J7" s="173"/>
      <c r="K7" s="173"/>
      <c r="L7" s="173"/>
      <c r="M7" s="173"/>
      <c r="N7" s="173"/>
      <c r="O7" s="173"/>
      <c r="P7" s="173"/>
      <c r="Q7" s="173"/>
      <c r="R7" s="173"/>
      <c r="S7" s="173"/>
      <c r="T7" s="472" t="s">
        <v>131</v>
      </c>
      <c r="U7" s="472" t="s">
        <v>131</v>
      </c>
      <c r="V7" s="472" t="s">
        <v>131</v>
      </c>
      <c r="W7" s="472" t="s">
        <v>131</v>
      </c>
      <c r="X7" s="472" t="s">
        <v>131</v>
      </c>
      <c r="Y7" s="472" t="s">
        <v>131</v>
      </c>
      <c r="Z7" s="472" t="s">
        <v>131</v>
      </c>
      <c r="AA7" s="472" t="s">
        <v>131</v>
      </c>
      <c r="AB7" s="472" t="s">
        <v>131</v>
      </c>
      <c r="AC7" s="472" t="s">
        <v>131</v>
      </c>
      <c r="AD7" s="472" t="s">
        <v>131</v>
      </c>
      <c r="AE7" s="472" t="s">
        <v>131</v>
      </c>
      <c r="AF7" s="472" t="s">
        <v>131</v>
      </c>
      <c r="AG7" s="171"/>
      <c r="AH7" s="165"/>
    </row>
    <row r="8" spans="1:135" s="561" customFormat="1" ht="25.5" customHeight="1" x14ac:dyDescent="0.3">
      <c r="A8" s="559" t="s">
        <v>132</v>
      </c>
      <c r="B8" s="562"/>
      <c r="C8" s="562"/>
      <c r="D8" s="562">
        <v>0.41666666666666669</v>
      </c>
      <c r="E8" s="562">
        <v>0.41666666666666669</v>
      </c>
      <c r="F8" s="562">
        <v>0.41666666666666669</v>
      </c>
      <c r="G8" s="562">
        <v>0.41666666666666669</v>
      </c>
      <c r="H8" s="562"/>
      <c r="I8" s="562"/>
      <c r="J8" s="562"/>
      <c r="K8" s="562">
        <v>0.41666666666666669</v>
      </c>
      <c r="L8" s="562">
        <v>0.41666666666666669</v>
      </c>
      <c r="M8" s="562">
        <v>0.41666666666666669</v>
      </c>
      <c r="N8" s="562">
        <v>0.41666666666666669</v>
      </c>
      <c r="O8" s="562"/>
      <c r="P8" s="562"/>
      <c r="Q8" s="562"/>
      <c r="R8" s="562">
        <v>0.41666666666666669</v>
      </c>
      <c r="S8" s="562">
        <v>0.41666666666666669</v>
      </c>
      <c r="T8" s="562">
        <v>0.36458333333333331</v>
      </c>
      <c r="U8" s="562">
        <v>0.36458333333333331</v>
      </c>
      <c r="V8" s="562">
        <v>0.36458333333333331</v>
      </c>
      <c r="W8" s="562">
        <v>0.36458333333333331</v>
      </c>
      <c r="X8" s="562">
        <v>0.36458333333333331</v>
      </c>
      <c r="Y8" s="562">
        <v>0.36458333333333331</v>
      </c>
      <c r="Z8" s="562">
        <v>0.36458333333333331</v>
      </c>
      <c r="AA8" s="562">
        <v>0.36458333333333331</v>
      </c>
      <c r="AB8" s="562">
        <v>0.36458333333333331</v>
      </c>
      <c r="AC8" s="562">
        <v>0.36458333333333331</v>
      </c>
      <c r="AD8" s="562">
        <v>0.36458333333333331</v>
      </c>
      <c r="AE8" s="562">
        <v>0.36458333333333331</v>
      </c>
      <c r="AF8" s="562">
        <v>0.36458333333333331</v>
      </c>
      <c r="AG8" s="560"/>
      <c r="AH8" s="562"/>
    </row>
    <row r="9" spans="1:135" s="180" customFormat="1" ht="20.25" customHeight="1" x14ac:dyDescent="0.4">
      <c r="A9" s="519" t="s">
        <v>36</v>
      </c>
      <c r="B9" s="511"/>
      <c r="C9" s="511"/>
      <c r="D9" s="511">
        <v>0.41666666666666669</v>
      </c>
      <c r="E9" s="511">
        <v>0.41666666666666669</v>
      </c>
      <c r="F9" s="511">
        <v>0.40625</v>
      </c>
      <c r="G9" s="511">
        <v>0.40625</v>
      </c>
      <c r="H9" s="511"/>
      <c r="I9" s="511"/>
      <c r="J9" s="511"/>
      <c r="K9" s="511">
        <v>0.41666666666666669</v>
      </c>
      <c r="L9" s="511">
        <v>0.41666666666666669</v>
      </c>
      <c r="M9" s="511">
        <v>0.40625</v>
      </c>
      <c r="N9" s="511">
        <v>0.40625</v>
      </c>
      <c r="O9" s="511"/>
      <c r="P9" s="511"/>
      <c r="Q9" s="511"/>
      <c r="R9" s="511">
        <v>0.41666666666666669</v>
      </c>
      <c r="S9" s="511">
        <v>0.41666666666666669</v>
      </c>
      <c r="T9" s="511">
        <v>0.36458333333333331</v>
      </c>
      <c r="U9" s="511">
        <v>0.36458333333333331</v>
      </c>
      <c r="V9" s="511">
        <v>0.36458333333333331</v>
      </c>
      <c r="W9" s="511">
        <v>0.36458333333333331</v>
      </c>
      <c r="X9" s="511">
        <v>0.36458333333333331</v>
      </c>
      <c r="Y9" s="511">
        <v>0.36458333333333331</v>
      </c>
      <c r="Z9" s="511">
        <v>0.36458333333333331</v>
      </c>
      <c r="AA9" s="511">
        <v>0.36458333333333331</v>
      </c>
      <c r="AB9" s="511">
        <v>0.36458333333333331</v>
      </c>
      <c r="AC9" s="511">
        <v>0.36458333333333331</v>
      </c>
      <c r="AD9" s="511">
        <v>0.36458333333333331</v>
      </c>
      <c r="AE9" s="511">
        <v>0.36458333333333331</v>
      </c>
      <c r="AF9" s="511">
        <v>0.36458333333333331</v>
      </c>
      <c r="AG9" s="172"/>
      <c r="AH9" s="554"/>
    </row>
    <row r="10" spans="1:135" s="180" customFormat="1" ht="20.100000000000001" customHeight="1" x14ac:dyDescent="0.4">
      <c r="A10" s="520" t="s">
        <v>5</v>
      </c>
      <c r="B10" s="626"/>
      <c r="C10" s="626"/>
      <c r="D10" s="626">
        <v>0.41666666666666669</v>
      </c>
      <c r="E10" s="626">
        <v>0.41666666666666669</v>
      </c>
      <c r="F10" s="626">
        <v>0.41666666666666669</v>
      </c>
      <c r="G10" s="626">
        <v>0.41666666666666669</v>
      </c>
      <c r="H10" s="626"/>
      <c r="I10" s="626"/>
      <c r="J10" s="626"/>
      <c r="K10" s="626">
        <v>0.41666666666666669</v>
      </c>
      <c r="L10" s="626">
        <v>0.41666666666666669</v>
      </c>
      <c r="M10" s="626">
        <v>0.41666666666666669</v>
      </c>
      <c r="N10" s="626">
        <v>0.41666666666666669</v>
      </c>
      <c r="O10" s="626"/>
      <c r="P10" s="626"/>
      <c r="Q10" s="626"/>
      <c r="R10" s="626">
        <v>0.41666666666666669</v>
      </c>
      <c r="S10" s="626">
        <v>0.41666666666666669</v>
      </c>
      <c r="T10" s="626">
        <v>0.375</v>
      </c>
      <c r="U10" s="626">
        <v>0.375</v>
      </c>
      <c r="V10" s="626">
        <v>0.375</v>
      </c>
      <c r="W10" s="626">
        <v>0.375</v>
      </c>
      <c r="X10" s="626">
        <v>0.375</v>
      </c>
      <c r="Y10" s="626">
        <v>0.375</v>
      </c>
      <c r="Z10" s="626">
        <v>0.375</v>
      </c>
      <c r="AA10" s="626">
        <v>0.375</v>
      </c>
      <c r="AB10" s="626">
        <v>0.375</v>
      </c>
      <c r="AC10" s="626">
        <v>0.375</v>
      </c>
      <c r="AD10" s="626">
        <v>0.375</v>
      </c>
      <c r="AE10" s="626">
        <v>0.375</v>
      </c>
      <c r="AF10" s="626">
        <v>0.375</v>
      </c>
      <c r="AG10" s="171"/>
      <c r="AH10" s="626"/>
    </row>
    <row r="11" spans="1:135" s="180" customFormat="1" ht="20.100000000000001" customHeight="1" x14ac:dyDescent="0.4">
      <c r="A11" s="520" t="s">
        <v>6</v>
      </c>
      <c r="B11" s="627" t="str">
        <f>IF(B10="","",IF(B15=0,B14+"0:30",+B15+"0:30"))</f>
        <v/>
      </c>
      <c r="C11" s="627" t="str">
        <f>IF(C10="","",IF(C15=0,C14+"0:30",+C15+"0:30"))</f>
        <v/>
      </c>
      <c r="D11" s="627">
        <f>IF(D10="","",IF(D15=0,D14+"0:30",+D15+"0:30"))</f>
        <v>0.85416666666666674</v>
      </c>
      <c r="E11" s="627">
        <f>IF(E10="","",IF(E15=0,E14+"0:30",+E15+"0:30"))</f>
        <v>0.85416666666666674</v>
      </c>
      <c r="F11" s="627">
        <f>IF(F10="","",IF(F15=0,F14+"0:30",+F15+"0:30"))</f>
        <v>0.91666666666666674</v>
      </c>
      <c r="G11" s="627">
        <f>IF(G10="","",IF(G15=0,G14+"0:30",+G15+"0:30"))</f>
        <v>0.85416666666666674</v>
      </c>
      <c r="H11" s="627" t="str">
        <f>IF(H10="","",IF(H15=0,H14+"0:30",+H15+"0:30"))</f>
        <v/>
      </c>
      <c r="I11" s="627" t="str">
        <f>IF(I10="","",IF(I15=0,I14+"0:30",+I15+"0:30"))</f>
        <v/>
      </c>
      <c r="J11" s="627" t="str">
        <f>IF(J10="","",IF(J15=0,J14+"0:30",+J15+"0:30"))</f>
        <v/>
      </c>
      <c r="K11" s="627">
        <f>IF(K10="","",IF(K15=0,K14+"0:30",+K15+"0:30"))</f>
        <v>0.85416666666666674</v>
      </c>
      <c r="L11" s="627">
        <f>IF(L10="","",IF(L15=0,L14+"0:30",+L15+"0:30"))</f>
        <v>0.85416666666666674</v>
      </c>
      <c r="M11" s="627">
        <f>IF(M10="","",IF(M15=0,M14+"0:30",+M15+"0:30"))</f>
        <v>0.91666666666666674</v>
      </c>
      <c r="N11" s="627">
        <f>IF(N10="","",IF(N15=0,N14+"0:30",+N15+"0:30"))</f>
        <v>0.85416666666666674</v>
      </c>
      <c r="O11" s="627" t="str">
        <f>IF(O10="","",IF(O15=0,O14+"0:30",+O15+"0:30"))</f>
        <v/>
      </c>
      <c r="P11" s="627" t="str">
        <f>IF(P10="","",IF(P15=0,P14+"0:30",+P15+"0:30"))</f>
        <v/>
      </c>
      <c r="Q11" s="627" t="str">
        <f>IF(Q10="","",IF(Q15=0,Q14+"0:30",+Q15+"0:30"))</f>
        <v/>
      </c>
      <c r="R11" s="627">
        <f>IF(R10="","",IF(R15=0,R14+"0:30",+R15+"0:30"))</f>
        <v>0.85416666666666674</v>
      </c>
      <c r="S11" s="627">
        <f>IF(S10="","",IF(S15=0,S14+"0:30",+S15+"0:30"))</f>
        <v>0.85416666666666674</v>
      </c>
      <c r="T11" s="627">
        <f>IF(T10="","",IF(T15=0,T14+"0:30",+T15+"0:30"))</f>
        <v>0.92708333333333337</v>
      </c>
      <c r="U11" s="627">
        <f>IF(U10="","",IF(U15=0,U14+"0:30",+U15+"0:30"))</f>
        <v>0.92708333333333337</v>
      </c>
      <c r="V11" s="627">
        <f>IF(V10="","",IF(V15=0,V14+"0:30",+V15+"0:30"))</f>
        <v>0.92708333333333337</v>
      </c>
      <c r="W11" s="627">
        <f>IF(W10="","",IF(W15=0,W14+"0:30",+W15+"0:30"))</f>
        <v>0.92708333333333337</v>
      </c>
      <c r="X11" s="627">
        <f>IF(X10="","",IF(X15=0,X14+"0:30",+X15+"0:30"))</f>
        <v>0.92708333333333337</v>
      </c>
      <c r="Y11" s="627">
        <f>IF(Y10="","",IF(Y15=0,Y14+"0:30",+Y15+"0:30"))</f>
        <v>0.92708333333333337</v>
      </c>
      <c r="Z11" s="627">
        <f>IF(Z10="","",IF(Z15=0,Z14+"0:30",+Z15+"0:30"))</f>
        <v>0.92708333333333337</v>
      </c>
      <c r="AA11" s="627">
        <f>IF(AA10="","",IF(AA15=0,AA14+"0:30",+AA15+"0:30"))</f>
        <v>0.92708333333333337</v>
      </c>
      <c r="AB11" s="627">
        <f>IF(AB10="","",IF(AB15=0,AB14+"0:30",+AB15+"0:30"))</f>
        <v>0.92708333333333337</v>
      </c>
      <c r="AC11" s="627">
        <f>IF(AC10="","",IF(AC15=0,AC14+"0:30",+AC15+"0:30"))</f>
        <v>0.92708333333333337</v>
      </c>
      <c r="AD11" s="627">
        <f>IF(AD10="","",IF(AD15=0,AD14+"0:30",+AD15+"0:30"))</f>
        <v>0.92708333333333337</v>
      </c>
      <c r="AE11" s="627">
        <f>IF(AE10="","",IF(AE15=0,AE14+"0:30",+AE15+"0:30"))</f>
        <v>0.92708333333333337</v>
      </c>
      <c r="AF11" s="627">
        <f>IF(AF10="","",IF(AF15=0,AF14+"0:30",+AF15+"0:30"))</f>
        <v>0.92708333333333337</v>
      </c>
      <c r="AG11" s="171"/>
      <c r="AH11" s="626"/>
    </row>
    <row r="12" spans="1:135" s="501" customFormat="1" ht="20.100000000000001" customHeight="1" x14ac:dyDescent="0.4">
      <c r="A12" s="521" t="s">
        <v>7</v>
      </c>
      <c r="B12" s="623" t="str">
        <f>+IF(B10="","",(B11-B10))</f>
        <v/>
      </c>
      <c r="C12" s="623" t="str">
        <f>+IF(C10="","",(C11-C10))</f>
        <v/>
      </c>
      <c r="D12" s="623">
        <f>+IF(D10="","",(D11-D10))</f>
        <v>0.43750000000000006</v>
      </c>
      <c r="E12" s="623">
        <f>+IF(E10="","",(E11-E10))</f>
        <v>0.43750000000000006</v>
      </c>
      <c r="F12" s="623">
        <f>+IF(F10="","",(F11-F10))</f>
        <v>0.5</v>
      </c>
      <c r="G12" s="623">
        <f>+IF(G10="","",(G11-G10))</f>
        <v>0.43750000000000006</v>
      </c>
      <c r="H12" s="623" t="str">
        <f>+IF(H10="","",(H11-H10))</f>
        <v/>
      </c>
      <c r="I12" s="623" t="str">
        <f>+IF(I10="","",(I11-I10))</f>
        <v/>
      </c>
      <c r="J12" s="623" t="str">
        <f>+IF(J10="","",(J11-J10))</f>
        <v/>
      </c>
      <c r="K12" s="623">
        <f>+IF(K10="","",(K11-K10))</f>
        <v>0.43750000000000006</v>
      </c>
      <c r="L12" s="623">
        <f>+IF(L10="","",(L11-L10))</f>
        <v>0.43750000000000006</v>
      </c>
      <c r="M12" s="623">
        <f>+IF(M10="","",(M11-M10))</f>
        <v>0.5</v>
      </c>
      <c r="N12" s="623">
        <f>+IF(N10="","",(N11-N10))</f>
        <v>0.43750000000000006</v>
      </c>
      <c r="O12" s="623" t="str">
        <f>+IF(O10="","",(O11-O10))</f>
        <v/>
      </c>
      <c r="P12" s="623" t="str">
        <f>+IF(P10="","",(P11-P10))</f>
        <v/>
      </c>
      <c r="Q12" s="623" t="str">
        <f>+IF(Q10="","",(Q11-Q10))</f>
        <v/>
      </c>
      <c r="R12" s="623">
        <f>+IF(R10="","",(R11-R10))</f>
        <v>0.43750000000000006</v>
      </c>
      <c r="S12" s="623">
        <f>+IF(S10="","",(S11-S10))</f>
        <v>0.43750000000000006</v>
      </c>
      <c r="T12" s="623">
        <f>+IF(T10="","",(T11-T10))</f>
        <v>0.55208333333333337</v>
      </c>
      <c r="U12" s="623">
        <f>+IF(U10="","",(U11-U10))</f>
        <v>0.55208333333333337</v>
      </c>
      <c r="V12" s="623">
        <f>+IF(V10="","",(V11-V10))</f>
        <v>0.55208333333333337</v>
      </c>
      <c r="W12" s="623">
        <f>+IF(W10="","",(W11-W10))</f>
        <v>0.55208333333333337</v>
      </c>
      <c r="X12" s="623">
        <f>+IF(X10="","",(X11-X10))</f>
        <v>0.55208333333333337</v>
      </c>
      <c r="Y12" s="623">
        <f>+IF(Y10="","",(Y11-Y10))</f>
        <v>0.55208333333333337</v>
      </c>
      <c r="Z12" s="623">
        <f>+IF(Z10="","",(Z11-Z10))</f>
        <v>0.55208333333333337</v>
      </c>
      <c r="AA12" s="623">
        <f>+IF(AA10="","",(AA11-AA10))</f>
        <v>0.55208333333333337</v>
      </c>
      <c r="AB12" s="623">
        <f>+IF(AB10="","",(AB11-AB10))</f>
        <v>0.55208333333333337</v>
      </c>
      <c r="AC12" s="623">
        <f>+IF(AC10="","",(AC11-AC10))</f>
        <v>0.55208333333333337</v>
      </c>
      <c r="AD12" s="623">
        <f>+IF(AD10="","",(AD11-AD10))</f>
        <v>0.55208333333333337</v>
      </c>
      <c r="AE12" s="623">
        <f>+IF(AE10="","",(AE11-AE10))</f>
        <v>0.55208333333333337</v>
      </c>
      <c r="AF12" s="623">
        <f>+IF(AF10="","",(AF11-AF10))</f>
        <v>0.55208333333333337</v>
      </c>
      <c r="AG12" s="508"/>
      <c r="AH12" s="624">
        <f>SUM(B12:AF12)</f>
        <v>11.677083333333336</v>
      </c>
    </row>
    <row r="13" spans="1:135" s="180" customFormat="1" ht="9.9" customHeight="1" x14ac:dyDescent="0.4">
      <c r="A13" s="166"/>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2"/>
      <c r="AH13" s="174"/>
    </row>
    <row r="14" spans="1:135" s="180" customFormat="1" ht="20.100000000000001" customHeight="1" x14ac:dyDescent="0.4">
      <c r="A14" s="615" t="s">
        <v>8</v>
      </c>
      <c r="B14" s="176"/>
      <c r="C14" s="176"/>
      <c r="D14" s="176">
        <v>0.83333333333333337</v>
      </c>
      <c r="E14" s="176">
        <v>0.83333333333333337</v>
      </c>
      <c r="F14" s="176">
        <v>0.89583333333333337</v>
      </c>
      <c r="G14" s="176">
        <v>0.83333333333333337</v>
      </c>
      <c r="H14" s="176"/>
      <c r="I14" s="176"/>
      <c r="J14" s="176"/>
      <c r="K14" s="176">
        <v>0.83333333333333337</v>
      </c>
      <c r="L14" s="176">
        <v>0.83333333333333337</v>
      </c>
      <c r="M14" s="176">
        <v>0.89583333333333337</v>
      </c>
      <c r="N14" s="176">
        <v>0.83333333333333337</v>
      </c>
      <c r="O14" s="176"/>
      <c r="P14" s="176"/>
      <c r="Q14" s="176"/>
      <c r="R14" s="176">
        <v>0.83333333333333337</v>
      </c>
      <c r="S14" s="176">
        <v>0.83333333333333337</v>
      </c>
      <c r="T14" s="176">
        <v>0.875</v>
      </c>
      <c r="U14" s="176">
        <v>0.875</v>
      </c>
      <c r="V14" s="176">
        <v>0.875</v>
      </c>
      <c r="W14" s="176">
        <v>0.875</v>
      </c>
      <c r="X14" s="176">
        <v>0.875</v>
      </c>
      <c r="Y14" s="176">
        <v>0.875</v>
      </c>
      <c r="Z14" s="176">
        <v>0.875</v>
      </c>
      <c r="AA14" s="176">
        <v>0.875</v>
      </c>
      <c r="AB14" s="176">
        <v>0.875</v>
      </c>
      <c r="AC14" s="176">
        <v>0.875</v>
      </c>
      <c r="AD14" s="176">
        <v>0.875</v>
      </c>
      <c r="AE14" s="176">
        <v>0.875</v>
      </c>
      <c r="AF14" s="176">
        <v>0.875</v>
      </c>
      <c r="AG14" s="171"/>
      <c r="AH14" s="176"/>
    </row>
    <row r="15" spans="1:135" s="180" customFormat="1" ht="17.399999999999999" thickBot="1" x14ac:dyDescent="0.45">
      <c r="A15" s="519" t="s">
        <v>9</v>
      </c>
      <c r="B15" s="575"/>
      <c r="C15" s="575"/>
      <c r="D15" s="575"/>
      <c r="E15" s="575"/>
      <c r="F15" s="575"/>
      <c r="G15" s="575"/>
      <c r="H15" s="575"/>
      <c r="I15" s="575"/>
      <c r="J15" s="575"/>
      <c r="K15" s="575"/>
      <c r="L15" s="575"/>
      <c r="M15" s="575"/>
      <c r="N15" s="575"/>
      <c r="O15" s="575"/>
      <c r="P15" s="575"/>
      <c r="Q15" s="575"/>
      <c r="R15" s="575"/>
      <c r="S15" s="575"/>
      <c r="T15" s="575">
        <v>0.90625</v>
      </c>
      <c r="U15" s="575">
        <v>0.90625</v>
      </c>
      <c r="V15" s="575">
        <v>0.90625</v>
      </c>
      <c r="W15" s="575">
        <v>0.90625</v>
      </c>
      <c r="X15" s="575">
        <v>0.90625</v>
      </c>
      <c r="Y15" s="575">
        <v>0.90625</v>
      </c>
      <c r="Z15" s="575">
        <v>0.90625</v>
      </c>
      <c r="AA15" s="575">
        <v>0.90625</v>
      </c>
      <c r="AB15" s="575">
        <v>0.90625</v>
      </c>
      <c r="AC15" s="575">
        <v>0.90625</v>
      </c>
      <c r="AD15" s="575">
        <v>0.90625</v>
      </c>
      <c r="AE15" s="575">
        <v>0.90625</v>
      </c>
      <c r="AF15" s="575">
        <v>0.90625</v>
      </c>
      <c r="AG15" s="171"/>
      <c r="AH15" s="555"/>
    </row>
    <row r="16" spans="1:135" s="180" customFormat="1" hidden="1" outlineLevel="1" thickBot="1" x14ac:dyDescent="0.45">
      <c r="A16" s="519" t="s">
        <v>19</v>
      </c>
      <c r="B16" s="178"/>
      <c r="C16" s="178"/>
      <c r="D16" s="178"/>
      <c r="E16" s="178"/>
      <c r="F16" s="178"/>
      <c r="G16" s="178"/>
      <c r="H16" s="178"/>
      <c r="I16" s="178"/>
      <c r="J16" s="178"/>
      <c r="K16" s="178"/>
      <c r="L16" s="178"/>
      <c r="M16" s="178"/>
      <c r="N16" s="178"/>
      <c r="O16" s="178"/>
      <c r="P16" s="178"/>
      <c r="Q16" s="178"/>
      <c r="R16" s="178"/>
      <c r="S16" s="178"/>
      <c r="T16" s="178"/>
      <c r="U16" s="178"/>
      <c r="V16" s="178"/>
      <c r="W16" s="178"/>
      <c r="X16" s="178"/>
      <c r="Y16" s="178"/>
      <c r="Z16" s="178"/>
      <c r="AA16" s="178"/>
      <c r="AB16" s="178"/>
      <c r="AC16" s="178"/>
      <c r="AD16" s="178"/>
      <c r="AE16" s="178"/>
      <c r="AF16" s="178"/>
      <c r="AG16" s="171"/>
      <c r="AH16" s="167"/>
    </row>
    <row r="17" spans="1:135" s="180" customFormat="1" hidden="1" outlineLevel="1" thickBot="1" x14ac:dyDescent="0.45">
      <c r="A17" s="519" t="s">
        <v>10</v>
      </c>
      <c r="B17" s="179">
        <f>COUNTIF(B14,"&gt;0")</f>
        <v>0</v>
      </c>
      <c r="C17" s="179">
        <f>COUNTIF(C14,"&gt;0")</f>
        <v>0</v>
      </c>
      <c r="D17" s="179">
        <f>COUNTIF(D14,"&gt;0")</f>
        <v>1</v>
      </c>
      <c r="E17" s="179">
        <f>COUNTIF(E14,"&gt;0")</f>
        <v>1</v>
      </c>
      <c r="F17" s="179">
        <f>COUNTIF(F14,"&gt;0")</f>
        <v>1</v>
      </c>
      <c r="G17" s="179">
        <f>COUNTIF(G14,"&gt;0")</f>
        <v>1</v>
      </c>
      <c r="H17" s="179">
        <f>COUNTIF(H14,"&gt;0")</f>
        <v>0</v>
      </c>
      <c r="I17" s="179">
        <f>COUNTIF(I14,"&gt;0")</f>
        <v>0</v>
      </c>
      <c r="J17" s="179">
        <f>COUNTIF(J14,"&gt;0")</f>
        <v>0</v>
      </c>
      <c r="K17" s="179">
        <f>COUNTIF(K14,"&gt;0")</f>
        <v>1</v>
      </c>
      <c r="L17" s="179">
        <f>COUNTIF(L14,"&gt;0")</f>
        <v>1</v>
      </c>
      <c r="M17" s="179">
        <f>COUNTIF(M14,"&gt;0")</f>
        <v>1</v>
      </c>
      <c r="N17" s="179">
        <f>COUNTIF(N14,"&gt;0")</f>
        <v>1</v>
      </c>
      <c r="O17" s="179">
        <f>COUNTIF(O14,"&gt;0")</f>
        <v>0</v>
      </c>
      <c r="P17" s="179">
        <f>COUNTIF(P14,"&gt;0")</f>
        <v>0</v>
      </c>
      <c r="Q17" s="179">
        <f>COUNTIF(Q14,"&gt;0")</f>
        <v>0</v>
      </c>
      <c r="R17" s="179">
        <f>COUNTIF(R14,"&gt;0")</f>
        <v>1</v>
      </c>
      <c r="S17" s="179">
        <f>COUNTIF(S14,"&gt;0")</f>
        <v>1</v>
      </c>
      <c r="T17" s="179">
        <f>COUNTIF(T14,"&gt;0")</f>
        <v>1</v>
      </c>
      <c r="U17" s="179">
        <f>COUNTIF(U14,"&gt;0")</f>
        <v>1</v>
      </c>
      <c r="V17" s="179">
        <f>COUNTIF(V14,"&gt;0")</f>
        <v>1</v>
      </c>
      <c r="W17" s="179">
        <f>COUNTIF(W14,"&gt;0")</f>
        <v>1</v>
      </c>
      <c r="X17" s="179">
        <f>COUNTIF(X14,"&gt;0")</f>
        <v>1</v>
      </c>
      <c r="Y17" s="179">
        <f>COUNTIF(Y14,"&gt;0")</f>
        <v>1</v>
      </c>
      <c r="Z17" s="179">
        <f>COUNTIF(Z14,"&gt;0")</f>
        <v>1</v>
      </c>
      <c r="AA17" s="179">
        <f>COUNTIF(AA14,"&gt;0")</f>
        <v>1</v>
      </c>
      <c r="AB17" s="179">
        <f>COUNTIF(AB14,"&gt;0")</f>
        <v>1</v>
      </c>
      <c r="AC17" s="179">
        <f>COUNTIF(AC14,"&gt;0")</f>
        <v>1</v>
      </c>
      <c r="AD17" s="179">
        <f>COUNTIF(AD14,"&gt;0")</f>
        <v>1</v>
      </c>
      <c r="AE17" s="179">
        <f>COUNTIF(AE14,"&gt;0")</f>
        <v>1</v>
      </c>
      <c r="AF17" s="179">
        <f>COUNTIF(AF14,"&gt;0")</f>
        <v>1</v>
      </c>
      <c r="AG17" s="171"/>
      <c r="AH17" s="163"/>
    </row>
    <row r="18" spans="1:135" s="180" customFormat="1" hidden="1" outlineLevel="1" thickBot="1" x14ac:dyDescent="0.45">
      <c r="A18" s="519" t="s">
        <v>11</v>
      </c>
      <c r="B18" s="179">
        <f>COUNTIF(B15,"&gt;0")</f>
        <v>0</v>
      </c>
      <c r="C18" s="179">
        <f>COUNTIF(C15,"&gt;0")</f>
        <v>0</v>
      </c>
      <c r="D18" s="179">
        <f>COUNTIF(D15,"&gt;0")</f>
        <v>0</v>
      </c>
      <c r="E18" s="179">
        <f>COUNTIF(E15,"&gt;0")</f>
        <v>0</v>
      </c>
      <c r="F18" s="179">
        <f>COUNTIF(F15,"&gt;0")</f>
        <v>0</v>
      </c>
      <c r="G18" s="179">
        <f>COUNTIF(G15,"&gt;0")</f>
        <v>0</v>
      </c>
      <c r="H18" s="179">
        <f>COUNTIF(H15,"&gt;0")</f>
        <v>0</v>
      </c>
      <c r="I18" s="179">
        <f>COUNTIF(I15,"&gt;0")</f>
        <v>0</v>
      </c>
      <c r="J18" s="179">
        <f>COUNTIF(J15,"&gt;0")</f>
        <v>0</v>
      </c>
      <c r="K18" s="179">
        <f>COUNTIF(K15,"&gt;0")</f>
        <v>0</v>
      </c>
      <c r="L18" s="179">
        <f>COUNTIF(L15,"&gt;0")</f>
        <v>0</v>
      </c>
      <c r="M18" s="179">
        <f>COUNTIF(M15,"&gt;0")</f>
        <v>0</v>
      </c>
      <c r="N18" s="179">
        <f>COUNTIF(N15,"&gt;0")</f>
        <v>0</v>
      </c>
      <c r="O18" s="179">
        <f>COUNTIF(O15,"&gt;0")</f>
        <v>0</v>
      </c>
      <c r="P18" s="179">
        <f>COUNTIF(P15,"&gt;0")</f>
        <v>0</v>
      </c>
      <c r="Q18" s="179">
        <f>COUNTIF(Q15,"&gt;0")</f>
        <v>0</v>
      </c>
      <c r="R18" s="179">
        <f>COUNTIF(R15,"&gt;0")</f>
        <v>0</v>
      </c>
      <c r="S18" s="179">
        <f>COUNTIF(S15,"&gt;0")</f>
        <v>0</v>
      </c>
      <c r="T18" s="179">
        <f>COUNTIF(T15,"&gt;0")</f>
        <v>1</v>
      </c>
      <c r="U18" s="179">
        <f>COUNTIF(U15,"&gt;0")</f>
        <v>1</v>
      </c>
      <c r="V18" s="179">
        <f>COUNTIF(V15,"&gt;0")</f>
        <v>1</v>
      </c>
      <c r="W18" s="179">
        <f>COUNTIF(W15,"&gt;0")</f>
        <v>1</v>
      </c>
      <c r="X18" s="179">
        <f>COUNTIF(X15,"&gt;0")</f>
        <v>1</v>
      </c>
      <c r="Y18" s="179">
        <f>COUNTIF(Y15,"&gt;0")</f>
        <v>1</v>
      </c>
      <c r="Z18" s="179">
        <f>COUNTIF(Z15,"&gt;0")</f>
        <v>1</v>
      </c>
      <c r="AA18" s="179">
        <f>COUNTIF(AA15,"&gt;0")</f>
        <v>1</v>
      </c>
      <c r="AB18" s="179">
        <f>COUNTIF(AB15,"&gt;0")</f>
        <v>1</v>
      </c>
      <c r="AC18" s="179">
        <f>COUNTIF(AC15,"&gt;0")</f>
        <v>1</v>
      </c>
      <c r="AD18" s="179">
        <f>COUNTIF(AD15,"&gt;0")</f>
        <v>1</v>
      </c>
      <c r="AE18" s="179">
        <f>COUNTIF(AE15,"&gt;0")</f>
        <v>1</v>
      </c>
      <c r="AF18" s="179">
        <f>COUNTIF(AF15,"&gt;0")</f>
        <v>1</v>
      </c>
      <c r="AG18" s="171"/>
      <c r="AH18" s="163"/>
    </row>
    <row r="19" spans="1:135" s="180" customFormat="1" hidden="1" outlineLevel="1" thickBot="1" x14ac:dyDescent="0.45">
      <c r="A19" s="519" t="s">
        <v>20</v>
      </c>
      <c r="B19" s="179">
        <f>COUNTIF(B16,"&gt;0")</f>
        <v>0</v>
      </c>
      <c r="C19" s="179">
        <f>COUNTIF(C16,"&gt;0")</f>
        <v>0</v>
      </c>
      <c r="D19" s="179">
        <f>COUNTIF(D16,"&gt;0")</f>
        <v>0</v>
      </c>
      <c r="E19" s="179">
        <f>COUNTIF(E16,"&gt;0")</f>
        <v>0</v>
      </c>
      <c r="F19" s="179">
        <f>COUNTIF(F16,"&gt;0")</f>
        <v>0</v>
      </c>
      <c r="G19" s="179">
        <f>COUNTIF(G16,"&gt;0")</f>
        <v>0</v>
      </c>
      <c r="H19" s="179">
        <f>COUNTIF(H16,"&gt;0")</f>
        <v>0</v>
      </c>
      <c r="I19" s="179">
        <f>COUNTIF(I16,"&gt;0")</f>
        <v>0</v>
      </c>
      <c r="J19" s="179">
        <f>COUNTIF(J16,"&gt;0")</f>
        <v>0</v>
      </c>
      <c r="K19" s="179">
        <f>COUNTIF(K16,"&gt;0")</f>
        <v>0</v>
      </c>
      <c r="L19" s="179">
        <f>COUNTIF(L16,"&gt;0")</f>
        <v>0</v>
      </c>
      <c r="M19" s="179">
        <f>COUNTIF(M16,"&gt;0")</f>
        <v>0</v>
      </c>
      <c r="N19" s="179">
        <f>COUNTIF(N16,"&gt;0")</f>
        <v>0</v>
      </c>
      <c r="O19" s="179">
        <f>COUNTIF(O16,"&gt;0")</f>
        <v>0</v>
      </c>
      <c r="P19" s="179">
        <f>COUNTIF(P16,"&gt;0")</f>
        <v>0</v>
      </c>
      <c r="Q19" s="179">
        <f>COUNTIF(Q16,"&gt;0")</f>
        <v>0</v>
      </c>
      <c r="R19" s="179">
        <f>COUNTIF(R16,"&gt;0")</f>
        <v>0</v>
      </c>
      <c r="S19" s="179">
        <f>COUNTIF(S16,"&gt;0")</f>
        <v>0</v>
      </c>
      <c r="T19" s="179">
        <f>COUNTIF(T16,"&gt;0")</f>
        <v>0</v>
      </c>
      <c r="U19" s="179">
        <f>COUNTIF(U16,"&gt;0")</f>
        <v>0</v>
      </c>
      <c r="V19" s="179">
        <f>COUNTIF(V16,"&gt;0")</f>
        <v>0</v>
      </c>
      <c r="W19" s="179">
        <f>COUNTIF(W16,"&gt;0")</f>
        <v>0</v>
      </c>
      <c r="X19" s="179">
        <f>COUNTIF(X16,"&gt;0")</f>
        <v>0</v>
      </c>
      <c r="Y19" s="179">
        <f>COUNTIF(Y16,"&gt;0")</f>
        <v>0</v>
      </c>
      <c r="Z19" s="179">
        <f>COUNTIF(Z16,"&gt;0")</f>
        <v>0</v>
      </c>
      <c r="AA19" s="179">
        <f>COUNTIF(AA16,"&gt;0")</f>
        <v>0</v>
      </c>
      <c r="AB19" s="179">
        <f>COUNTIF(AB16,"&gt;0")</f>
        <v>0</v>
      </c>
      <c r="AC19" s="179">
        <f>COUNTIF(AC16,"&gt;0")</f>
        <v>0</v>
      </c>
      <c r="AD19" s="179">
        <f>COUNTIF(AD16,"&gt;0")</f>
        <v>0</v>
      </c>
      <c r="AE19" s="179">
        <f>COUNTIF(AE16,"&gt;0")</f>
        <v>0</v>
      </c>
      <c r="AF19" s="179">
        <f>COUNTIF(AF16,"&gt;0")</f>
        <v>0</v>
      </c>
      <c r="AG19" s="171"/>
      <c r="AH19" s="163"/>
    </row>
    <row r="20" spans="1:135" s="180" customFormat="1" ht="17.399999999999999" collapsed="1" thickBot="1" x14ac:dyDescent="0.45">
      <c r="A20" s="615" t="s">
        <v>12</v>
      </c>
      <c r="B20" s="618" t="str">
        <f>IF(B14="","",SUM(B15:B17))</f>
        <v/>
      </c>
      <c r="C20" s="618" t="str">
        <f>IF(C14="","",SUM(C15:C17))</f>
        <v/>
      </c>
      <c r="D20" s="618">
        <f>IF(D14="","",SUM(D15:D17))</f>
        <v>1</v>
      </c>
      <c r="E20" s="618">
        <f>IF(E14="","",SUM(E15:E17))</f>
        <v>1</v>
      </c>
      <c r="F20" s="618">
        <f>IF(F14="","",SUM(F15:F17))</f>
        <v>1</v>
      </c>
      <c r="G20" s="618">
        <f>IF(G14="","",SUM(G15:G17))</f>
        <v>1</v>
      </c>
      <c r="H20" s="618" t="str">
        <f>IF(H14="","",SUM(H15:H17))</f>
        <v/>
      </c>
      <c r="I20" s="618" t="str">
        <f>IF(I14="","",SUM(I15:I17))</f>
        <v/>
      </c>
      <c r="J20" s="618" t="str">
        <f>IF(J14="","",SUM(J15:J17))</f>
        <v/>
      </c>
      <c r="K20" s="618">
        <f>IF(K14="","",SUM(K15:K17))</f>
        <v>1</v>
      </c>
      <c r="L20" s="618">
        <f>IF(L14="","",SUM(L15:L17))</f>
        <v>1</v>
      </c>
      <c r="M20" s="618">
        <f>IF(M14="","",SUM(M15:M17))</f>
        <v>1</v>
      </c>
      <c r="N20" s="618">
        <f>IF(N14="","",SUM(N15:N17))</f>
        <v>1</v>
      </c>
      <c r="O20" s="618" t="str">
        <f>IF(O14="","",SUM(O15:O17))</f>
        <v/>
      </c>
      <c r="P20" s="618" t="str">
        <f>IF(P14="","",SUM(P15:P17))</f>
        <v/>
      </c>
      <c r="Q20" s="618" t="str">
        <f>IF(Q14="","",SUM(Q15:Q17))</f>
        <v/>
      </c>
      <c r="R20" s="618">
        <f>IF(R14="","",SUM(R15:R17))</f>
        <v>1</v>
      </c>
      <c r="S20" s="618">
        <f>IF(S14="","",SUM(S15:S17))</f>
        <v>1</v>
      </c>
      <c r="T20" s="618">
        <f>IF(T14="","",SUM(T15:T17))</f>
        <v>1.90625</v>
      </c>
      <c r="U20" s="618">
        <f>IF(U14="","",SUM(U15:U17))</f>
        <v>1.90625</v>
      </c>
      <c r="V20" s="618">
        <f>IF(V14="","",SUM(V15:V17))</f>
        <v>1.90625</v>
      </c>
      <c r="W20" s="618">
        <f>IF(W14="","",SUM(W15:W17))</f>
        <v>1.90625</v>
      </c>
      <c r="X20" s="618">
        <f>IF(X14="","",SUM(X15:X17))</f>
        <v>1.90625</v>
      </c>
      <c r="Y20" s="618">
        <f>IF(Y14="","",SUM(Y15:Y17))</f>
        <v>1.90625</v>
      </c>
      <c r="Z20" s="618">
        <f>IF(Z14="","",SUM(Z15:Z17))</f>
        <v>1.90625</v>
      </c>
      <c r="AA20" s="618">
        <f>IF(AA14="","",SUM(AA15:AA17))</f>
        <v>1.90625</v>
      </c>
      <c r="AB20" s="618">
        <f>IF(AB14="","",SUM(AB15:AB17))</f>
        <v>1.90625</v>
      </c>
      <c r="AC20" s="618">
        <f>IF(AC14="","",SUM(AC15:AC17))</f>
        <v>1.90625</v>
      </c>
      <c r="AD20" s="618">
        <f>IF(AD14="","",SUM(AD15:AD17))</f>
        <v>1.90625</v>
      </c>
      <c r="AE20" s="618">
        <f>IF(AE14="","",SUM(AE15:AE17))</f>
        <v>1.90625</v>
      </c>
      <c r="AF20" s="618">
        <f>IF(AF14="","",SUM(AF15:AF17))</f>
        <v>1.90625</v>
      </c>
      <c r="AG20" s="171"/>
      <c r="AH20" s="619">
        <f>SUM(B20:AF20)</f>
        <v>34.78125</v>
      </c>
    </row>
    <row r="21" spans="1:135" ht="21.75" customHeight="1" x14ac:dyDescent="0.4">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8" t="s">
        <v>21</v>
      </c>
      <c r="B22" s="589">
        <v>0</v>
      </c>
      <c r="C22" s="589">
        <v>0</v>
      </c>
      <c r="D22" s="589">
        <v>400</v>
      </c>
      <c r="E22" s="589">
        <v>500</v>
      </c>
      <c r="F22" s="589">
        <v>2300</v>
      </c>
      <c r="G22" s="589">
        <v>1300</v>
      </c>
      <c r="H22" s="589">
        <v>0</v>
      </c>
      <c r="I22" s="589">
        <v>0</v>
      </c>
      <c r="J22" s="589">
        <v>0</v>
      </c>
      <c r="K22" s="589">
        <v>500</v>
      </c>
      <c r="L22" s="589">
        <v>500</v>
      </c>
      <c r="M22" s="589">
        <v>2700</v>
      </c>
      <c r="N22" s="589">
        <v>1100</v>
      </c>
      <c r="O22" s="589">
        <v>0</v>
      </c>
      <c r="P22" s="589">
        <v>0</v>
      </c>
      <c r="Q22" s="589">
        <v>0</v>
      </c>
      <c r="R22" s="589">
        <v>500</v>
      </c>
      <c r="S22" s="589">
        <v>500</v>
      </c>
      <c r="T22" s="589">
        <v>1800</v>
      </c>
      <c r="U22" s="589">
        <v>2000</v>
      </c>
      <c r="V22" s="589">
        <v>2200</v>
      </c>
      <c r="W22" s="589">
        <v>2400</v>
      </c>
      <c r="X22" s="589">
        <v>2400</v>
      </c>
      <c r="Y22" s="589">
        <v>2100</v>
      </c>
      <c r="Z22" s="589">
        <v>2000</v>
      </c>
      <c r="AA22" s="589">
        <v>2300</v>
      </c>
      <c r="AB22" s="589">
        <v>2300</v>
      </c>
      <c r="AC22" s="589">
        <v>3400</v>
      </c>
      <c r="AD22" s="589">
        <v>3500</v>
      </c>
      <c r="AE22" s="589">
        <v>3400</v>
      </c>
      <c r="AF22" s="589">
        <v>3400</v>
      </c>
      <c r="AG22" s="522"/>
      <c r="AH22" s="594">
        <f>SUM(B22:AG22)</f>
        <v>43500</v>
      </c>
    </row>
    <row r="23" spans="1:135" s="1" customFormat="1" ht="32.25" customHeight="1" x14ac:dyDescent="0.25">
      <c r="A23" s="590" t="s">
        <v>22</v>
      </c>
      <c r="B23" s="591">
        <v>0</v>
      </c>
      <c r="C23" s="591">
        <v>0</v>
      </c>
      <c r="D23" s="591">
        <v>700</v>
      </c>
      <c r="E23" s="591">
        <v>1100</v>
      </c>
      <c r="F23" s="591">
        <v>3500</v>
      </c>
      <c r="G23" s="591">
        <v>2200</v>
      </c>
      <c r="H23" s="591">
        <v>0</v>
      </c>
      <c r="I23" s="591">
        <v>0</v>
      </c>
      <c r="J23" s="591">
        <v>0</v>
      </c>
      <c r="K23" s="591">
        <v>900</v>
      </c>
      <c r="L23" s="591">
        <v>1400</v>
      </c>
      <c r="M23" s="591">
        <v>3700</v>
      </c>
      <c r="N23" s="591">
        <v>2000</v>
      </c>
      <c r="O23" s="591">
        <v>0</v>
      </c>
      <c r="P23" s="591">
        <v>0</v>
      </c>
      <c r="Q23" s="591">
        <v>0</v>
      </c>
      <c r="R23" s="591">
        <v>1200</v>
      </c>
      <c r="S23" s="591">
        <v>1600</v>
      </c>
      <c r="T23" s="591">
        <v>3800</v>
      </c>
      <c r="U23" s="591">
        <v>4300</v>
      </c>
      <c r="V23" s="591">
        <v>5200</v>
      </c>
      <c r="W23" s="591">
        <v>6400</v>
      </c>
      <c r="X23" s="591">
        <v>6300</v>
      </c>
      <c r="Y23" s="591">
        <v>5900</v>
      </c>
      <c r="Z23" s="591">
        <v>5000</v>
      </c>
      <c r="AA23" s="591">
        <v>5700</v>
      </c>
      <c r="AB23" s="591">
        <v>5600</v>
      </c>
      <c r="AC23" s="591">
        <v>8700</v>
      </c>
      <c r="AD23" s="591">
        <v>9000</v>
      </c>
      <c r="AE23" s="591">
        <v>8800</v>
      </c>
      <c r="AF23" s="591">
        <v>8100</v>
      </c>
      <c r="AG23" s="522"/>
      <c r="AH23" s="595">
        <f>SUM(B23:AG23)</f>
        <v>101100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593">
        <v>0</v>
      </c>
      <c r="C24" s="593">
        <v>0</v>
      </c>
      <c r="D24" s="593">
        <v>1100</v>
      </c>
      <c r="E24" s="593">
        <v>1600</v>
      </c>
      <c r="F24" s="593">
        <v>5800</v>
      </c>
      <c r="G24" s="593">
        <v>3500</v>
      </c>
      <c r="H24" s="593">
        <v>0</v>
      </c>
      <c r="I24" s="593">
        <v>0</v>
      </c>
      <c r="J24" s="593">
        <v>0</v>
      </c>
      <c r="K24" s="593">
        <v>1400</v>
      </c>
      <c r="L24" s="593">
        <v>1900</v>
      </c>
      <c r="M24" s="593">
        <v>6400</v>
      </c>
      <c r="N24" s="593">
        <v>3100</v>
      </c>
      <c r="O24" s="593">
        <v>0</v>
      </c>
      <c r="P24" s="593">
        <v>0</v>
      </c>
      <c r="Q24" s="593">
        <v>0</v>
      </c>
      <c r="R24" s="593">
        <v>1700</v>
      </c>
      <c r="S24" s="593">
        <v>2100</v>
      </c>
      <c r="T24" s="593">
        <v>5600</v>
      </c>
      <c r="U24" s="593">
        <v>6300</v>
      </c>
      <c r="V24" s="593">
        <v>7400</v>
      </c>
      <c r="W24" s="593">
        <v>8800</v>
      </c>
      <c r="X24" s="593">
        <v>8700</v>
      </c>
      <c r="Y24" s="593">
        <v>8000</v>
      </c>
      <c r="Z24" s="593">
        <v>7000</v>
      </c>
      <c r="AA24" s="593">
        <v>8000</v>
      </c>
      <c r="AB24" s="593">
        <v>7900</v>
      </c>
      <c r="AC24" s="593">
        <v>12100</v>
      </c>
      <c r="AD24" s="593">
        <v>12500</v>
      </c>
      <c r="AE24" s="593">
        <v>12200</v>
      </c>
      <c r="AF24" s="593">
        <v>11500</v>
      </c>
      <c r="AG24" s="513"/>
      <c r="AH24" s="596">
        <f>SUM(B24:AG24)</f>
        <v>144600</v>
      </c>
    </row>
    <row r="25" spans="1:135" s="1" customFormat="1" ht="33.9" customHeight="1" x14ac:dyDescent="0.25">
      <c r="A25" s="588" t="s">
        <v>43</v>
      </c>
      <c r="B25" s="589">
        <v>0</v>
      </c>
      <c r="C25" s="589">
        <v>0</v>
      </c>
      <c r="D25" s="589">
        <v>100</v>
      </c>
      <c r="E25" s="589">
        <v>0</v>
      </c>
      <c r="F25" s="589">
        <v>2000</v>
      </c>
      <c r="G25" s="589">
        <v>1250</v>
      </c>
      <c r="H25" s="589">
        <v>0</v>
      </c>
      <c r="I25" s="589">
        <v>0</v>
      </c>
      <c r="J25" s="589">
        <v>0</v>
      </c>
      <c r="K25" s="589">
        <v>40</v>
      </c>
      <c r="L25" s="589">
        <v>55</v>
      </c>
      <c r="M25" s="589">
        <v>1700</v>
      </c>
      <c r="N25" s="589">
        <v>1230</v>
      </c>
      <c r="O25" s="589">
        <v>0</v>
      </c>
      <c r="P25" s="589">
        <v>0</v>
      </c>
      <c r="Q25" s="589">
        <v>0</v>
      </c>
      <c r="R25" s="589">
        <v>130</v>
      </c>
      <c r="S25" s="589">
        <v>60</v>
      </c>
      <c r="T25" s="589">
        <v>1350</v>
      </c>
      <c r="U25" s="589">
        <v>1250</v>
      </c>
      <c r="V25" s="589">
        <v>200</v>
      </c>
      <c r="W25" s="589">
        <v>130</v>
      </c>
      <c r="X25" s="589">
        <v>250</v>
      </c>
      <c r="Y25" s="589">
        <v>90</v>
      </c>
      <c r="Z25" s="589">
        <v>170</v>
      </c>
      <c r="AA25" s="589">
        <v>870</v>
      </c>
      <c r="AB25" s="589">
        <v>890</v>
      </c>
      <c r="AC25" s="589">
        <v>260</v>
      </c>
      <c r="AD25" s="589">
        <v>130</v>
      </c>
      <c r="AE25" s="589">
        <v>80</v>
      </c>
      <c r="AF25" s="589">
        <v>200</v>
      </c>
      <c r="AG25" s="522"/>
      <c r="AH25" s="594">
        <f>SUM(B25:AG25)</f>
        <v>12435</v>
      </c>
    </row>
    <row r="26" spans="1:135" s="1" customFormat="1" ht="32.25" customHeight="1" x14ac:dyDescent="0.25">
      <c r="A26" s="590" t="s">
        <v>44</v>
      </c>
      <c r="B26" s="591">
        <v>0</v>
      </c>
      <c r="C26" s="591">
        <v>0</v>
      </c>
      <c r="D26" s="591">
        <v>240</v>
      </c>
      <c r="E26" s="591">
        <v>180</v>
      </c>
      <c r="F26" s="591">
        <v>50</v>
      </c>
      <c r="G26" s="591">
        <v>0</v>
      </c>
      <c r="H26" s="591">
        <v>0</v>
      </c>
      <c r="I26" s="591">
        <v>0</v>
      </c>
      <c r="J26" s="591">
        <v>0</v>
      </c>
      <c r="K26" s="591">
        <v>500</v>
      </c>
      <c r="L26" s="591">
        <v>280</v>
      </c>
      <c r="M26" s="591">
        <v>160</v>
      </c>
      <c r="N26" s="591">
        <v>30</v>
      </c>
      <c r="O26" s="591">
        <v>0</v>
      </c>
      <c r="P26" s="591">
        <v>0</v>
      </c>
      <c r="Q26" s="591">
        <v>0</v>
      </c>
      <c r="R26" s="591">
        <v>980</v>
      </c>
      <c r="S26" s="591">
        <v>620</v>
      </c>
      <c r="T26" s="591">
        <v>130</v>
      </c>
      <c r="U26" s="591">
        <v>130</v>
      </c>
      <c r="V26" s="591">
        <v>320</v>
      </c>
      <c r="W26" s="591">
        <v>980</v>
      </c>
      <c r="X26" s="591">
        <v>710</v>
      </c>
      <c r="Y26" s="591">
        <v>600</v>
      </c>
      <c r="Z26" s="591">
        <v>700</v>
      </c>
      <c r="AA26" s="591">
        <v>130</v>
      </c>
      <c r="AB26" s="591">
        <v>140</v>
      </c>
      <c r="AC26" s="591">
        <v>0</v>
      </c>
      <c r="AD26" s="591">
        <v>500</v>
      </c>
      <c r="AE26" s="591">
        <v>780</v>
      </c>
      <c r="AF26" s="591">
        <v>550</v>
      </c>
      <c r="AG26" s="522"/>
      <c r="AH26" s="595">
        <f>SUM(B26:AG26)</f>
        <v>8710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593">
        <v>0</v>
      </c>
      <c r="C27" s="593">
        <v>0</v>
      </c>
      <c r="D27" s="593">
        <v>340</v>
      </c>
      <c r="E27" s="593">
        <v>180</v>
      </c>
      <c r="F27" s="593">
        <v>2050</v>
      </c>
      <c r="G27" s="593">
        <v>1250</v>
      </c>
      <c r="H27" s="593">
        <v>0</v>
      </c>
      <c r="I27" s="593">
        <v>0</v>
      </c>
      <c r="J27" s="593">
        <v>0</v>
      </c>
      <c r="K27" s="593">
        <v>540</v>
      </c>
      <c r="L27" s="593">
        <v>335</v>
      </c>
      <c r="M27" s="593">
        <v>1860</v>
      </c>
      <c r="N27" s="593">
        <v>1260</v>
      </c>
      <c r="O27" s="593">
        <v>0</v>
      </c>
      <c r="P27" s="593">
        <v>0</v>
      </c>
      <c r="Q27" s="593">
        <v>0</v>
      </c>
      <c r="R27" s="593">
        <v>1110</v>
      </c>
      <c r="S27" s="593">
        <v>680</v>
      </c>
      <c r="T27" s="593">
        <v>1480</v>
      </c>
      <c r="U27" s="593">
        <v>1380</v>
      </c>
      <c r="V27" s="593">
        <v>520</v>
      </c>
      <c r="W27" s="593">
        <v>1110</v>
      </c>
      <c r="X27" s="593">
        <v>960</v>
      </c>
      <c r="Y27" s="593">
        <v>690</v>
      </c>
      <c r="Z27" s="593">
        <v>870</v>
      </c>
      <c r="AA27" s="593">
        <v>1000</v>
      </c>
      <c r="AB27" s="593">
        <v>1030</v>
      </c>
      <c r="AC27" s="593">
        <v>260</v>
      </c>
      <c r="AD27" s="593">
        <v>630</v>
      </c>
      <c r="AE27" s="593">
        <v>860</v>
      </c>
      <c r="AF27" s="593">
        <v>750</v>
      </c>
      <c r="AG27" s="513"/>
      <c r="AH27" s="596">
        <f>SUM(B27:AG27)</f>
        <v>21145</v>
      </c>
    </row>
    <row r="28" spans="1:135" s="1" customFormat="1" ht="33.9" customHeight="1" x14ac:dyDescent="0.25">
      <c r="A28" s="588" t="s">
        <v>23</v>
      </c>
      <c r="B28" s="589">
        <v>0</v>
      </c>
      <c r="C28" s="589">
        <v>0</v>
      </c>
      <c r="D28" s="589">
        <v>30</v>
      </c>
      <c r="E28" s="589">
        <v>20</v>
      </c>
      <c r="F28" s="589">
        <v>90</v>
      </c>
      <c r="G28" s="589">
        <v>10</v>
      </c>
      <c r="H28" s="589">
        <v>0</v>
      </c>
      <c r="I28" s="589">
        <v>0</v>
      </c>
      <c r="J28" s="589">
        <v>0</v>
      </c>
      <c r="K28" s="589">
        <v>30</v>
      </c>
      <c r="L28" s="589">
        <v>10</v>
      </c>
      <c r="M28" s="589">
        <v>60</v>
      </c>
      <c r="N28" s="589">
        <v>0</v>
      </c>
      <c r="O28" s="589">
        <v>0</v>
      </c>
      <c r="P28" s="589">
        <v>0</v>
      </c>
      <c r="Q28" s="589">
        <v>0</v>
      </c>
      <c r="R28" s="589">
        <v>20</v>
      </c>
      <c r="S28" s="589">
        <v>0</v>
      </c>
      <c r="T28" s="589">
        <v>50</v>
      </c>
      <c r="U28" s="589">
        <v>50</v>
      </c>
      <c r="V28" s="589">
        <v>70</v>
      </c>
      <c r="W28" s="589">
        <v>90</v>
      </c>
      <c r="X28" s="589">
        <v>80</v>
      </c>
      <c r="Y28" s="589">
        <v>70</v>
      </c>
      <c r="Z28" s="589">
        <v>60</v>
      </c>
      <c r="AA28" s="589">
        <v>100</v>
      </c>
      <c r="AB28" s="589">
        <v>100</v>
      </c>
      <c r="AC28" s="589">
        <v>80</v>
      </c>
      <c r="AD28" s="589">
        <v>110</v>
      </c>
      <c r="AE28" s="589">
        <v>100</v>
      </c>
      <c r="AF28" s="589">
        <v>110</v>
      </c>
      <c r="AG28" s="522"/>
      <c r="AH28" s="594">
        <f>SUM(B28:AG28)</f>
        <v>1340</v>
      </c>
    </row>
    <row r="29" spans="1:135" s="1" customFormat="1" ht="32.25" customHeight="1" x14ac:dyDescent="0.25">
      <c r="A29" s="590" t="s">
        <v>26</v>
      </c>
      <c r="B29" s="591">
        <v>0</v>
      </c>
      <c r="C29" s="591">
        <v>0</v>
      </c>
      <c r="D29" s="591">
        <v>60</v>
      </c>
      <c r="E29" s="591">
        <v>50</v>
      </c>
      <c r="F29" s="591">
        <v>180</v>
      </c>
      <c r="G29" s="591">
        <v>200</v>
      </c>
      <c r="H29" s="591">
        <v>0</v>
      </c>
      <c r="I29" s="591">
        <v>0</v>
      </c>
      <c r="J29" s="591">
        <v>0</v>
      </c>
      <c r="K29" s="591">
        <v>40</v>
      </c>
      <c r="L29" s="591">
        <v>50</v>
      </c>
      <c r="M29" s="591">
        <v>110</v>
      </c>
      <c r="N29" s="591">
        <v>180</v>
      </c>
      <c r="O29" s="591">
        <v>0</v>
      </c>
      <c r="P29" s="591">
        <v>0</v>
      </c>
      <c r="Q29" s="591">
        <v>0</v>
      </c>
      <c r="R29" s="591">
        <v>40</v>
      </c>
      <c r="S29" s="591">
        <v>40</v>
      </c>
      <c r="T29" s="591">
        <v>120</v>
      </c>
      <c r="U29" s="591">
        <v>140</v>
      </c>
      <c r="V29" s="591">
        <v>150</v>
      </c>
      <c r="W29" s="591">
        <v>190</v>
      </c>
      <c r="X29" s="591">
        <v>190</v>
      </c>
      <c r="Y29" s="591">
        <v>180</v>
      </c>
      <c r="Z29" s="591">
        <v>150</v>
      </c>
      <c r="AA29" s="591">
        <v>180</v>
      </c>
      <c r="AB29" s="591">
        <v>150</v>
      </c>
      <c r="AC29" s="591">
        <v>210</v>
      </c>
      <c r="AD29" s="591">
        <v>270</v>
      </c>
      <c r="AE29" s="591">
        <v>220</v>
      </c>
      <c r="AF29" s="591">
        <v>270</v>
      </c>
      <c r="AG29" s="522"/>
      <c r="AH29" s="595">
        <f>SUM(B29:AG29)</f>
        <v>3370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589">
        <v>1140</v>
      </c>
      <c r="C30" s="589">
        <v>450</v>
      </c>
      <c r="D30" s="589">
        <v>690</v>
      </c>
      <c r="E30" s="589">
        <v>900</v>
      </c>
      <c r="F30" s="589">
        <v>140</v>
      </c>
      <c r="G30" s="589">
        <v>0</v>
      </c>
      <c r="H30" s="589">
        <v>0</v>
      </c>
      <c r="I30" s="589">
        <v>0</v>
      </c>
      <c r="J30" s="589">
        <v>45</v>
      </c>
      <c r="K30" s="589">
        <v>500</v>
      </c>
      <c r="L30" s="589">
        <v>500</v>
      </c>
      <c r="M30" s="589">
        <v>0</v>
      </c>
      <c r="N30" s="589">
        <v>0</v>
      </c>
      <c r="O30" s="589">
        <v>0</v>
      </c>
      <c r="P30" s="589">
        <v>0</v>
      </c>
      <c r="Q30" s="589">
        <v>170</v>
      </c>
      <c r="R30" s="589">
        <v>400</v>
      </c>
      <c r="S30" s="589">
        <v>380</v>
      </c>
      <c r="T30" s="589">
        <v>0</v>
      </c>
      <c r="U30" s="589">
        <v>20</v>
      </c>
      <c r="V30" s="589">
        <v>90</v>
      </c>
      <c r="W30" s="589">
        <v>280</v>
      </c>
      <c r="X30" s="589">
        <v>0</v>
      </c>
      <c r="Y30" s="589">
        <v>0</v>
      </c>
      <c r="Z30" s="589">
        <v>20</v>
      </c>
      <c r="AA30" s="589">
        <v>0</v>
      </c>
      <c r="AB30" s="589">
        <v>0</v>
      </c>
      <c r="AC30" s="589">
        <v>0</v>
      </c>
      <c r="AD30" s="589">
        <v>0</v>
      </c>
      <c r="AE30" s="589">
        <v>0</v>
      </c>
      <c r="AF30" s="589">
        <v>0</v>
      </c>
      <c r="AG30" s="522"/>
      <c r="AH30" s="594">
        <f>SUM(B30:AG30)</f>
        <v>5725</v>
      </c>
    </row>
    <row r="31" spans="1:135" s="3" customFormat="1" ht="32.25" customHeight="1" x14ac:dyDescent="0.25">
      <c r="A31" s="590" t="s">
        <v>25</v>
      </c>
      <c r="B31" s="591">
        <v>0</v>
      </c>
      <c r="C31" s="591">
        <v>0</v>
      </c>
      <c r="D31" s="591">
        <v>100</v>
      </c>
      <c r="E31" s="591">
        <v>110</v>
      </c>
      <c r="F31" s="591">
        <v>290</v>
      </c>
      <c r="G31" s="591">
        <v>230</v>
      </c>
      <c r="H31" s="591">
        <v>0</v>
      </c>
      <c r="I31" s="591">
        <v>0</v>
      </c>
      <c r="J31" s="591">
        <v>0</v>
      </c>
      <c r="K31" s="591">
        <v>130</v>
      </c>
      <c r="L31" s="591">
        <v>90</v>
      </c>
      <c r="M31" s="591">
        <v>290</v>
      </c>
      <c r="N31" s="591">
        <v>160</v>
      </c>
      <c r="O31" s="591">
        <v>0</v>
      </c>
      <c r="P31" s="591">
        <v>0</v>
      </c>
      <c r="Q31" s="591">
        <v>0</v>
      </c>
      <c r="R31" s="591">
        <v>180</v>
      </c>
      <c r="S31" s="591">
        <v>80</v>
      </c>
      <c r="T31" s="591">
        <v>650</v>
      </c>
      <c r="U31" s="591">
        <v>300</v>
      </c>
      <c r="V31" s="591">
        <v>800</v>
      </c>
      <c r="W31" s="591">
        <v>300</v>
      </c>
      <c r="X31" s="591">
        <v>280</v>
      </c>
      <c r="Y31" s="591">
        <v>280</v>
      </c>
      <c r="Z31" s="591">
        <v>700</v>
      </c>
      <c r="AA31" s="591">
        <v>400</v>
      </c>
      <c r="AB31" s="591">
        <v>600</v>
      </c>
      <c r="AC31" s="591">
        <v>300</v>
      </c>
      <c r="AD31" s="591">
        <v>350</v>
      </c>
      <c r="AE31" s="591">
        <v>300</v>
      </c>
      <c r="AF31" s="591">
        <v>400</v>
      </c>
      <c r="AG31" s="522"/>
      <c r="AH31" s="595">
        <f>SUM(B31:AG31)</f>
        <v>7320</v>
      </c>
    </row>
    <row r="32" spans="1:135" s="514" customFormat="1" ht="33.9" customHeight="1" x14ac:dyDescent="0.25">
      <c r="A32" s="592" t="s">
        <v>30</v>
      </c>
      <c r="B32" s="593">
        <v>1140</v>
      </c>
      <c r="C32" s="593">
        <v>450</v>
      </c>
      <c r="D32" s="593">
        <v>880</v>
      </c>
      <c r="E32" s="593">
        <v>1080</v>
      </c>
      <c r="F32" s="593">
        <v>700</v>
      </c>
      <c r="G32" s="593">
        <v>440</v>
      </c>
      <c r="H32" s="593">
        <v>0</v>
      </c>
      <c r="I32" s="593">
        <v>0</v>
      </c>
      <c r="J32" s="593">
        <v>45</v>
      </c>
      <c r="K32" s="593">
        <v>700</v>
      </c>
      <c r="L32" s="593">
        <v>650</v>
      </c>
      <c r="M32" s="593">
        <v>460</v>
      </c>
      <c r="N32" s="593">
        <v>340</v>
      </c>
      <c r="O32" s="593">
        <v>0</v>
      </c>
      <c r="P32" s="593">
        <v>0</v>
      </c>
      <c r="Q32" s="593">
        <v>170</v>
      </c>
      <c r="R32" s="593">
        <v>640</v>
      </c>
      <c r="S32" s="593">
        <v>500</v>
      </c>
      <c r="T32" s="593">
        <v>820</v>
      </c>
      <c r="U32" s="593">
        <v>510</v>
      </c>
      <c r="V32" s="593">
        <v>1110</v>
      </c>
      <c r="W32" s="593">
        <v>860</v>
      </c>
      <c r="X32" s="593">
        <v>550</v>
      </c>
      <c r="Y32" s="593">
        <v>530</v>
      </c>
      <c r="Z32" s="593">
        <v>930</v>
      </c>
      <c r="AA32" s="593">
        <v>680</v>
      </c>
      <c r="AB32" s="593">
        <v>850</v>
      </c>
      <c r="AC32" s="593">
        <v>590</v>
      </c>
      <c r="AD32" s="593">
        <v>730</v>
      </c>
      <c r="AE32" s="593">
        <v>620</v>
      </c>
      <c r="AF32" s="593">
        <v>780</v>
      </c>
      <c r="AG32" s="513"/>
      <c r="AH32" s="596">
        <f>SUM(B32:AG32)</f>
        <v>17755</v>
      </c>
    </row>
    <row r="33" spans="1:256" ht="15" customHeight="1" x14ac:dyDescent="0.4">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256" s="587" customFormat="1" ht="66.75" customHeight="1" x14ac:dyDescent="0.4">
      <c r="A34" s="598" t="s">
        <v>16</v>
      </c>
      <c r="B34" s="599">
        <f>+B32+B27+B24</f>
        <v>1140</v>
      </c>
      <c r="C34" s="599">
        <f>+C32+C27+C24</f>
        <v>450</v>
      </c>
      <c r="D34" s="599">
        <f>+D32+D27+D24</f>
        <v>2320</v>
      </c>
      <c r="E34" s="599">
        <f>+E32+E27+E24</f>
        <v>2860</v>
      </c>
      <c r="F34" s="599">
        <f>+F32+F27+F24</f>
        <v>8550</v>
      </c>
      <c r="G34" s="599">
        <f>+G32+G27+G24</f>
        <v>5190</v>
      </c>
      <c r="H34" s="599">
        <f>+H32+H27+H24</f>
        <v>0</v>
      </c>
      <c r="I34" s="599">
        <f>+I32+I27+I24</f>
        <v>0</v>
      </c>
      <c r="J34" s="599">
        <f>+J32+J27+J24</f>
        <v>45</v>
      </c>
      <c r="K34" s="599">
        <f>+K32+K27+K24</f>
        <v>2640</v>
      </c>
      <c r="L34" s="599">
        <f>+L32+L27+L24</f>
        <v>2885</v>
      </c>
      <c r="M34" s="599">
        <f>+M32+M27+M24</f>
        <v>8720</v>
      </c>
      <c r="N34" s="599">
        <f>+N32+N27+N24</f>
        <v>4700</v>
      </c>
      <c r="O34" s="599">
        <f>+O32+O27+O24</f>
        <v>0</v>
      </c>
      <c r="P34" s="599">
        <f>+P32+P27+P24</f>
        <v>0</v>
      </c>
      <c r="Q34" s="599">
        <f>+Q32+Q27+Q24</f>
        <v>170</v>
      </c>
      <c r="R34" s="599">
        <f>+R32+R27+R24</f>
        <v>3450</v>
      </c>
      <c r="S34" s="599">
        <f>+S32+S27+S24</f>
        <v>3280</v>
      </c>
      <c r="T34" s="599">
        <f>+T32+T27+T24</f>
        <v>7900</v>
      </c>
      <c r="U34" s="599">
        <f>+U32+U27+U24</f>
        <v>8190</v>
      </c>
      <c r="V34" s="599">
        <f>+V32+V27+V24</f>
        <v>9030</v>
      </c>
      <c r="W34" s="599">
        <f>+W32+W27+W24</f>
        <v>10770</v>
      </c>
      <c r="X34" s="599">
        <f>+X32+X27+X24</f>
        <v>10210</v>
      </c>
      <c r="Y34" s="599">
        <f>+Y32+Y27+Y24</f>
        <v>9220</v>
      </c>
      <c r="Z34" s="599">
        <f>+Z32+Z27+Z24</f>
        <v>8800</v>
      </c>
      <c r="AA34" s="599">
        <f>+AA32+AA27+AA24</f>
        <v>9680</v>
      </c>
      <c r="AB34" s="599">
        <f>+AB32+AB27+AB24</f>
        <v>9780</v>
      </c>
      <c r="AC34" s="599">
        <f>+AC32+AC27+AC24</f>
        <v>12950</v>
      </c>
      <c r="AD34" s="599">
        <f>+AD32+AD27+AD24</f>
        <v>13860</v>
      </c>
      <c r="AE34" s="599">
        <f>+AE32+AE27+AE24</f>
        <v>13680</v>
      </c>
      <c r="AF34" s="599">
        <f>+AF32+AF27+AF24</f>
        <v>13030</v>
      </c>
      <c r="AG34" s="586"/>
      <c r="AH34" s="597"/>
    </row>
    <row r="35" spans="1:256" ht="24.75" customHeight="1" x14ac:dyDescent="0.4">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3"/>
      <c r="AH35" s="38"/>
    </row>
    <row r="36" spans="1:256" s="43" customFormat="1" ht="3" customHeight="1" x14ac:dyDescent="0.4">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
      <c r="AH36" s="2"/>
    </row>
    <row r="37" spans="1:256" s="544" customFormat="1" ht="21.9" customHeight="1" x14ac:dyDescent="0.4">
      <c r="A37" s="540" t="s">
        <v>17</v>
      </c>
      <c r="B37" s="541">
        <v>0.83819444444444446</v>
      </c>
      <c r="C37" s="541">
        <v>0.83680555555555558</v>
      </c>
      <c r="D37" s="541">
        <v>0.8354166666666667</v>
      </c>
      <c r="E37" s="541">
        <v>0.83472222222222225</v>
      </c>
      <c r="F37" s="541">
        <v>0.83333333333333337</v>
      </c>
      <c r="G37" s="541">
        <v>0.83194444444444449</v>
      </c>
      <c r="H37" s="541">
        <v>0.8305555555555556</v>
      </c>
      <c r="I37" s="541">
        <v>0.82916666666666672</v>
      </c>
      <c r="J37" s="541">
        <v>0.82777777777777783</v>
      </c>
      <c r="K37" s="541">
        <v>0.82638888888888884</v>
      </c>
      <c r="L37" s="541">
        <v>0.82499999999999996</v>
      </c>
      <c r="M37" s="541">
        <v>0.82430555555555551</v>
      </c>
      <c r="N37" s="541">
        <v>0.82291666666666663</v>
      </c>
      <c r="O37" s="541">
        <v>0.82152777777777775</v>
      </c>
      <c r="P37" s="541">
        <v>0.82013888888888886</v>
      </c>
      <c r="Q37" s="541">
        <v>0.81874999999999998</v>
      </c>
      <c r="R37" s="541">
        <v>0.81805555555555554</v>
      </c>
      <c r="S37" s="541">
        <v>0.81666666666666665</v>
      </c>
      <c r="T37" s="541">
        <v>0.81527777777777777</v>
      </c>
      <c r="U37" s="541">
        <v>0.81458333333333333</v>
      </c>
      <c r="V37" s="541">
        <v>0.81319444444444444</v>
      </c>
      <c r="W37" s="541">
        <v>0.81180555555555556</v>
      </c>
      <c r="X37" s="541">
        <v>0.81111111111111112</v>
      </c>
      <c r="Y37" s="541">
        <v>0.80972222222222223</v>
      </c>
      <c r="Z37" s="541">
        <v>0.80833333333333335</v>
      </c>
      <c r="AA37" s="541">
        <v>0.80763888888888891</v>
      </c>
      <c r="AB37" s="694">
        <v>0.76458333333333328</v>
      </c>
      <c r="AC37" s="541">
        <v>0.76388888888888884</v>
      </c>
      <c r="AD37" s="21">
        <v>0.7631944444444444</v>
      </c>
      <c r="AE37" s="541">
        <v>0.76180555555555562</v>
      </c>
      <c r="AF37" s="21">
        <v>0.76111111111111107</v>
      </c>
      <c r="AG37" s="542"/>
      <c r="AH37" s="543"/>
    </row>
    <row r="38" spans="1:256" s="544" customFormat="1" ht="21.9" customHeight="1" x14ac:dyDescent="0.4">
      <c r="A38" s="545" t="s">
        <v>18</v>
      </c>
      <c r="B38" s="546" t="str">
        <f>+IF(B34&lt;=2500,"BF",IF(AND(B34&gt;2500,B34&lt;=6000),"MF",IF(AND(B34&gt;6000,B34&lt;12000),"HF","THF")))</f>
        <v>BF</v>
      </c>
      <c r="C38" s="546" t="str">
        <f>+IF(C34&lt;=2500,"BF",IF(AND(C34&gt;2500,C34&lt;=6000),"MF",IF(AND(C34&gt;6000,C34&lt;12000),"HF","THF")))</f>
        <v>BF</v>
      </c>
      <c r="D38" s="546" t="str">
        <f>+IF(D34&lt;=2500,"BF",IF(AND(D34&gt;2500,D34&lt;=6000),"MF",IF(AND(D34&gt;6000,D34&lt;12000),"HF","THF")))</f>
        <v>BF</v>
      </c>
      <c r="E38" s="546" t="str">
        <f>+IF(E34&lt;=2500,"BF",IF(AND(E34&gt;2500,E34&lt;=6000),"MF",IF(AND(E34&gt;6000,E34&lt;12000),"HF","THF")))</f>
        <v>MF</v>
      </c>
      <c r="F38" s="546" t="str">
        <f>+IF(F34&lt;=2500,"BF",IF(AND(F34&gt;2500,F34&lt;=6000),"MF",IF(AND(F34&gt;6000,F34&lt;12000),"HF","THF")))</f>
        <v>HF</v>
      </c>
      <c r="G38" s="546" t="str">
        <f>+IF(G34&lt;=2500,"BF",IF(AND(G34&gt;2500,G34&lt;=6000),"MF",IF(AND(G34&gt;6000,G34&lt;12000),"HF","THF")))</f>
        <v>MF</v>
      </c>
      <c r="H38" s="546" t="str">
        <f>+IF(H34&lt;=2500,"BF",IF(AND(H34&gt;2500,H34&lt;=6000),"MF",IF(AND(H34&gt;6000,H34&lt;12000),"HF","THF")))</f>
        <v>BF</v>
      </c>
      <c r="I38" s="546" t="str">
        <f>+IF(I34&lt;=2500,"BF",IF(AND(I34&gt;2500,I34&lt;=6000),"MF",IF(AND(I34&gt;6000,I34&lt;12000),"HF","THF")))</f>
        <v>BF</v>
      </c>
      <c r="J38" s="546" t="str">
        <f>+IF(J34&lt;=2500,"BF",IF(AND(J34&gt;2500,J34&lt;=6000),"MF",IF(AND(J34&gt;6000,J34&lt;12000),"HF","THF")))</f>
        <v>BF</v>
      </c>
      <c r="K38" s="546" t="str">
        <f>+IF(K34&lt;=2500,"BF",IF(AND(K34&gt;2500,K34&lt;=6000),"MF",IF(AND(K34&gt;6000,K34&lt;12000),"HF","THF")))</f>
        <v>MF</v>
      </c>
      <c r="L38" s="546" t="str">
        <f>+IF(L34&lt;=2500,"BF",IF(AND(L34&gt;2500,L34&lt;=6000),"MF",IF(AND(L34&gt;6000,L34&lt;12000),"HF","THF")))</f>
        <v>MF</v>
      </c>
      <c r="M38" s="546" t="str">
        <f>+IF(M34&lt;=2500,"BF",IF(AND(M34&gt;2500,M34&lt;=6000),"MF",IF(AND(M34&gt;6000,M34&lt;12000),"HF","THF")))</f>
        <v>HF</v>
      </c>
      <c r="N38" s="546" t="str">
        <f>+IF(N34&lt;=2500,"BF",IF(AND(N34&gt;2500,N34&lt;=6000),"MF",IF(AND(N34&gt;6000,N34&lt;12000),"HF","THF")))</f>
        <v>MF</v>
      </c>
      <c r="O38" s="546" t="str">
        <f>+IF(O34&lt;=2500,"BF",IF(AND(O34&gt;2500,O34&lt;=6000),"MF",IF(AND(O34&gt;6000,O34&lt;12000),"HF","THF")))</f>
        <v>BF</v>
      </c>
      <c r="P38" s="546" t="str">
        <f>+IF(P34&lt;=2500,"BF",IF(AND(P34&gt;2500,P34&lt;=6000),"MF",IF(AND(P34&gt;6000,P34&lt;12000),"HF","THF")))</f>
        <v>BF</v>
      </c>
      <c r="Q38" s="546" t="str">
        <f>+IF(Q34&lt;=2500,"BF",IF(AND(Q34&gt;2500,Q34&lt;=6000),"MF",IF(AND(Q34&gt;6000,Q34&lt;12000),"HF","THF")))</f>
        <v>BF</v>
      </c>
      <c r="R38" s="546" t="str">
        <f>+IF(R34&lt;=2500,"BF",IF(AND(R34&gt;2500,R34&lt;=6000),"MF",IF(AND(R34&gt;6000,R34&lt;12000),"HF","THF")))</f>
        <v>MF</v>
      </c>
      <c r="S38" s="546" t="str">
        <f>+IF(S34&lt;=2500,"BF",IF(AND(S34&gt;2500,S34&lt;=6000),"MF",IF(AND(S34&gt;6000,S34&lt;12000),"HF","THF")))</f>
        <v>MF</v>
      </c>
      <c r="T38" s="546" t="str">
        <f>+IF(T34&lt;=2500,"BF",IF(AND(T34&gt;2500,T34&lt;=6000),"MF",IF(AND(T34&gt;6000,T34&lt;12000),"HF","THF")))</f>
        <v>HF</v>
      </c>
      <c r="U38" s="546" t="str">
        <f>+IF(U34&lt;=2500,"BF",IF(AND(U34&gt;2500,U34&lt;=6000),"MF",IF(AND(U34&gt;6000,U34&lt;12000),"HF","THF")))</f>
        <v>HF</v>
      </c>
      <c r="V38" s="546" t="str">
        <f>+IF(V34&lt;=2500,"BF",IF(AND(V34&gt;2500,V34&lt;=6000),"MF",IF(AND(V34&gt;6000,V34&lt;12000),"HF","THF")))</f>
        <v>HF</v>
      </c>
      <c r="W38" s="546" t="str">
        <f>+IF(W34&lt;=2500,"BF",IF(AND(W34&gt;2500,W34&lt;=6000),"MF",IF(AND(W34&gt;6000,W34&lt;12000),"HF","THF")))</f>
        <v>HF</v>
      </c>
      <c r="X38" s="546" t="str">
        <f>+IF(X34&lt;=2500,"BF",IF(AND(X34&gt;2500,X34&lt;=6000),"MF",IF(AND(X34&gt;6000,X34&lt;12000),"HF","THF")))</f>
        <v>HF</v>
      </c>
      <c r="Y38" s="546" t="str">
        <f>+IF(Y34&lt;=2500,"BF",IF(AND(Y34&gt;2500,Y34&lt;=6000),"MF",IF(AND(Y34&gt;6000,Y34&lt;12000),"HF","THF")))</f>
        <v>HF</v>
      </c>
      <c r="Z38" s="546" t="str">
        <f>+IF(Z34&lt;=2500,"BF",IF(AND(Z34&gt;2500,Z34&lt;=6000),"MF",IF(AND(Z34&gt;6000,Z34&lt;12000),"HF","THF")))</f>
        <v>HF</v>
      </c>
      <c r="AA38" s="546" t="str">
        <f>+IF(AA34&lt;=2500,"BF",IF(AND(AA34&gt;2500,AA34&lt;=6000),"MF",IF(AND(AA34&gt;6000,AA34&lt;12000),"HF","THF")))</f>
        <v>HF</v>
      </c>
      <c r="AB38" s="546" t="str">
        <f>+IF(AB34&lt;=2500,"BF",IF(AND(AB34&gt;2500,AB34&lt;=6000),"MF",IF(AND(AB34&gt;6000,AB34&lt;12000),"HF","THF")))</f>
        <v>HF</v>
      </c>
      <c r="AC38" s="546" t="str">
        <f>+IF(AC34&lt;=2500,"BF",IF(AND(AC34&gt;2500,AC34&lt;=6000),"MF",IF(AND(AC34&gt;6000,AC34&lt;12000),"HF","THF")))</f>
        <v>THF</v>
      </c>
      <c r="AD38" s="546" t="str">
        <f>+IF(AD34&lt;=2500,"BF",IF(AND(AD34&gt;2500,AD34&lt;=6000),"MF",IF(AND(AD34&gt;6000,AD34&lt;12000),"HF","THF")))</f>
        <v>THF</v>
      </c>
      <c r="AE38" s="546" t="str">
        <f>+IF(AE34&lt;=2500,"BF",IF(AND(AE34&gt;2500,AE34&lt;=6000),"MF",IF(AND(AE34&gt;6000,AE34&lt;12000),"HF","THF")))</f>
        <v>THF</v>
      </c>
      <c r="AF38" s="546" t="str">
        <f>+IF(AF34&lt;=2500,"BF",IF(AND(AF34&gt;2500,AF34&lt;=6000),"MF",IF(AND(AF34&gt;6000,AF34&lt;12000),"HF","THF")))</f>
        <v>THF</v>
      </c>
      <c r="AG38" s="547"/>
      <c r="AH38" s="543"/>
    </row>
    <row r="39" spans="1:256" s="43" customFormat="1" ht="3" customHeight="1" x14ac:dyDescent="0.4">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c r="AH39" s="2"/>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2.75" customHeight="1" x14ac:dyDescent="0.25">
      <c r="A41" s="13"/>
      <c r="B41" s="482">
        <f>+B34-B30</f>
        <v>0</v>
      </c>
      <c r="C41" s="482">
        <f>+C34-C30</f>
        <v>0</v>
      </c>
      <c r="D41" s="482">
        <f>+D34-D30</f>
        <v>1630</v>
      </c>
      <c r="E41" s="482">
        <f>+E34-E30</f>
        <v>1960</v>
      </c>
      <c r="F41" s="482">
        <f>+F34-F30</f>
        <v>8410</v>
      </c>
      <c r="G41" s="482">
        <f>+G34-G30</f>
        <v>5190</v>
      </c>
      <c r="H41" s="482">
        <f>+H34-H30</f>
        <v>0</v>
      </c>
      <c r="I41" s="482">
        <f>+I34-I30</f>
        <v>0</v>
      </c>
      <c r="J41" s="482">
        <f>+J34-J30</f>
        <v>0</v>
      </c>
      <c r="K41" s="482">
        <f>+K34-K30</f>
        <v>2140</v>
      </c>
      <c r="L41" s="482">
        <f>+L34-L30</f>
        <v>2385</v>
      </c>
      <c r="M41" s="482">
        <f>+M34-M30</f>
        <v>8720</v>
      </c>
      <c r="N41" s="482">
        <f>+N34-N30</f>
        <v>4700</v>
      </c>
      <c r="O41" s="482">
        <f>+O34-O30</f>
        <v>0</v>
      </c>
      <c r="P41" s="482">
        <f>+P34-P30</f>
        <v>0</v>
      </c>
      <c r="Q41" s="482">
        <f>+Q34-Q30</f>
        <v>0</v>
      </c>
      <c r="R41" s="482">
        <f>+R34-R30</f>
        <v>3050</v>
      </c>
      <c r="S41" s="482">
        <f>+S34-S30</f>
        <v>2900</v>
      </c>
      <c r="T41" s="482">
        <f>+T34-T30</f>
        <v>7900</v>
      </c>
      <c r="U41" s="482">
        <f>+U34-U30</f>
        <v>8170</v>
      </c>
      <c r="V41" s="482">
        <f>+V34-V30</f>
        <v>8940</v>
      </c>
      <c r="W41" s="482">
        <f>+W34-W30</f>
        <v>10490</v>
      </c>
      <c r="X41" s="482">
        <f>+X34-X30</f>
        <v>10210</v>
      </c>
      <c r="Y41" s="482">
        <f>+Y34-Y30</f>
        <v>9220</v>
      </c>
      <c r="Z41" s="482">
        <f>+Z34-Z30</f>
        <v>8780</v>
      </c>
      <c r="AA41" s="482">
        <f>+AA34-AA30</f>
        <v>9680</v>
      </c>
      <c r="AB41" s="482">
        <f>+AB34-AB30</f>
        <v>9780</v>
      </c>
      <c r="AC41" s="482">
        <f>+AC34-AC30</f>
        <v>12950</v>
      </c>
      <c r="AD41" s="482">
        <f>+AD34-AD30</f>
        <v>13860</v>
      </c>
      <c r="AE41" s="482">
        <f>+AE34-AE30</f>
        <v>13680</v>
      </c>
      <c r="AF41" s="482">
        <f>+AF34-AF30</f>
        <v>13030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461" customFormat="1" ht="12.75" customHeight="1" x14ac:dyDescent="0.25">
      <c r="B42" s="17"/>
      <c r="AH42" s="459"/>
    </row>
    <row r="43" spans="1:256" ht="12.75" customHeight="1" x14ac:dyDescent="0.4">
      <c r="A43" s="13"/>
      <c r="B43" s="475"/>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4">
        <f>IF(B9="",0,1)</f>
        <v>0</v>
      </c>
      <c r="C44" s="454">
        <f>IF(C9="",0,1)</f>
        <v>0</v>
      </c>
      <c r="D44" s="454">
        <f>IF(D9="",0,1)</f>
        <v>1</v>
      </c>
      <c r="E44" s="454">
        <f>IF(E9="",0,1)</f>
        <v>1</v>
      </c>
      <c r="F44" s="454">
        <f>IF(F9="",0,1)</f>
        <v>1</v>
      </c>
      <c r="G44" s="454">
        <f>IF(G9="",0,1)</f>
        <v>1</v>
      </c>
      <c r="H44" s="454">
        <f>IF(H9="",0,1)</f>
        <v>0</v>
      </c>
      <c r="I44" s="454">
        <f>IF(I9="",0,1)</f>
        <v>0</v>
      </c>
      <c r="J44" s="454">
        <f>IF(J9="",0,1)</f>
        <v>0</v>
      </c>
      <c r="K44" s="454">
        <f>IF(K9="",0,1)</f>
        <v>1</v>
      </c>
      <c r="L44" s="454">
        <f>IF(L9="",0,1)</f>
        <v>1</v>
      </c>
      <c r="M44" s="454">
        <f>IF(M9="",0,1)</f>
        <v>1</v>
      </c>
      <c r="N44" s="454">
        <f>IF(N9="",0,1)</f>
        <v>1</v>
      </c>
      <c r="O44" s="454">
        <f>IF(O9="",0,1)</f>
        <v>0</v>
      </c>
      <c r="P44" s="454">
        <f>IF(P9="",0,1)</f>
        <v>0</v>
      </c>
      <c r="Q44" s="454">
        <f>IF(Q9="",0,1)</f>
        <v>0</v>
      </c>
      <c r="R44" s="454">
        <f>IF(R9="",0,1)</f>
        <v>1</v>
      </c>
      <c r="S44" s="454">
        <f>IF(S9="",0,1)</f>
        <v>1</v>
      </c>
      <c r="T44" s="454">
        <f>IF(T9="",0,1)</f>
        <v>1</v>
      </c>
      <c r="U44" s="454">
        <f>IF(U9="",0,1)</f>
        <v>1</v>
      </c>
      <c r="V44" s="454">
        <f>IF(V9="",0,1)</f>
        <v>1</v>
      </c>
      <c r="W44" s="454">
        <f>IF(W9="",0,1)</f>
        <v>1</v>
      </c>
      <c r="X44" s="454">
        <f>IF(X9="",0,1)</f>
        <v>1</v>
      </c>
      <c r="Y44" s="454">
        <f>IF(Y9="",0,1)</f>
        <v>1</v>
      </c>
      <c r="Z44" s="454">
        <f>IF(Z9="",0,1)</f>
        <v>1</v>
      </c>
      <c r="AA44" s="454">
        <f>IF(AA9="",0,1)</f>
        <v>1</v>
      </c>
      <c r="AB44" s="454">
        <f>IF(AB9="",0,1)</f>
        <v>1</v>
      </c>
      <c r="AC44" s="454">
        <f>IF(AC9="",0,1)</f>
        <v>1</v>
      </c>
      <c r="AD44" s="454">
        <f>IF(AD9="",0,1)</f>
        <v>1</v>
      </c>
      <c r="AE44" s="454">
        <f>IF(AE9="",0,1)</f>
        <v>1</v>
      </c>
      <c r="AF44" s="454">
        <f>IF(AF9="",0,1)</f>
        <v>1</v>
      </c>
      <c r="AG44" s="1"/>
      <c r="AH44" s="563">
        <f>SUM(B44:AF44)</f>
        <v>23</v>
      </c>
    </row>
    <row r="45" spans="1:256" s="561" customFormat="1" ht="12.7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ht="18.600000000000001" x14ac:dyDescent="0.4">
      <c r="A46" s="23"/>
      <c r="B46" s="475"/>
      <c r="C46" s="474"/>
    </row>
    <row r="47" spans="1:256" ht="18.600000000000001" x14ac:dyDescent="0.4">
      <c r="A47" s="23"/>
      <c r="B47" s="475"/>
      <c r="C47" s="474"/>
    </row>
    <row r="48" spans="1:256" ht="18.600000000000001" x14ac:dyDescent="0.4">
      <c r="A48" s="23"/>
      <c r="B48" s="476"/>
      <c r="C48" s="474"/>
    </row>
    <row r="49" spans="1:3" ht="18.600000000000001" x14ac:dyDescent="0.4">
      <c r="A49" s="23"/>
      <c r="B49" s="475"/>
      <c r="C49" s="474"/>
    </row>
    <row r="50" spans="1:3" ht="18.600000000000001" x14ac:dyDescent="0.4">
      <c r="A50" s="23"/>
      <c r="B50" s="475"/>
      <c r="C50" s="474"/>
    </row>
    <row r="51" spans="1:3" ht="18.600000000000001" x14ac:dyDescent="0.4">
      <c r="A51" s="23"/>
      <c r="B51" s="475"/>
      <c r="C51" s="474"/>
    </row>
    <row r="52" spans="1:3" x14ac:dyDescent="0.4">
      <c r="B52" s="475"/>
      <c r="C52" s="474"/>
    </row>
    <row r="53" spans="1:3" ht="18.600000000000001" x14ac:dyDescent="0.4">
      <c r="A53" s="23"/>
      <c r="B53" s="17"/>
      <c r="C53" s="474"/>
    </row>
    <row r="54" spans="1:3" ht="18.600000000000001" x14ac:dyDescent="0.4">
      <c r="A54" s="23"/>
      <c r="B54" s="475"/>
      <c r="C54" s="474"/>
    </row>
    <row r="55" spans="1:3" ht="18.600000000000001" x14ac:dyDescent="0.4">
      <c r="A55" s="23"/>
      <c r="B55" s="475"/>
      <c r="C55" s="474"/>
    </row>
    <row r="56" spans="1:3" ht="18.600000000000001" x14ac:dyDescent="0.4">
      <c r="A56" s="23"/>
      <c r="B56" s="475"/>
      <c r="C56" s="474"/>
    </row>
    <row r="57" spans="1:3" ht="18.600000000000001" x14ac:dyDescent="0.4">
      <c r="A57" s="23"/>
      <c r="B57" s="475"/>
      <c r="C57" s="474"/>
    </row>
    <row r="58" spans="1:3" ht="18.600000000000001" x14ac:dyDescent="0.4">
      <c r="A58" s="23"/>
      <c r="B58" s="17"/>
      <c r="C58" s="474"/>
    </row>
    <row r="59" spans="1:3" ht="18.600000000000001" x14ac:dyDescent="0.4">
      <c r="A59" s="23"/>
      <c r="B59" s="17"/>
      <c r="C59" s="474"/>
    </row>
    <row r="60" spans="1:3" ht="18.600000000000001" x14ac:dyDescent="0.4">
      <c r="A60" s="23"/>
      <c r="B60" s="17"/>
      <c r="C60" s="474"/>
    </row>
    <row r="61" spans="1:3" ht="18.600000000000001" x14ac:dyDescent="0.4">
      <c r="A61" s="23"/>
      <c r="B61" s="17"/>
      <c r="C61" s="474"/>
    </row>
    <row r="62" spans="1:3" ht="18.600000000000001" x14ac:dyDescent="0.4">
      <c r="A62" s="23"/>
      <c r="B62" s="17"/>
      <c r="C62" s="474"/>
    </row>
    <row r="63" spans="1:3" ht="18.600000000000001" x14ac:dyDescent="0.4">
      <c r="A63" s="23"/>
      <c r="B63" s="17"/>
      <c r="C63" s="474"/>
    </row>
    <row r="64" spans="1:3" ht="18.600000000000001" x14ac:dyDescent="0.4">
      <c r="A64" s="23"/>
      <c r="B64" s="17"/>
      <c r="C64" s="474"/>
    </row>
    <row r="65" spans="1:3" ht="18.600000000000001" x14ac:dyDescent="0.4">
      <c r="A65" s="23"/>
      <c r="B65" s="17"/>
      <c r="C65" s="474"/>
    </row>
    <row r="66" spans="1:3" ht="18.600000000000001" x14ac:dyDescent="0.4">
      <c r="A66" s="23"/>
      <c r="B66" s="17"/>
      <c r="C66" s="474"/>
    </row>
    <row r="67" spans="1:3" ht="18.600000000000001" x14ac:dyDescent="0.4">
      <c r="A67" s="23"/>
      <c r="B67" s="17"/>
      <c r="C67" s="474"/>
    </row>
    <row r="68" spans="1:3" ht="18.600000000000001" x14ac:dyDescent="0.4">
      <c r="A68" s="23"/>
      <c r="B68" s="17"/>
      <c r="C68" s="474"/>
    </row>
    <row r="69" spans="1:3" ht="18.600000000000001" x14ac:dyDescent="0.4">
      <c r="A69" s="23"/>
      <c r="B69" s="17"/>
      <c r="C69" s="474"/>
    </row>
    <row r="70" spans="1:3" ht="18.600000000000001" x14ac:dyDescent="0.4">
      <c r="A70" s="23"/>
      <c r="B70" s="17"/>
      <c r="C70" s="474"/>
    </row>
    <row r="71" spans="1:3" ht="18.600000000000001" x14ac:dyDescent="0.4">
      <c r="A71" s="23"/>
      <c r="B71" s="17"/>
      <c r="C71" s="474"/>
    </row>
    <row r="72" spans="1:3" ht="18.600000000000001" x14ac:dyDescent="0.4">
      <c r="A72" s="23"/>
      <c r="B72" s="17"/>
      <c r="C72" s="474"/>
    </row>
    <row r="73" spans="1:3" ht="18.600000000000001" x14ac:dyDescent="0.4">
      <c r="A73" s="23"/>
      <c r="C73" s="474"/>
    </row>
    <row r="74" spans="1:3" ht="18.600000000000001" x14ac:dyDescent="0.4">
      <c r="A74" s="23"/>
      <c r="C74" s="474"/>
    </row>
    <row r="75" spans="1:3" ht="18.600000000000001" x14ac:dyDescent="0.4">
      <c r="A75" s="23"/>
    </row>
    <row r="76" spans="1:3" ht="18.600000000000001" x14ac:dyDescent="0.4">
      <c r="A76" s="23"/>
    </row>
  </sheetData>
  <mergeCells count="1">
    <mergeCell ref="B1:U1"/>
  </mergeCells>
  <conditionalFormatting sqref="A14:A34">
    <cfRule type="expression" dxfId="134" priority="37" stopIfTrue="1">
      <formula>$P14="ALERTE"</formula>
    </cfRule>
  </conditionalFormatting>
  <conditionalFormatting sqref="A45">
    <cfRule type="expression" dxfId="133" priority="12" stopIfTrue="1">
      <formula>$P45="ALERTE"</formula>
    </cfRule>
  </conditionalFormatting>
  <conditionalFormatting sqref="B8">
    <cfRule type="expression" dxfId="132" priority="17" stopIfTrue="1">
      <formula>$BH8="ALERTE"</formula>
    </cfRule>
  </conditionalFormatting>
  <conditionalFormatting sqref="B9">
    <cfRule type="expression" dxfId="131" priority="15" stopIfTrue="1">
      <formula>$BJ9="ALERTE"</formula>
    </cfRule>
  </conditionalFormatting>
  <conditionalFormatting sqref="B10">
    <cfRule type="expression" dxfId="130" priority="16" stopIfTrue="1">
      <formula>$BS10="ALERTE"</formula>
    </cfRule>
  </conditionalFormatting>
  <conditionalFormatting sqref="B8:E9 H8:L9">
    <cfRule type="expression" dxfId="129" priority="22" stopIfTrue="1">
      <formula>$BI8="ALERTE"</formula>
    </cfRule>
  </conditionalFormatting>
  <conditionalFormatting sqref="B10:S10">
    <cfRule type="expression" dxfId="128" priority="23" stopIfTrue="1">
      <formula>$BJ10="ALERTE"</formula>
    </cfRule>
  </conditionalFormatting>
  <conditionalFormatting sqref="B3:AF5 A3:A10 AH15:AH16">
    <cfRule type="expression" dxfId="127" priority="39" stopIfTrue="1">
      <formula>$P3="ALERTE"</formula>
    </cfRule>
  </conditionalFormatting>
  <conditionalFormatting sqref="B6:AF6 AH6:AH10 B7:S7 AH14">
    <cfRule type="expression" dxfId="126" priority="40" stopIfTrue="1">
      <formula>$BI6="ALERTE"</formula>
    </cfRule>
  </conditionalFormatting>
  <conditionalFormatting sqref="B14:AF14">
    <cfRule type="expression" dxfId="125" priority="24" stopIfTrue="1">
      <formula>$BI14="ALERTE"</formula>
    </cfRule>
  </conditionalFormatting>
  <conditionalFormatting sqref="B15:AF21">
    <cfRule type="expression" dxfId="124" priority="25" stopIfTrue="1">
      <formula>$P15="ALERTE"</formula>
    </cfRule>
  </conditionalFormatting>
  <conditionalFormatting sqref="B35:AF35">
    <cfRule type="expression" dxfId="123" priority="33" stopIfTrue="1">
      <formula>$P35="ALERTE"</formula>
    </cfRule>
  </conditionalFormatting>
  <conditionalFormatting sqref="B38:AF38">
    <cfRule type="cellIs" dxfId="122" priority="29" stopIfTrue="1" operator="equal">
      <formula>"THF"</formula>
    </cfRule>
    <cfRule type="cellIs" dxfId="121" priority="30" stopIfTrue="1" operator="equal">
      <formula>"HF"</formula>
    </cfRule>
    <cfRule type="cellIs" dxfId="120" priority="31" stopIfTrue="1" operator="equal">
      <formula>"MF"</formula>
    </cfRule>
  </conditionalFormatting>
  <conditionalFormatting sqref="B40:AF40">
    <cfRule type="cellIs" dxfId="119" priority="34" stopIfTrue="1" operator="equal">
      <formula>"THF"</formula>
    </cfRule>
    <cfRule type="cellIs" dxfId="118" priority="35" stopIfTrue="1" operator="equal">
      <formula>"HF"</formula>
    </cfRule>
    <cfRule type="cellIs" dxfId="117" priority="36" stopIfTrue="1" operator="equal">
      <formula>"MF"</formula>
    </cfRule>
  </conditionalFormatting>
  <conditionalFormatting sqref="B44:AF44">
    <cfRule type="expression" dxfId="116" priority="32" stopIfTrue="1">
      <formula>$P44="ALERTE"</formula>
    </cfRule>
  </conditionalFormatting>
  <conditionalFormatting sqref="B45:AF45">
    <cfRule type="expression" dxfId="115" priority="10" stopIfTrue="1">
      <formula>$BI45="ALERTE"</formula>
    </cfRule>
  </conditionalFormatting>
  <conditionalFormatting sqref="D8:I8">
    <cfRule type="expression" dxfId="114" priority="20" stopIfTrue="1">
      <formula>$BH8="ALERTE"</formula>
    </cfRule>
  </conditionalFormatting>
  <conditionalFormatting sqref="D9:I9">
    <cfRule type="expression" dxfId="113" priority="18" stopIfTrue="1">
      <formula>$BJ9="ALERTE"</formula>
    </cfRule>
  </conditionalFormatting>
  <conditionalFormatting sqref="D10:I10">
    <cfRule type="expression" dxfId="112" priority="19" stopIfTrue="1">
      <formula>$BS10="ALERTE"</formula>
    </cfRule>
  </conditionalFormatting>
  <conditionalFormatting sqref="F8:G9">
    <cfRule type="expression" dxfId="111" priority="5" stopIfTrue="1">
      <formula>$BI8="ALERTE"</formula>
    </cfRule>
  </conditionalFormatting>
  <conditionalFormatting sqref="G15:AF15">
    <cfRule type="expression" dxfId="110" priority="21" stopIfTrue="1">
      <formula>$P15="ALERTE"</formula>
    </cfRule>
  </conditionalFormatting>
  <conditionalFormatting sqref="K8:P8">
    <cfRule type="expression" dxfId="109" priority="3" stopIfTrue="1">
      <formula>$BH8="ALERTE"</formula>
    </cfRule>
  </conditionalFormatting>
  <conditionalFormatting sqref="K9:P9">
    <cfRule type="expression" dxfId="108" priority="1" stopIfTrue="1">
      <formula>$BJ9="ALERTE"</formula>
    </cfRule>
  </conditionalFormatting>
  <conditionalFormatting sqref="K10:P10">
    <cfRule type="expression" dxfId="107" priority="2" stopIfTrue="1">
      <formula>$BS10="ALERTE"</formula>
    </cfRule>
  </conditionalFormatting>
  <conditionalFormatting sqref="M8:N9">
    <cfRule type="expression" dxfId="106" priority="4" stopIfTrue="1">
      <formula>$BI8="ALERTE"</formula>
    </cfRule>
  </conditionalFormatting>
  <conditionalFormatting sqref="O8:S9">
    <cfRule type="expression" dxfId="105" priority="9" stopIfTrue="1">
      <formula>$BI8="ALERTE"</formula>
    </cfRule>
  </conditionalFormatting>
  <conditionalFormatting sqref="R8:S8">
    <cfRule type="expression" dxfId="104" priority="8" stopIfTrue="1">
      <formula>$BH8="ALERTE"</formula>
    </cfRule>
  </conditionalFormatting>
  <conditionalFormatting sqref="R9:S9">
    <cfRule type="expression" dxfId="103" priority="6" stopIfTrue="1">
      <formula>$BJ9="ALERTE"</formula>
    </cfRule>
  </conditionalFormatting>
  <conditionalFormatting sqref="R10:AF10">
    <cfRule type="expression" dxfId="102" priority="7" stopIfTrue="1">
      <formula>$BS10="ALERTE"</formula>
    </cfRule>
  </conditionalFormatting>
  <conditionalFormatting sqref="T7:AF7">
    <cfRule type="expression" dxfId="101" priority="38" stopIfTrue="1">
      <formula>$AY7="ALERTE"</formula>
    </cfRule>
  </conditionalFormatting>
  <conditionalFormatting sqref="T8:AF8">
    <cfRule type="expression" dxfId="100" priority="14" stopIfTrue="1">
      <formula>$BI8="ALERTE"</formula>
    </cfRule>
  </conditionalFormatting>
  <conditionalFormatting sqref="T9:AF9">
    <cfRule type="expression" dxfId="99" priority="13" stopIfTrue="1">
      <formula>$BF9="ALERTE"</formula>
    </cfRule>
  </conditionalFormatting>
  <conditionalFormatting sqref="AF37">
    <cfRule type="cellIs" dxfId="98" priority="26" stopIfTrue="1" operator="equal">
      <formula>"THF"</formula>
    </cfRule>
    <cfRule type="cellIs" dxfId="97" priority="27" stopIfTrue="1" operator="equal">
      <formula>"HF"</formula>
    </cfRule>
    <cfRule type="cellIs" dxfId="96" priority="28" stopIfTrue="1" operator="equal">
      <formula>"MF"</formula>
    </cfRule>
  </conditionalFormatting>
  <conditionalFormatting sqref="AH45">
    <cfRule type="expression" dxfId="95" priority="11" stopIfTrue="1">
      <formula>$BI45="ALERTE"</formula>
    </cfRule>
  </conditionalFormatting>
  <printOptions horizontalCentered="1" verticalCentered="1"/>
  <pageMargins left="0" right="0" top="0" bottom="0" header="0.51181102362204722" footer="0.51181102362204722"/>
  <pageSetup paperSize="9" scale="51" orientation="landscape" r:id="rId1"/>
  <headerFooter alignWithMargins="0">
    <oddFooter xml:space="preserve">&amp;Rimprimé le &amp;D à &amp;T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5EAF-34D8-437A-8537-2C8B4EF185EE}">
  <sheetPr>
    <pageSetUpPr fitToPage="1"/>
  </sheetPr>
  <dimension ref="A1:IV78"/>
  <sheetViews>
    <sheetView showGridLines="0" showZeros="0" zoomScale="55" zoomScaleNormal="55" workbookViewId="0">
      <pane xSplit="1" ySplit="20" topLeftCell="F26" activePane="bottomRight" state="frozen"/>
      <selection activeCell="L25" sqref="L25"/>
      <selection pane="topRight" activeCell="L25" sqref="L25"/>
      <selection pane="bottomLeft" activeCell="L25" sqref="L25"/>
      <selection pane="bottomRight" activeCell="L25" sqref="L25"/>
    </sheetView>
  </sheetViews>
  <sheetFormatPr baseColWidth="10" defaultColWidth="0" defaultRowHeight="16.8" outlineLevelRow="1" x14ac:dyDescent="0.4"/>
  <cols>
    <col min="1" max="1" width="26.33203125" style="10" customWidth="1"/>
    <col min="2" max="2" width="8.5546875" style="8" bestFit="1" customWidth="1"/>
    <col min="3" max="3" width="8" style="8" customWidth="1"/>
    <col min="4" max="31" width="8.6640625" style="8" customWidth="1"/>
    <col min="32" max="32" width="8.6640625" style="8" hidden="1" customWidth="1"/>
    <col min="33" max="33" width="2.6640625" style="8" customWidth="1"/>
    <col min="34" max="34" width="16.88671875" style="2" customWidth="1"/>
    <col min="35" max="16384" width="11.44140625" style="8" hidden="1"/>
  </cols>
  <sheetData>
    <row r="1" spans="1:256" s="504" customFormat="1" ht="42.75" customHeight="1" x14ac:dyDescent="0.25">
      <c r="A1" s="641">
        <v>45597</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c r="AI1" s="503"/>
      <c r="AJ1" s="503"/>
      <c r="AK1" s="503"/>
      <c r="AL1" s="503"/>
      <c r="AM1" s="503"/>
      <c r="AN1" s="503"/>
      <c r="AO1" s="503"/>
      <c r="AP1" s="503"/>
      <c r="AQ1" s="503"/>
      <c r="AR1" s="503"/>
      <c r="AS1" s="503"/>
      <c r="AT1" s="503"/>
      <c r="AU1" s="503"/>
      <c r="AV1" s="503"/>
      <c r="AW1" s="503"/>
      <c r="AX1" s="503"/>
      <c r="AY1" s="503"/>
      <c r="AZ1" s="503"/>
      <c r="BA1" s="503"/>
      <c r="BB1" s="503"/>
      <c r="BC1" s="503"/>
      <c r="BD1" s="503"/>
      <c r="BE1" s="503"/>
      <c r="BF1" s="503"/>
      <c r="BG1" s="503"/>
      <c r="BH1" s="503"/>
      <c r="BI1" s="503"/>
      <c r="BJ1" s="503"/>
      <c r="BK1" s="503"/>
      <c r="BL1" s="503"/>
      <c r="BM1" s="503"/>
      <c r="BN1" s="503"/>
      <c r="BO1" s="503"/>
      <c r="BP1" s="503"/>
      <c r="BQ1" s="503"/>
      <c r="BR1" s="503"/>
      <c r="BS1" s="503"/>
      <c r="BT1" s="503"/>
      <c r="BU1" s="503"/>
      <c r="BV1" s="503"/>
      <c r="BW1" s="503"/>
      <c r="BX1" s="503"/>
      <c r="BY1" s="503"/>
      <c r="BZ1" s="503"/>
      <c r="CA1" s="503"/>
      <c r="CB1" s="503"/>
      <c r="CC1" s="503"/>
      <c r="CD1" s="503"/>
      <c r="CE1" s="503"/>
      <c r="CF1" s="503"/>
      <c r="CG1" s="503"/>
      <c r="CH1" s="503"/>
      <c r="CI1" s="503"/>
      <c r="CJ1" s="503"/>
      <c r="CK1" s="503"/>
      <c r="CL1" s="503"/>
      <c r="CM1" s="503"/>
      <c r="CN1" s="503"/>
      <c r="CO1" s="503"/>
      <c r="CP1" s="503"/>
      <c r="CQ1" s="503"/>
      <c r="CR1" s="503"/>
      <c r="CS1" s="503"/>
      <c r="CT1" s="503"/>
      <c r="CU1" s="503"/>
      <c r="CV1" s="503"/>
      <c r="CW1" s="503"/>
      <c r="CX1" s="503"/>
      <c r="CY1" s="503"/>
      <c r="CZ1" s="503"/>
      <c r="DA1" s="503"/>
      <c r="DB1" s="503"/>
      <c r="DC1" s="503"/>
      <c r="DD1" s="503"/>
      <c r="DE1" s="503"/>
      <c r="DF1" s="503"/>
      <c r="DG1" s="503"/>
      <c r="DH1" s="503"/>
      <c r="DI1" s="503"/>
      <c r="DJ1" s="503"/>
      <c r="DK1" s="503"/>
      <c r="DL1" s="503"/>
      <c r="DM1" s="503"/>
      <c r="DN1" s="503"/>
      <c r="DO1" s="503"/>
      <c r="DP1" s="503"/>
      <c r="DQ1" s="503"/>
      <c r="DR1" s="503"/>
      <c r="DS1" s="503"/>
      <c r="DT1" s="503"/>
      <c r="DU1" s="503"/>
      <c r="DV1" s="503"/>
      <c r="DW1" s="503"/>
      <c r="DX1" s="503"/>
      <c r="DY1" s="503"/>
      <c r="DZ1" s="503"/>
      <c r="EA1" s="503"/>
      <c r="EB1" s="503"/>
      <c r="EC1" s="503"/>
      <c r="ED1" s="503"/>
      <c r="EE1" s="503"/>
      <c r="EF1" s="503"/>
      <c r="EG1" s="503"/>
      <c r="EH1" s="503"/>
      <c r="EI1" s="503"/>
      <c r="EJ1" s="503"/>
      <c r="EK1" s="503"/>
      <c r="EL1" s="503"/>
      <c r="EM1" s="503"/>
      <c r="EN1" s="503"/>
      <c r="EO1" s="503"/>
      <c r="EP1" s="503"/>
      <c r="EQ1" s="503"/>
      <c r="ER1" s="503"/>
      <c r="ES1" s="503"/>
      <c r="ET1" s="503"/>
      <c r="EU1" s="503"/>
      <c r="EV1" s="503"/>
      <c r="EW1" s="503"/>
      <c r="EX1" s="503"/>
      <c r="EY1" s="503"/>
      <c r="EZ1" s="503"/>
      <c r="FA1" s="503"/>
      <c r="FB1" s="503"/>
      <c r="FC1" s="503"/>
      <c r="FD1" s="503"/>
      <c r="FE1" s="503"/>
      <c r="FF1" s="503"/>
      <c r="FG1" s="503"/>
      <c r="FH1" s="503"/>
      <c r="FI1" s="503"/>
      <c r="FJ1" s="503"/>
      <c r="FK1" s="503"/>
      <c r="FL1" s="503"/>
      <c r="FM1" s="503"/>
      <c r="FN1" s="503"/>
      <c r="FO1" s="503"/>
      <c r="FP1" s="503"/>
      <c r="FQ1" s="503"/>
      <c r="FR1" s="503"/>
      <c r="FS1" s="503"/>
      <c r="FT1" s="503"/>
      <c r="FU1" s="503"/>
      <c r="FV1" s="503"/>
      <c r="FW1" s="503"/>
      <c r="FX1" s="503"/>
      <c r="FY1" s="503"/>
      <c r="FZ1" s="503"/>
      <c r="GA1" s="503"/>
      <c r="GB1" s="503"/>
      <c r="GC1" s="503"/>
      <c r="GD1" s="503"/>
      <c r="GE1" s="503"/>
      <c r="GF1" s="503"/>
      <c r="GG1" s="503"/>
      <c r="GH1" s="503"/>
      <c r="GI1" s="503"/>
      <c r="GJ1" s="503"/>
      <c r="GK1" s="503"/>
      <c r="GL1" s="503"/>
      <c r="GM1" s="503"/>
      <c r="GN1" s="503"/>
      <c r="GO1" s="503"/>
      <c r="GP1" s="503"/>
      <c r="GQ1" s="503"/>
      <c r="GR1" s="503"/>
      <c r="GS1" s="503"/>
      <c r="GT1" s="503"/>
      <c r="GU1" s="503"/>
      <c r="GV1" s="503"/>
      <c r="GW1" s="503"/>
      <c r="GX1" s="503"/>
      <c r="GY1" s="503"/>
      <c r="GZ1" s="503"/>
      <c r="HA1" s="503"/>
      <c r="HB1" s="503"/>
      <c r="HC1" s="503"/>
      <c r="HD1" s="503"/>
      <c r="HE1" s="503"/>
      <c r="HF1" s="503"/>
      <c r="HG1" s="503"/>
      <c r="HH1" s="503"/>
      <c r="HI1" s="503"/>
      <c r="HJ1" s="503"/>
      <c r="HK1" s="503"/>
      <c r="HL1" s="503"/>
      <c r="HM1" s="503"/>
      <c r="HN1" s="503"/>
      <c r="HO1" s="503"/>
      <c r="HP1" s="503"/>
      <c r="HQ1" s="503"/>
      <c r="HR1" s="503"/>
      <c r="HS1" s="503"/>
      <c r="HT1" s="503"/>
      <c r="HU1" s="503"/>
      <c r="HV1" s="503"/>
      <c r="HW1" s="503"/>
      <c r="HX1" s="503"/>
      <c r="HY1" s="503"/>
      <c r="HZ1" s="503"/>
      <c r="IA1" s="503"/>
      <c r="IB1" s="503"/>
      <c r="IC1" s="503"/>
      <c r="ID1" s="503"/>
      <c r="IE1" s="503"/>
      <c r="IF1" s="503"/>
      <c r="IG1" s="503"/>
      <c r="IH1" s="503"/>
      <c r="II1" s="503"/>
      <c r="IJ1" s="503"/>
      <c r="IK1" s="503"/>
      <c r="IL1" s="503"/>
      <c r="IM1" s="503"/>
      <c r="IN1" s="503"/>
      <c r="IO1" s="503"/>
      <c r="IP1" s="503"/>
      <c r="IQ1" s="503"/>
      <c r="IR1" s="503"/>
      <c r="IS1" s="503"/>
      <c r="IT1" s="503"/>
      <c r="IU1" s="503"/>
      <c r="IV1" s="503"/>
    </row>
    <row r="2" spans="1:256"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AI2" s="471"/>
      <c r="AJ2" s="471"/>
      <c r="AK2" s="471"/>
      <c r="AL2" s="471"/>
      <c r="AM2" s="471"/>
      <c r="AN2" s="471"/>
      <c r="AO2" s="471"/>
      <c r="AP2" s="471"/>
      <c r="AQ2" s="471"/>
      <c r="AR2" s="471"/>
      <c r="AS2" s="471"/>
      <c r="AT2" s="471"/>
      <c r="AU2" s="471"/>
      <c r="AV2" s="471"/>
      <c r="AW2" s="471"/>
      <c r="AX2" s="471"/>
      <c r="AY2" s="471"/>
      <c r="AZ2" s="471"/>
      <c r="BA2" s="471"/>
      <c r="BB2" s="471"/>
      <c r="BC2" s="471"/>
      <c r="BD2" s="471"/>
      <c r="BE2" s="471"/>
      <c r="BF2" s="471"/>
      <c r="BG2" s="471"/>
      <c r="BH2" s="471"/>
      <c r="BI2" s="471"/>
      <c r="BJ2" s="471"/>
      <c r="BK2" s="471"/>
      <c r="BL2" s="471"/>
      <c r="BM2" s="471"/>
      <c r="BN2" s="471"/>
      <c r="BO2" s="471"/>
      <c r="BP2" s="471"/>
      <c r="BQ2" s="471"/>
      <c r="BR2" s="471"/>
      <c r="BS2" s="471"/>
      <c r="BT2" s="471"/>
      <c r="BU2" s="471"/>
      <c r="BV2" s="471"/>
      <c r="BW2" s="471"/>
      <c r="BX2" s="471"/>
      <c r="BY2" s="471"/>
      <c r="BZ2" s="471"/>
      <c r="CA2" s="471"/>
      <c r="CB2" s="471"/>
      <c r="CC2" s="471"/>
      <c r="CD2" s="471"/>
      <c r="CE2" s="471"/>
      <c r="CF2" s="471"/>
      <c r="CG2" s="471"/>
      <c r="CH2" s="471"/>
      <c r="CI2" s="471"/>
      <c r="CJ2" s="471"/>
      <c r="CK2" s="471"/>
      <c r="CL2" s="471"/>
      <c r="CM2" s="471"/>
      <c r="CN2" s="471"/>
      <c r="CO2" s="471"/>
      <c r="CP2" s="471"/>
      <c r="CQ2" s="471"/>
      <c r="CR2" s="471"/>
      <c r="CS2" s="471"/>
      <c r="CT2" s="471"/>
      <c r="CU2" s="471"/>
      <c r="CV2" s="471"/>
      <c r="CW2" s="471"/>
      <c r="CX2" s="471"/>
      <c r="CY2" s="471"/>
      <c r="CZ2" s="471"/>
      <c r="DA2" s="471"/>
      <c r="DB2" s="471"/>
      <c r="DC2" s="471"/>
      <c r="DD2" s="471"/>
      <c r="DE2" s="471"/>
      <c r="DF2" s="471"/>
      <c r="DG2" s="471"/>
      <c r="DH2" s="471"/>
      <c r="DI2" s="471"/>
      <c r="DJ2" s="471"/>
      <c r="DK2" s="471"/>
      <c r="DL2" s="471"/>
      <c r="DM2" s="471"/>
      <c r="DN2" s="471"/>
      <c r="DO2" s="471"/>
      <c r="DP2" s="471"/>
      <c r="DQ2" s="471"/>
      <c r="DR2" s="471"/>
      <c r="DS2" s="471"/>
      <c r="DT2" s="471"/>
      <c r="DU2" s="471"/>
      <c r="DV2" s="471"/>
      <c r="DW2" s="471"/>
      <c r="DX2" s="471"/>
      <c r="DY2" s="471"/>
      <c r="DZ2" s="471"/>
      <c r="EA2" s="471"/>
      <c r="EB2" s="471"/>
      <c r="EC2" s="471"/>
      <c r="ED2" s="471"/>
      <c r="EE2" s="471"/>
      <c r="EF2" s="471"/>
      <c r="EG2" s="471"/>
      <c r="EH2" s="471"/>
      <c r="EI2" s="471"/>
      <c r="EJ2" s="471"/>
      <c r="EK2" s="471"/>
      <c r="EL2" s="471"/>
      <c r="EM2" s="471"/>
      <c r="EN2" s="471"/>
      <c r="EO2" s="471"/>
      <c r="EP2" s="471"/>
      <c r="EQ2" s="471"/>
      <c r="ER2" s="471"/>
      <c r="ES2" s="471"/>
      <c r="ET2" s="471"/>
      <c r="EU2" s="471"/>
      <c r="EV2" s="471"/>
      <c r="EW2" s="471"/>
      <c r="EX2" s="471"/>
      <c r="EY2" s="471"/>
      <c r="EZ2" s="471"/>
      <c r="FA2" s="471"/>
      <c r="FB2" s="471"/>
      <c r="FC2" s="471"/>
      <c r="FD2" s="471"/>
      <c r="FE2" s="471"/>
      <c r="FF2" s="471"/>
      <c r="FG2" s="471"/>
      <c r="FH2" s="471"/>
      <c r="FI2" s="471"/>
      <c r="FJ2" s="471"/>
      <c r="FK2" s="471"/>
      <c r="FL2" s="471"/>
      <c r="FM2" s="471"/>
      <c r="FN2" s="471"/>
      <c r="FO2" s="471"/>
      <c r="FP2" s="471"/>
      <c r="FQ2" s="471"/>
      <c r="FR2" s="471"/>
      <c r="FS2" s="471"/>
      <c r="FT2" s="471"/>
      <c r="FU2" s="471"/>
      <c r="FV2" s="471"/>
      <c r="FW2" s="471"/>
      <c r="FX2" s="471"/>
      <c r="FY2" s="471"/>
      <c r="FZ2" s="471"/>
      <c r="GA2" s="471"/>
      <c r="GB2" s="471"/>
      <c r="GC2" s="471"/>
      <c r="GD2" s="471"/>
      <c r="GE2" s="471"/>
      <c r="GF2" s="471"/>
      <c r="GG2" s="471"/>
      <c r="GH2" s="471"/>
      <c r="GI2" s="471"/>
      <c r="GJ2" s="471"/>
      <c r="GK2" s="471"/>
      <c r="GL2" s="471"/>
      <c r="GM2" s="471"/>
      <c r="GN2" s="471"/>
      <c r="GO2" s="471"/>
      <c r="GP2" s="471"/>
      <c r="GQ2" s="471"/>
      <c r="GR2" s="471"/>
      <c r="GS2" s="471"/>
      <c r="GT2" s="471"/>
      <c r="GU2" s="471"/>
      <c r="GV2" s="471"/>
      <c r="GW2" s="471"/>
      <c r="GX2" s="471"/>
      <c r="GY2" s="471"/>
      <c r="GZ2" s="471"/>
      <c r="HA2" s="471"/>
      <c r="HB2" s="471"/>
      <c r="HC2" s="471"/>
      <c r="HD2" s="471"/>
      <c r="HE2" s="471"/>
      <c r="HF2" s="471"/>
      <c r="HG2" s="471"/>
      <c r="HH2" s="471"/>
      <c r="HI2" s="471"/>
      <c r="HJ2" s="471"/>
      <c r="HK2" s="471"/>
      <c r="HL2" s="471"/>
      <c r="HM2" s="471"/>
      <c r="HN2" s="471"/>
      <c r="HO2" s="471"/>
      <c r="HP2" s="471"/>
      <c r="HQ2" s="471"/>
      <c r="HR2" s="471"/>
      <c r="HS2" s="471"/>
      <c r="HT2" s="471"/>
      <c r="HU2" s="471"/>
      <c r="HV2" s="471"/>
      <c r="HW2" s="471"/>
      <c r="HX2" s="471"/>
      <c r="HY2" s="471"/>
      <c r="HZ2" s="471"/>
      <c r="IA2" s="471"/>
      <c r="IB2" s="471"/>
      <c r="IC2" s="471"/>
      <c r="ID2" s="471"/>
      <c r="IE2" s="471"/>
      <c r="IF2" s="471"/>
      <c r="IG2" s="471"/>
      <c r="IH2" s="471"/>
      <c r="II2" s="471"/>
      <c r="IJ2" s="471"/>
      <c r="IK2" s="471"/>
      <c r="IL2" s="471"/>
      <c r="IM2" s="471"/>
      <c r="IN2" s="471"/>
      <c r="IO2" s="471"/>
      <c r="IP2" s="471"/>
      <c r="IQ2" s="471"/>
      <c r="IR2" s="471"/>
      <c r="IS2" s="471"/>
      <c r="IT2" s="471"/>
      <c r="IU2" s="471"/>
      <c r="IV2" s="471"/>
    </row>
    <row r="3" spans="1:256" s="158" customFormat="1" ht="20.100000000000001" customHeight="1" x14ac:dyDescent="0.25">
      <c r="A3" s="633" t="s">
        <v>0</v>
      </c>
      <c r="B3" s="635">
        <f>+A1</f>
        <v>45597</v>
      </c>
      <c r="C3" s="634">
        <f>+B3+1</f>
        <v>45598</v>
      </c>
      <c r="D3" s="634">
        <f>+C3+1</f>
        <v>45599</v>
      </c>
      <c r="E3" s="634">
        <f>+D3+1</f>
        <v>45600</v>
      </c>
      <c r="F3" s="634">
        <f>E3+1</f>
        <v>45601</v>
      </c>
      <c r="G3" s="634">
        <f>+F3+1</f>
        <v>45602</v>
      </c>
      <c r="H3" s="634">
        <f>+G3+1</f>
        <v>45603</v>
      </c>
      <c r="I3" s="634">
        <f>+H3+1</f>
        <v>45604</v>
      </c>
      <c r="J3" s="634">
        <f>+I3+1</f>
        <v>45605</v>
      </c>
      <c r="K3" s="634">
        <f>+J3+1</f>
        <v>45606</v>
      </c>
      <c r="L3" s="635">
        <f>+K3+1</f>
        <v>45607</v>
      </c>
      <c r="M3" s="634">
        <f>+L3+1</f>
        <v>45608</v>
      </c>
      <c r="N3" s="634">
        <f>+M3+1</f>
        <v>45609</v>
      </c>
      <c r="O3" s="634">
        <f>+N3+1</f>
        <v>45610</v>
      </c>
      <c r="P3" s="634">
        <f>+O3+1</f>
        <v>45611</v>
      </c>
      <c r="Q3" s="634">
        <f>+P3+1</f>
        <v>45612</v>
      </c>
      <c r="R3" s="634">
        <f>+Q3+1</f>
        <v>45613</v>
      </c>
      <c r="S3" s="634">
        <f>+R3+1</f>
        <v>45614</v>
      </c>
      <c r="T3" s="634">
        <f>+S3+1</f>
        <v>45615</v>
      </c>
      <c r="U3" s="634">
        <f>+T3+1</f>
        <v>45616</v>
      </c>
      <c r="V3" s="634">
        <f>+U3+1</f>
        <v>45617</v>
      </c>
      <c r="W3" s="634">
        <f>+V3+1</f>
        <v>45618</v>
      </c>
      <c r="X3" s="634">
        <f>+W3+1</f>
        <v>45619</v>
      </c>
      <c r="Y3" s="634">
        <f>+X3+1</f>
        <v>45620</v>
      </c>
      <c r="Z3" s="634">
        <f>+Y3+1</f>
        <v>45621</v>
      </c>
      <c r="AA3" s="634">
        <f>+Z3+1</f>
        <v>45622</v>
      </c>
      <c r="AB3" s="634">
        <f>+AA3+1</f>
        <v>45623</v>
      </c>
      <c r="AC3" s="634">
        <f>+AB3+1</f>
        <v>45624</v>
      </c>
      <c r="AD3" s="634">
        <f>+AC3+1</f>
        <v>45625</v>
      </c>
      <c r="AE3" s="634">
        <f>+AD3+1</f>
        <v>45626</v>
      </c>
      <c r="AF3" s="634"/>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256" s="158" customFormat="1" ht="20.100000000000001" customHeight="1" x14ac:dyDescent="0.25">
      <c r="A4" s="527" t="s">
        <v>1</v>
      </c>
      <c r="B4" s="532">
        <f>+A1</f>
        <v>45597</v>
      </c>
      <c r="C4" s="531">
        <f>+B4+1</f>
        <v>45598</v>
      </c>
      <c r="D4" s="531">
        <f>+C4+1</f>
        <v>45599</v>
      </c>
      <c r="E4" s="531">
        <f>+D4+1</f>
        <v>45600</v>
      </c>
      <c r="F4" s="531">
        <f>+E4+1</f>
        <v>45601</v>
      </c>
      <c r="G4" s="531">
        <f>+F4+1</f>
        <v>45602</v>
      </c>
      <c r="H4" s="531">
        <f>+G4+1</f>
        <v>45603</v>
      </c>
      <c r="I4" s="531">
        <f>+H4+1</f>
        <v>45604</v>
      </c>
      <c r="J4" s="531">
        <f>+I4+1</f>
        <v>45605</v>
      </c>
      <c r="K4" s="531">
        <f>+J4+1</f>
        <v>45606</v>
      </c>
      <c r="L4" s="532">
        <f>+K4+1</f>
        <v>45607</v>
      </c>
      <c r="M4" s="531">
        <f>+L4+1</f>
        <v>45608</v>
      </c>
      <c r="N4" s="531">
        <f>+M4+1</f>
        <v>45609</v>
      </c>
      <c r="O4" s="531">
        <f>+N4+1</f>
        <v>45610</v>
      </c>
      <c r="P4" s="531">
        <f>+O4+1</f>
        <v>45611</v>
      </c>
      <c r="Q4" s="531">
        <f>+P4+1</f>
        <v>45612</v>
      </c>
      <c r="R4" s="531">
        <f>+Q4+1</f>
        <v>45613</v>
      </c>
      <c r="S4" s="531">
        <f>+R4+1</f>
        <v>45614</v>
      </c>
      <c r="T4" s="531">
        <f>+S4+1</f>
        <v>45615</v>
      </c>
      <c r="U4" s="531">
        <f>+T4+1</f>
        <v>45616</v>
      </c>
      <c r="V4" s="531">
        <f>+U4+1</f>
        <v>45617</v>
      </c>
      <c r="W4" s="531">
        <f>+V4+1</f>
        <v>45618</v>
      </c>
      <c r="X4" s="531">
        <f>+W4+1</f>
        <v>45619</v>
      </c>
      <c r="Y4" s="531">
        <f>+X4+1</f>
        <v>45620</v>
      </c>
      <c r="Z4" s="531">
        <f>+Y4+1</f>
        <v>45621</v>
      </c>
      <c r="AA4" s="531">
        <f>+Z4+1</f>
        <v>45622</v>
      </c>
      <c r="AB4" s="531">
        <f>+AA4+1</f>
        <v>45623</v>
      </c>
      <c r="AC4" s="531">
        <f>+AB4+1</f>
        <v>45624</v>
      </c>
      <c r="AD4" s="531">
        <f>+AC4+1</f>
        <v>45625</v>
      </c>
      <c r="AE4" s="531">
        <f>+AD4+1</f>
        <v>45626</v>
      </c>
      <c r="AF4" s="531"/>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256" s="171" customFormat="1" ht="9.9" customHeight="1" thickBot="1" x14ac:dyDescent="0.3">
      <c r="A5" s="528"/>
      <c r="B5" s="169"/>
      <c r="C5" s="169"/>
      <c r="D5" s="170"/>
      <c r="E5" s="170"/>
      <c r="F5" s="170"/>
      <c r="G5" s="170"/>
      <c r="H5" s="170"/>
      <c r="I5" s="169"/>
      <c r="J5" s="169"/>
      <c r="K5" s="170"/>
      <c r="L5" s="170"/>
      <c r="M5" s="170"/>
      <c r="N5" s="170"/>
      <c r="O5" s="170"/>
      <c r="P5" s="169"/>
      <c r="Q5" s="169"/>
      <c r="R5" s="170"/>
      <c r="S5" s="170"/>
      <c r="T5" s="170"/>
      <c r="U5" s="170"/>
      <c r="V5" s="170"/>
      <c r="W5" s="169"/>
      <c r="X5" s="169"/>
      <c r="Y5" s="170"/>
      <c r="Z5" s="170"/>
      <c r="AA5" s="170"/>
      <c r="AB5" s="170"/>
      <c r="AC5" s="170"/>
      <c r="AD5" s="169"/>
      <c r="AE5" s="169"/>
      <c r="AF5" s="169"/>
      <c r="AH5" s="163"/>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c r="CY5" s="172"/>
      <c r="CZ5" s="172"/>
      <c r="DA5" s="172"/>
      <c r="DB5" s="172"/>
      <c r="DC5" s="172"/>
      <c r="DD5" s="172"/>
      <c r="DE5" s="172"/>
      <c r="DF5" s="172"/>
      <c r="DG5" s="172"/>
      <c r="DH5" s="172"/>
      <c r="DI5" s="172"/>
      <c r="DJ5" s="172"/>
      <c r="DK5" s="172"/>
      <c r="DL5" s="172"/>
      <c r="DM5" s="172"/>
      <c r="DN5" s="172"/>
      <c r="DO5" s="172"/>
      <c r="DP5" s="172"/>
      <c r="DQ5" s="172"/>
      <c r="DR5" s="172"/>
      <c r="DS5" s="172"/>
      <c r="DT5" s="172"/>
      <c r="DU5" s="172"/>
      <c r="DV5" s="172"/>
      <c r="DW5" s="172"/>
      <c r="DX5" s="172"/>
      <c r="DY5" s="172"/>
      <c r="DZ5" s="172"/>
      <c r="EA5" s="172"/>
      <c r="EB5" s="172"/>
      <c r="EC5" s="172"/>
      <c r="ED5" s="172"/>
      <c r="EE5" s="172"/>
    </row>
    <row r="6" spans="1:256" s="467" customFormat="1" ht="20.100000000000001" customHeight="1" thickBot="1" x14ac:dyDescent="0.3">
      <c r="A6" s="529" t="s">
        <v>2</v>
      </c>
      <c r="B6" s="691" t="s">
        <v>57</v>
      </c>
      <c r="C6" s="690"/>
      <c r="D6" s="692"/>
      <c r="E6" s="487"/>
      <c r="F6" s="487"/>
      <c r="G6" s="488"/>
      <c r="H6" s="488"/>
      <c r="I6" s="487"/>
      <c r="J6" s="691" t="s">
        <v>58</v>
      </c>
      <c r="K6" s="690"/>
      <c r="L6" s="692"/>
      <c r="M6" s="488"/>
      <c r="N6" s="488"/>
      <c r="O6" s="488"/>
      <c r="P6" s="487"/>
      <c r="Q6" s="487"/>
      <c r="R6" s="487"/>
      <c r="S6" s="487"/>
      <c r="T6" s="488"/>
      <c r="U6" s="488"/>
      <c r="V6" s="488"/>
      <c r="W6" s="487"/>
      <c r="X6" s="487"/>
      <c r="Y6" s="487"/>
      <c r="Z6" s="487"/>
      <c r="AA6" s="488"/>
      <c r="AB6" s="488"/>
      <c r="AC6" s="488"/>
      <c r="AD6" s="487"/>
      <c r="AE6" s="487"/>
      <c r="AF6" s="487"/>
      <c r="AH6" s="470"/>
      <c r="BL6" s="468"/>
      <c r="BM6" s="468"/>
      <c r="BN6" s="468"/>
      <c r="BO6" s="468"/>
      <c r="BP6" s="468"/>
      <c r="BQ6" s="468"/>
      <c r="BR6" s="468"/>
      <c r="BS6" s="468"/>
      <c r="BT6" s="468"/>
      <c r="BU6" s="468"/>
      <c r="BV6" s="468"/>
      <c r="BW6" s="468"/>
      <c r="BX6" s="468"/>
      <c r="BY6" s="468"/>
      <c r="BZ6" s="468"/>
      <c r="CA6" s="468"/>
      <c r="CB6" s="468"/>
      <c r="CC6" s="468"/>
      <c r="CD6" s="468"/>
      <c r="CE6" s="468"/>
      <c r="CF6" s="468"/>
      <c r="CG6" s="468"/>
      <c r="CH6" s="468"/>
      <c r="CI6" s="468"/>
      <c r="CJ6" s="468"/>
      <c r="CK6" s="468"/>
      <c r="CL6" s="468"/>
      <c r="CM6" s="468"/>
      <c r="CN6" s="468"/>
      <c r="CO6" s="468"/>
      <c r="CP6" s="468"/>
      <c r="CQ6" s="468"/>
      <c r="CR6" s="468"/>
      <c r="CS6" s="468"/>
      <c r="CT6" s="468"/>
      <c r="CU6" s="468"/>
      <c r="CV6" s="468"/>
      <c r="CW6" s="468"/>
      <c r="CX6" s="468"/>
      <c r="CY6" s="468"/>
      <c r="CZ6" s="468"/>
      <c r="DA6" s="468"/>
      <c r="DB6" s="468"/>
      <c r="DC6" s="468"/>
      <c r="DD6" s="468"/>
      <c r="DE6" s="468"/>
      <c r="DF6" s="468"/>
      <c r="DG6" s="468"/>
      <c r="DH6" s="468"/>
      <c r="DI6" s="468"/>
      <c r="DJ6" s="468"/>
      <c r="DK6" s="468"/>
      <c r="DL6" s="468"/>
      <c r="DM6" s="468"/>
      <c r="DN6" s="468"/>
      <c r="DO6" s="468"/>
      <c r="DP6" s="468"/>
      <c r="DQ6" s="468"/>
      <c r="DR6" s="468"/>
      <c r="DS6" s="468"/>
      <c r="DT6" s="468"/>
      <c r="DU6" s="468"/>
      <c r="DV6" s="468"/>
      <c r="DW6" s="468"/>
      <c r="DX6" s="468"/>
      <c r="DY6" s="468"/>
      <c r="DZ6" s="468"/>
      <c r="EA6" s="468"/>
      <c r="EB6" s="468"/>
      <c r="EC6" s="468"/>
      <c r="ED6" s="468"/>
      <c r="EE6" s="468"/>
    </row>
    <row r="7" spans="1:256" s="171" customFormat="1" ht="20.100000000000001" customHeight="1" x14ac:dyDescent="0.25">
      <c r="A7" s="530" t="s">
        <v>3</v>
      </c>
      <c r="B7" s="472" t="s">
        <v>131</v>
      </c>
      <c r="C7" s="472" t="s">
        <v>131</v>
      </c>
      <c r="D7" s="472" t="s">
        <v>131</v>
      </c>
      <c r="E7" s="173"/>
      <c r="F7" s="173"/>
      <c r="G7" s="173"/>
      <c r="H7" s="173"/>
      <c r="I7" s="173"/>
      <c r="J7" s="173"/>
      <c r="K7" s="173"/>
      <c r="L7" s="173"/>
      <c r="M7" s="173"/>
      <c r="N7" s="173"/>
      <c r="O7" s="173"/>
      <c r="P7" s="173"/>
      <c r="Q7" s="173"/>
      <c r="R7" s="173"/>
      <c r="S7" s="173"/>
      <c r="T7" s="173"/>
      <c r="U7" s="173"/>
      <c r="V7" s="173"/>
      <c r="W7" s="173"/>
      <c r="X7" s="173"/>
      <c r="Y7" s="173"/>
      <c r="Z7" s="173"/>
      <c r="AA7" s="173"/>
      <c r="AB7" s="173"/>
      <c r="AC7" s="173"/>
      <c r="AD7" s="173"/>
      <c r="AE7" s="173"/>
      <c r="AF7" s="173"/>
      <c r="AH7" s="165"/>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c r="CY7" s="172"/>
      <c r="CZ7" s="172"/>
      <c r="DA7" s="172"/>
      <c r="DB7" s="172"/>
      <c r="DC7" s="172"/>
      <c r="DD7" s="172"/>
      <c r="DE7" s="172"/>
      <c r="DF7" s="172"/>
      <c r="DG7" s="172"/>
      <c r="DH7" s="172"/>
      <c r="DI7" s="172"/>
      <c r="DJ7" s="172"/>
      <c r="DK7" s="172"/>
      <c r="DL7" s="172"/>
      <c r="DM7" s="172"/>
      <c r="DN7" s="172"/>
      <c r="DO7" s="172"/>
      <c r="DP7" s="172"/>
      <c r="DQ7" s="172"/>
      <c r="DR7" s="172"/>
      <c r="DS7" s="172"/>
      <c r="DT7" s="172"/>
      <c r="DU7" s="172"/>
      <c r="DV7" s="172"/>
      <c r="DW7" s="172"/>
      <c r="DX7" s="172"/>
      <c r="DY7" s="172"/>
      <c r="DZ7" s="172"/>
      <c r="EA7" s="172"/>
      <c r="EB7" s="172"/>
      <c r="EC7" s="172"/>
      <c r="ED7" s="172"/>
      <c r="EE7" s="172"/>
    </row>
    <row r="8" spans="1:256" s="560" customFormat="1" ht="25.5" customHeight="1" x14ac:dyDescent="0.3">
      <c r="A8" s="559" t="s">
        <v>132</v>
      </c>
      <c r="B8" s="562">
        <v>0.36458333333333331</v>
      </c>
      <c r="C8" s="562">
        <v>0.36458333333333331</v>
      </c>
      <c r="D8" s="562">
        <v>0.36458333333333331</v>
      </c>
      <c r="E8" s="562" t="str">
        <f>E9</f>
        <v/>
      </c>
      <c r="F8" s="562" t="str">
        <f>F9</f>
        <v/>
      </c>
      <c r="G8" s="562" t="str">
        <f>G9</f>
        <v/>
      </c>
      <c r="H8" s="562" t="str">
        <f>H9</f>
        <v/>
      </c>
      <c r="I8" s="562" t="str">
        <f>I9</f>
        <v/>
      </c>
      <c r="J8" s="562">
        <v>0.38541666666666669</v>
      </c>
      <c r="K8" s="562">
        <v>0.38541666666666669</v>
      </c>
      <c r="L8" s="562">
        <v>0.41666666666666669</v>
      </c>
      <c r="M8" s="562"/>
      <c r="N8" s="562" t="str">
        <f>N9</f>
        <v/>
      </c>
      <c r="O8" s="562" t="str">
        <f>O9</f>
        <v/>
      </c>
      <c r="P8" s="562" t="str">
        <f>P9</f>
        <v/>
      </c>
      <c r="Q8" s="562">
        <v>0.41666666666666669</v>
      </c>
      <c r="R8" s="562">
        <v>0.41666666666666669</v>
      </c>
      <c r="S8" s="562" t="str">
        <f>S9</f>
        <v/>
      </c>
      <c r="T8" s="562" t="str">
        <f>T9</f>
        <v/>
      </c>
      <c r="U8" s="562" t="str">
        <f>U9</f>
        <v/>
      </c>
      <c r="V8" s="562"/>
      <c r="W8" s="562"/>
      <c r="X8" s="562">
        <v>0.41666666666666669</v>
      </c>
      <c r="Y8" s="562">
        <v>0.41666666666666669</v>
      </c>
      <c r="Z8" s="562" t="str">
        <f>Z9</f>
        <v/>
      </c>
      <c r="AA8" s="562" t="str">
        <f>AA9</f>
        <v/>
      </c>
      <c r="AB8" s="562" t="str">
        <f>AB9</f>
        <v/>
      </c>
      <c r="AC8" s="562" t="str">
        <f>AC9</f>
        <v/>
      </c>
      <c r="AD8" s="562" t="str">
        <f>AD9</f>
        <v/>
      </c>
      <c r="AE8" s="562">
        <v>0.41666666666666669</v>
      </c>
      <c r="AF8" s="562" t="str">
        <f>AF9</f>
        <v/>
      </c>
      <c r="AH8" s="562"/>
    </row>
    <row r="9" spans="1:256" s="172" customFormat="1" ht="20.25" customHeight="1" x14ac:dyDescent="0.25">
      <c r="A9" s="519" t="s">
        <v>36</v>
      </c>
      <c r="B9" s="511">
        <v>0.36458333333333331</v>
      </c>
      <c r="C9" s="511">
        <v>0.36458333333333331</v>
      </c>
      <c r="D9" s="511">
        <v>0.36458333333333331</v>
      </c>
      <c r="E9" s="511" t="str">
        <f>IF(E10="","",E10)</f>
        <v/>
      </c>
      <c r="F9" s="511" t="str">
        <f>IF(F10="","",F10)</f>
        <v/>
      </c>
      <c r="G9" s="511" t="str">
        <f>IF(G10="","",G10)</f>
        <v/>
      </c>
      <c r="H9" s="511" t="str">
        <f>IF(H10="","",H10)</f>
        <v/>
      </c>
      <c r="I9" s="511" t="str">
        <f>IF(I10="","",I10)</f>
        <v/>
      </c>
      <c r="J9" s="511">
        <v>0.375</v>
      </c>
      <c r="K9" s="511">
        <v>0.375</v>
      </c>
      <c r="L9" s="511">
        <v>0.41666666666666669</v>
      </c>
      <c r="M9" s="511"/>
      <c r="N9" s="511" t="str">
        <f>IF(N10="","",N10)</f>
        <v/>
      </c>
      <c r="O9" s="511" t="str">
        <f>IF(O10="","",O10)</f>
        <v/>
      </c>
      <c r="P9" s="511" t="str">
        <f>IF(P10="","",P10)</f>
        <v/>
      </c>
      <c r="Q9" s="511">
        <v>0.41666666666666669</v>
      </c>
      <c r="R9" s="511">
        <v>0.41666666666666669</v>
      </c>
      <c r="S9" s="511" t="str">
        <f>IF(S10="","",S10)</f>
        <v/>
      </c>
      <c r="T9" s="511" t="str">
        <f>IF(T10="","",T10)</f>
        <v/>
      </c>
      <c r="U9" s="511" t="str">
        <f>IF(U10="","",U10)</f>
        <v/>
      </c>
      <c r="V9" s="511"/>
      <c r="W9" s="511"/>
      <c r="X9" s="511">
        <v>0.41666666666666669</v>
      </c>
      <c r="Y9" s="511">
        <v>0.41666666666666669</v>
      </c>
      <c r="Z9" s="511" t="str">
        <f>IF(Z10="","",Z10)</f>
        <v/>
      </c>
      <c r="AA9" s="511" t="str">
        <f>IF(AA10="","",AA10)</f>
        <v/>
      </c>
      <c r="AB9" s="511" t="str">
        <f>IF(AB10="","",AB10)</f>
        <v/>
      </c>
      <c r="AC9" s="511" t="str">
        <f>IF(AC10="","",AC10)</f>
        <v/>
      </c>
      <c r="AD9" s="511" t="str">
        <f>IF(AD10="","",AD10)</f>
        <v/>
      </c>
      <c r="AE9" s="511">
        <v>0.41666666666666669</v>
      </c>
      <c r="AF9" s="511" t="str">
        <f>IF(AF10="","",AF10-"0:15")</f>
        <v/>
      </c>
      <c r="AH9" s="554"/>
    </row>
    <row r="10" spans="1:256" s="171" customFormat="1" ht="20.100000000000001" customHeight="1" x14ac:dyDescent="0.25">
      <c r="A10" s="520" t="s">
        <v>5</v>
      </c>
      <c r="B10" s="626">
        <v>0.375</v>
      </c>
      <c r="C10" s="626">
        <v>0.375</v>
      </c>
      <c r="D10" s="626">
        <v>0.375</v>
      </c>
      <c r="E10" s="626"/>
      <c r="F10" s="626"/>
      <c r="G10" s="626"/>
      <c r="H10" s="626"/>
      <c r="I10" s="626"/>
      <c r="J10" s="626">
        <v>0.38541666666666669</v>
      </c>
      <c r="K10" s="626">
        <v>0.38541666666666669</v>
      </c>
      <c r="L10" s="626">
        <v>0.41666666666666669</v>
      </c>
      <c r="M10" s="626"/>
      <c r="N10" s="626"/>
      <c r="O10" s="626"/>
      <c r="P10" s="626"/>
      <c r="Q10" s="626">
        <v>0.41666666666666669</v>
      </c>
      <c r="R10" s="626">
        <v>0.41666666666666669</v>
      </c>
      <c r="S10" s="626"/>
      <c r="T10" s="626"/>
      <c r="U10" s="626"/>
      <c r="V10" s="626"/>
      <c r="W10" s="626"/>
      <c r="X10" s="626">
        <v>0.41666666666666669</v>
      </c>
      <c r="Y10" s="626">
        <v>0.41666666666666669</v>
      </c>
      <c r="Z10" s="626"/>
      <c r="AA10" s="626"/>
      <c r="AB10" s="626"/>
      <c r="AC10" s="626"/>
      <c r="AD10" s="626"/>
      <c r="AE10" s="626">
        <v>0.41666666666666669</v>
      </c>
      <c r="AF10" s="626"/>
      <c r="AH10" s="62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256" s="171" customFormat="1" ht="20.100000000000001" customHeight="1" x14ac:dyDescent="0.25">
      <c r="A11" s="520" t="s">
        <v>6</v>
      </c>
      <c r="B11" s="627">
        <f>IF(B10="","",IF(B15=0,B14+"0:30",+B15+"0:30"))</f>
        <v>0.92708333333333337</v>
      </c>
      <c r="C11" s="627">
        <f>IF(C10="","",IF(C15=0,C14+"0:30",+C15+"0:30"))</f>
        <v>0.92708333333333337</v>
      </c>
      <c r="D11" s="627">
        <f>IF(D10="","",IF(D15=0,D14+"0:30",+D15+"0:30"))</f>
        <v>0.79166666666666674</v>
      </c>
      <c r="E11" s="627" t="str">
        <f>IF(E10="","",IF(E15=0,E14+"0:30",+E15+"0:30"))</f>
        <v/>
      </c>
      <c r="F11" s="627" t="str">
        <f>IF(F10="","",IF(F15=0,F14+"0:30",+F15+"0:30"))</f>
        <v/>
      </c>
      <c r="G11" s="627" t="str">
        <f>IF(G10="","",IF(G15=0,G14+"0:30",+G15+"0:30"))</f>
        <v/>
      </c>
      <c r="H11" s="627" t="str">
        <f>IF(H10="","",IF(H15=0,H14+"0:30",+H15+"0:30"))</f>
        <v/>
      </c>
      <c r="I11" s="627" t="str">
        <f>IF(I10="","",IF(I15=0,I14+"0:30",+I15+"0:30"))</f>
        <v/>
      </c>
      <c r="J11" s="627">
        <f>IF(J10="","",IF(J15=0,J14+"0:30",+J15+"0:30"))</f>
        <v>0.91666666666666674</v>
      </c>
      <c r="K11" s="627">
        <f>IF(K10="","",IF(K15=0,K14+"0:30",+K15+"0:30"))</f>
        <v>0.91666666666666674</v>
      </c>
      <c r="L11" s="627">
        <f>IF(L10="","",IF(L15=0,L14+"0:30",+L15+"0:30"))</f>
        <v>0.77083333333333337</v>
      </c>
      <c r="M11" s="627"/>
      <c r="N11" s="627" t="str">
        <f>IF(N10="","",IF(N15=0,N14+"0:30",+N15+"0:30"))</f>
        <v/>
      </c>
      <c r="O11" s="627" t="str">
        <f>IF(O10="","",IF(O15=0,O14+"0:30",+O15+"0:30"))</f>
        <v/>
      </c>
      <c r="P11" s="627" t="str">
        <f>IF(P10="","",IF(P15=0,P14+"0:30",+P15+"0:30"))</f>
        <v/>
      </c>
      <c r="Q11" s="627">
        <f>IF(Q10="","",IF(Q15=0,Q14+"0:30",+Q15+"0:30"))</f>
        <v>0.875</v>
      </c>
      <c r="R11" s="627">
        <f>IF(R10="","",IF(R15=0,R14+"0:30",+R15+"0:30"))</f>
        <v>0.77083333333333337</v>
      </c>
      <c r="S11" s="627" t="str">
        <f>IF(S10="","",IF(S15=0,S14+"0:30",+S15+"0:30"))</f>
        <v/>
      </c>
      <c r="T11" s="627" t="str">
        <f>IF(T10="","",IF(T15=0,T14+"0:30",+T15+"0:30"))</f>
        <v/>
      </c>
      <c r="U11" s="627" t="str">
        <f>IF(U10="","",IF(U15=0,U14+"0:30",+U15+"0:30"))</f>
        <v/>
      </c>
      <c r="V11" s="627" t="str">
        <f>IF(V10="","",IF(V15=0,V14+"0:30",+V15+"0:30"))</f>
        <v/>
      </c>
      <c r="W11" s="627" t="str">
        <f>IF(W10="","",IF(W15=0,W14+"0:30",+W15+"0:30"))</f>
        <v/>
      </c>
      <c r="X11" s="627">
        <f>IF(X10="","",IF(X15=0,X14+"0:30",+X15+"0:30"))</f>
        <v>0.89583333333333337</v>
      </c>
      <c r="Y11" s="627">
        <f>IF(Y10="","",IF(Y15=0,Y14+"0:30",+Y15+"0:30"))</f>
        <v>0.77083333333333337</v>
      </c>
      <c r="Z11" s="627" t="str">
        <f>IF(Z10="","",IF(Z15=0,Z14+"0:30",+Z15+"0:30"))</f>
        <v/>
      </c>
      <c r="AA11" s="627" t="str">
        <f>IF(AA10="","",IF(AA15=0,AA14+"0:30",+AA15+"0:30"))</f>
        <v/>
      </c>
      <c r="AB11" s="627" t="str">
        <f>IF(AB10="","",IF(AB15=0,AB14+"0:30",+AB15+"0:30"))</f>
        <v/>
      </c>
      <c r="AC11" s="627" t="str">
        <f>IF(AC10="","",IF(AC15=0,AC14+"0:30",+AC15+"0:30"))</f>
        <v/>
      </c>
      <c r="AD11" s="627" t="str">
        <f>IF(AD10="","",IF(AD15=0,AD14+"0:30",+AD15+"0:30"))</f>
        <v/>
      </c>
      <c r="AE11" s="627">
        <f>IF(AE10="","",IF(AE15=0,AE14+"0:30",+AE15+"0:30"))</f>
        <v>0.89583333333333337</v>
      </c>
      <c r="AF11" s="627" t="str">
        <f>IF(AF10="","",IF(AF15=0,AF14+"0:30",+AF15+"0:30"))</f>
        <v/>
      </c>
      <c r="AH11" s="62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256" s="500" customFormat="1" ht="20.100000000000001" customHeight="1" x14ac:dyDescent="0.25">
      <c r="A12" s="521" t="s">
        <v>7</v>
      </c>
      <c r="B12" s="623">
        <f>+IF(B10="","",(B11-B10))</f>
        <v>0.55208333333333337</v>
      </c>
      <c r="C12" s="623">
        <f>+IF(C10="","",(C11-C10))</f>
        <v>0.55208333333333337</v>
      </c>
      <c r="D12" s="623">
        <f>+IF(D10="","",(D11-D10))</f>
        <v>0.41666666666666674</v>
      </c>
      <c r="E12" s="623" t="str">
        <f>+IF(E10="","",(E11-E10))</f>
        <v/>
      </c>
      <c r="F12" s="623" t="str">
        <f>+IF(F10="","",(F11-F10))</f>
        <v/>
      </c>
      <c r="G12" s="623" t="str">
        <f>+IF(G10="","",(G11-G10))</f>
        <v/>
      </c>
      <c r="H12" s="623" t="str">
        <f>+IF(H10="","",(H11-H10))</f>
        <v/>
      </c>
      <c r="I12" s="623" t="str">
        <f>+IF(I10="","",(I11-I10))</f>
        <v/>
      </c>
      <c r="J12" s="623">
        <f>+IF(J10="","",(J11-J10))</f>
        <v>0.53125</v>
      </c>
      <c r="K12" s="623">
        <f>+IF(K10="","",(K11-K10))</f>
        <v>0.53125</v>
      </c>
      <c r="L12" s="623">
        <f>+IF(L10="","",(L11-L10))</f>
        <v>0.35416666666666669</v>
      </c>
      <c r="M12" s="623" t="str">
        <f>+IF(M10="","",(M11-M10))</f>
        <v/>
      </c>
      <c r="N12" s="623" t="str">
        <f>+IF(N10="","",(N11-N10))</f>
        <v/>
      </c>
      <c r="O12" s="623" t="str">
        <f>+IF(O10="","",(O11-O10))</f>
        <v/>
      </c>
      <c r="P12" s="623" t="str">
        <f>+IF(P10="","",(P11-P10))</f>
        <v/>
      </c>
      <c r="Q12" s="623">
        <f>+IF(Q10="","",(Q11-Q10))</f>
        <v>0.45833333333333331</v>
      </c>
      <c r="R12" s="623">
        <f>+IF(R10="","",(R11-R10))</f>
        <v>0.35416666666666669</v>
      </c>
      <c r="S12" s="623" t="str">
        <f>+IF(S10="","",(S11-S10))</f>
        <v/>
      </c>
      <c r="T12" s="623" t="str">
        <f>+IF(T10="","",(T11-T10))</f>
        <v/>
      </c>
      <c r="U12" s="623" t="str">
        <f>+IF(U10="","",(U11-U10))</f>
        <v/>
      </c>
      <c r="V12" s="623"/>
      <c r="W12" s="623"/>
      <c r="X12" s="623">
        <f>+IF(X10="","",(X11-X10))</f>
        <v>0.47916666666666669</v>
      </c>
      <c r="Y12" s="623">
        <f>+IF(Y10="","",(Y11-Y10))</f>
        <v>0.35416666666666669</v>
      </c>
      <c r="Z12" s="623" t="str">
        <f>+IF(Z10="","",(Z11-Z10))</f>
        <v/>
      </c>
      <c r="AA12" s="623" t="str">
        <f>+IF(AA10="","",(AA11-AA10))</f>
        <v/>
      </c>
      <c r="AB12" s="623" t="str">
        <f>+IF(AB10="","",(AB11-AB10))</f>
        <v/>
      </c>
      <c r="AC12" s="623" t="str">
        <f>+IF(AC10="","",(AC11-AC10))</f>
        <v/>
      </c>
      <c r="AD12" s="623" t="str">
        <f>+IF(AD10="","",(AD11-AD10))</f>
        <v/>
      </c>
      <c r="AE12" s="623">
        <f>+IF(AE10="","",(AE11-AE10))</f>
        <v>0.47916666666666669</v>
      </c>
      <c r="AF12" s="623" t="str">
        <f>+IF(AF10="","",(AF11-AF10))</f>
        <v/>
      </c>
      <c r="AG12" s="508"/>
      <c r="AH12" s="624">
        <f>SUM(B12:AF12)</f>
        <v>5.0625000000000009</v>
      </c>
    </row>
    <row r="13" spans="1:256" s="172" customFormat="1" ht="9.9" customHeight="1" x14ac:dyDescent="0.25">
      <c r="A13" s="166"/>
      <c r="B13" s="175"/>
      <c r="C13" s="175"/>
      <c r="D13" s="175"/>
      <c r="E13" s="174"/>
      <c r="F13" s="174"/>
      <c r="G13" s="174"/>
      <c r="H13" s="174"/>
      <c r="I13" s="174"/>
      <c r="J13" s="174"/>
      <c r="K13" s="174"/>
      <c r="L13" s="174"/>
      <c r="M13" s="174"/>
      <c r="N13" s="174"/>
      <c r="O13" s="174"/>
      <c r="P13" s="174"/>
      <c r="Q13" s="174"/>
      <c r="R13" s="174"/>
      <c r="S13" s="174"/>
      <c r="T13" s="174"/>
      <c r="U13" s="174"/>
      <c r="V13" s="175"/>
      <c r="W13" s="175"/>
      <c r="X13" s="174"/>
      <c r="Y13" s="174"/>
      <c r="Z13" s="174"/>
      <c r="AA13" s="174"/>
      <c r="AB13" s="174"/>
      <c r="AC13" s="174"/>
      <c r="AD13" s="174"/>
      <c r="AE13" s="174"/>
      <c r="AF13" s="175"/>
      <c r="AH13" s="174"/>
    </row>
    <row r="14" spans="1:256" s="171" customFormat="1" ht="20.100000000000001" customHeight="1" x14ac:dyDescent="0.25">
      <c r="A14" s="616" t="s">
        <v>8</v>
      </c>
      <c r="B14" s="176">
        <v>0.875</v>
      </c>
      <c r="C14" s="176">
        <v>0.875</v>
      </c>
      <c r="D14" s="176">
        <v>0.77083333333333337</v>
      </c>
      <c r="E14" s="176"/>
      <c r="F14" s="176"/>
      <c r="G14" s="176"/>
      <c r="H14" s="176"/>
      <c r="I14" s="176"/>
      <c r="J14" s="176">
        <v>0.86458333333333337</v>
      </c>
      <c r="K14" s="176">
        <v>0.86458333333333337</v>
      </c>
      <c r="L14" s="176">
        <v>0.75</v>
      </c>
      <c r="M14" s="176"/>
      <c r="N14" s="176"/>
      <c r="O14" s="176"/>
      <c r="P14" s="176"/>
      <c r="Q14" s="176">
        <v>0.85416666666666663</v>
      </c>
      <c r="R14" s="176">
        <v>0.75</v>
      </c>
      <c r="S14" s="176"/>
      <c r="T14" s="176"/>
      <c r="U14" s="176"/>
      <c r="V14" s="176"/>
      <c r="W14" s="176"/>
      <c r="X14" s="176">
        <v>0.875</v>
      </c>
      <c r="Y14" s="176">
        <v>0.75</v>
      </c>
      <c r="Z14" s="176"/>
      <c r="AA14" s="176"/>
      <c r="AB14" s="176"/>
      <c r="AC14" s="176"/>
      <c r="AD14" s="176"/>
      <c r="AE14" s="176">
        <v>0.875</v>
      </c>
      <c r="AF14" s="176"/>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256" s="171" customFormat="1" x14ac:dyDescent="0.25">
      <c r="A15" s="617" t="s">
        <v>9</v>
      </c>
      <c r="B15" s="575">
        <v>0.90625</v>
      </c>
      <c r="C15" s="575">
        <v>0.90625</v>
      </c>
      <c r="D15" s="575"/>
      <c r="E15" s="575"/>
      <c r="F15" s="575"/>
      <c r="G15" s="575"/>
      <c r="H15" s="575"/>
      <c r="I15" s="575"/>
      <c r="J15" s="575">
        <v>0.89583333333333337</v>
      </c>
      <c r="K15" s="575">
        <v>0.89583333333333337</v>
      </c>
      <c r="L15" s="575"/>
      <c r="M15" s="575"/>
      <c r="N15" s="575"/>
      <c r="O15" s="575"/>
      <c r="P15" s="575"/>
      <c r="Q15" s="575"/>
      <c r="R15" s="575"/>
      <c r="S15" s="575"/>
      <c r="T15" s="575"/>
      <c r="U15" s="575"/>
      <c r="V15" s="575"/>
      <c r="W15" s="575"/>
      <c r="X15" s="575"/>
      <c r="Y15" s="575"/>
      <c r="Z15" s="575"/>
      <c r="AA15" s="575"/>
      <c r="AB15" s="575"/>
      <c r="AC15" s="575"/>
      <c r="AD15" s="575"/>
      <c r="AE15" s="575"/>
      <c r="AF15" s="575"/>
      <c r="AH15" s="555"/>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256" s="171" customFormat="1" outlineLevel="1" x14ac:dyDescent="0.25">
      <c r="A16" s="519" t="s">
        <v>19</v>
      </c>
      <c r="B16" s="178"/>
      <c r="C16" s="178"/>
      <c r="D16" s="178"/>
      <c r="E16" s="178"/>
      <c r="F16" s="178"/>
      <c r="G16" s="178"/>
      <c r="H16" s="178"/>
      <c r="I16" s="178"/>
      <c r="J16" s="575"/>
      <c r="K16" s="575"/>
      <c r="L16" s="178"/>
      <c r="M16" s="178"/>
      <c r="N16" s="178"/>
      <c r="O16" s="178"/>
      <c r="P16" s="178"/>
      <c r="Q16" s="178"/>
      <c r="R16" s="575"/>
      <c r="S16" s="178"/>
      <c r="T16" s="178"/>
      <c r="U16" s="178"/>
      <c r="V16" s="178"/>
      <c r="W16" s="178"/>
      <c r="X16" s="695">
        <v>0.90625</v>
      </c>
      <c r="Y16" s="575"/>
      <c r="Z16" s="178"/>
      <c r="AA16" s="178"/>
      <c r="AB16" s="178"/>
      <c r="AC16" s="178"/>
      <c r="AD16" s="178"/>
      <c r="AE16" s="695">
        <v>0.90625</v>
      </c>
      <c r="AF16" s="178"/>
      <c r="AH16" s="167"/>
      <c r="BL16" s="172"/>
      <c r="BM16" s="172"/>
      <c r="BN16" s="172"/>
      <c r="BO16" s="172"/>
      <c r="BP16" s="172"/>
      <c r="BQ16" s="172"/>
      <c r="BR16" s="172"/>
      <c r="BS16" s="172"/>
      <c r="BT16" s="172"/>
      <c r="BU16" s="172"/>
      <c r="BV16" s="172"/>
      <c r="BW16" s="172"/>
      <c r="BX16" s="172"/>
      <c r="BY16" s="172"/>
      <c r="BZ16" s="172"/>
      <c r="CA16" s="172"/>
      <c r="CB16" s="172"/>
      <c r="CC16" s="172"/>
      <c r="CD16" s="172"/>
      <c r="CE16" s="172"/>
      <c r="CF16" s="172"/>
      <c r="CG16" s="172"/>
      <c r="CH16" s="172"/>
      <c r="CI16" s="172"/>
      <c r="CJ16" s="172"/>
      <c r="CK16" s="172"/>
      <c r="CL16" s="172"/>
      <c r="CM16" s="172"/>
      <c r="CN16" s="172"/>
      <c r="CO16" s="172"/>
      <c r="CP16" s="172"/>
      <c r="CQ16" s="172"/>
      <c r="CR16" s="172"/>
      <c r="CS16" s="172"/>
      <c r="CT16" s="172"/>
      <c r="CU16" s="172"/>
      <c r="CV16" s="172"/>
      <c r="CW16" s="172"/>
      <c r="CX16" s="172"/>
      <c r="CY16" s="172"/>
      <c r="CZ16" s="172"/>
      <c r="DA16" s="172"/>
      <c r="DB16" s="172"/>
      <c r="DC16" s="172"/>
      <c r="DD16" s="172"/>
      <c r="DE16" s="172"/>
      <c r="DF16" s="172"/>
      <c r="DG16" s="172"/>
      <c r="DH16" s="172"/>
      <c r="DI16" s="172"/>
      <c r="DJ16" s="172"/>
      <c r="DK16" s="172"/>
      <c r="DL16" s="172"/>
      <c r="DM16" s="172"/>
      <c r="DN16" s="172"/>
      <c r="DO16" s="172"/>
      <c r="DP16" s="172"/>
      <c r="DQ16" s="172"/>
      <c r="DR16" s="172"/>
      <c r="DS16" s="172"/>
      <c r="DT16" s="172"/>
      <c r="DU16" s="172"/>
      <c r="DV16" s="172"/>
      <c r="DW16" s="172"/>
      <c r="DX16" s="172"/>
      <c r="DY16" s="172"/>
      <c r="DZ16" s="172"/>
      <c r="EA16" s="172"/>
      <c r="EB16" s="172"/>
      <c r="EC16" s="172"/>
      <c r="ED16" s="172"/>
      <c r="EE16" s="172"/>
    </row>
    <row r="17" spans="1:135" s="180" customFormat="1" ht="16.2" outlineLevel="1" x14ac:dyDescent="0.4">
      <c r="A17" s="519" t="s">
        <v>10</v>
      </c>
      <c r="B17" s="179">
        <f>COUNTIF(B14,"&gt;0")</f>
        <v>1</v>
      </c>
      <c r="C17" s="179">
        <f>COUNTIF(C14,"&gt;0")</f>
        <v>1</v>
      </c>
      <c r="D17" s="179">
        <f>COUNTIF(D14,"&gt;0")</f>
        <v>1</v>
      </c>
      <c r="E17" s="179">
        <f>COUNTIF(E14,"&gt;0")</f>
        <v>0</v>
      </c>
      <c r="F17" s="179">
        <f>COUNTIF(F14,"&gt;0")</f>
        <v>0</v>
      </c>
      <c r="G17" s="179">
        <f>COUNTIF(G14,"&gt;0")</f>
        <v>0</v>
      </c>
      <c r="H17" s="179">
        <f>COUNTIF(H14,"&gt;0")</f>
        <v>0</v>
      </c>
      <c r="I17" s="179">
        <f>COUNTIF(I14,"&gt;0")</f>
        <v>0</v>
      </c>
      <c r="J17" s="179">
        <f>COUNTIF(J14,"&gt;0")</f>
        <v>1</v>
      </c>
      <c r="K17" s="179">
        <f>COUNTIF(K14,"&gt;0")</f>
        <v>1</v>
      </c>
      <c r="L17" s="179">
        <f>COUNTIF(L14,"&gt;0")</f>
        <v>1</v>
      </c>
      <c r="M17" s="179">
        <f>COUNTIF(M14,"&gt;0")</f>
        <v>0</v>
      </c>
      <c r="N17" s="179">
        <f>COUNTIF(N14,"&gt;0")</f>
        <v>0</v>
      </c>
      <c r="O17" s="179">
        <f>COUNTIF(O14,"&gt;0")</f>
        <v>0</v>
      </c>
      <c r="P17" s="179">
        <f>COUNTIF(P14,"&gt;0")</f>
        <v>0</v>
      </c>
      <c r="Q17" s="179">
        <f>COUNTIF(Q14,"&gt;0")</f>
        <v>1</v>
      </c>
      <c r="R17" s="179">
        <f>COUNTIF(R14,"&gt;0")</f>
        <v>1</v>
      </c>
      <c r="S17" s="179">
        <f>COUNTIF(S14,"&gt;0")</f>
        <v>0</v>
      </c>
      <c r="T17" s="179">
        <f>COUNTIF(T14,"&gt;0")</f>
        <v>0</v>
      </c>
      <c r="U17" s="179">
        <f>COUNTIF(U14,"&gt;0")</f>
        <v>0</v>
      </c>
      <c r="V17" s="179">
        <f>COUNTIF(V14,"&gt;0")</f>
        <v>0</v>
      </c>
      <c r="W17" s="179">
        <f>COUNTIF(W14,"&gt;0")</f>
        <v>0</v>
      </c>
      <c r="X17" s="179">
        <f>COUNTIF(X14,"&gt;0")</f>
        <v>1</v>
      </c>
      <c r="Y17" s="179">
        <f>COUNTIF(Y14,"&gt;0")</f>
        <v>1</v>
      </c>
      <c r="Z17" s="179">
        <f>COUNTIF(Z14,"&gt;0")</f>
        <v>0</v>
      </c>
      <c r="AA17" s="179">
        <f>COUNTIF(AA14,"&gt;0")</f>
        <v>0</v>
      </c>
      <c r="AB17" s="179">
        <f>COUNTIF(AB14,"&gt;0")</f>
        <v>0</v>
      </c>
      <c r="AC17" s="179">
        <f>COUNTIF(AC14,"&gt;0")</f>
        <v>0</v>
      </c>
      <c r="AD17" s="179">
        <f>COUNTIF(AD14,"&gt;0")</f>
        <v>0</v>
      </c>
      <c r="AE17" s="179">
        <f>COUNTIF(AE14,"&gt;0")</f>
        <v>1</v>
      </c>
      <c r="AF17" s="179">
        <f>COUNTIF(AF14,"&gt;0")</f>
        <v>0</v>
      </c>
      <c r="AG17" s="171"/>
      <c r="AH17" s="163"/>
    </row>
    <row r="18" spans="1:135" s="180" customFormat="1" ht="16.2" outlineLevel="1" x14ac:dyDescent="0.4">
      <c r="A18" s="519" t="s">
        <v>11</v>
      </c>
      <c r="B18" s="179">
        <f>COUNTIF(B15,"&gt;0")</f>
        <v>1</v>
      </c>
      <c r="C18" s="179">
        <f>COUNTIF(C15,"&gt;0")</f>
        <v>1</v>
      </c>
      <c r="D18" s="179">
        <f>COUNTIF(D15,"&gt;0")</f>
        <v>0</v>
      </c>
      <c r="E18" s="179">
        <f>COUNTIF(E15,"&gt;0")</f>
        <v>0</v>
      </c>
      <c r="F18" s="179">
        <f>COUNTIF(F15,"&gt;0")</f>
        <v>0</v>
      </c>
      <c r="G18" s="179">
        <f>COUNTIF(G15,"&gt;0")</f>
        <v>0</v>
      </c>
      <c r="H18" s="179">
        <f>COUNTIF(H15,"&gt;0")</f>
        <v>0</v>
      </c>
      <c r="I18" s="179">
        <f>COUNTIF(I15,"&gt;0")</f>
        <v>0</v>
      </c>
      <c r="J18" s="179">
        <f>COUNTIF(J15,"&gt;0")</f>
        <v>1</v>
      </c>
      <c r="K18" s="179">
        <f>COUNTIF(K15,"&gt;0")</f>
        <v>1</v>
      </c>
      <c r="L18" s="179">
        <f>COUNTIF(L15,"&gt;0")</f>
        <v>0</v>
      </c>
      <c r="M18" s="179">
        <f>COUNTIF(M15,"&gt;0")</f>
        <v>0</v>
      </c>
      <c r="N18" s="179">
        <f>COUNTIF(N15,"&gt;0")</f>
        <v>0</v>
      </c>
      <c r="O18" s="179">
        <f>COUNTIF(O15,"&gt;0")</f>
        <v>0</v>
      </c>
      <c r="P18" s="179">
        <f>COUNTIF(P15,"&gt;0")</f>
        <v>0</v>
      </c>
      <c r="Q18" s="179">
        <f>COUNTIF(Q15,"&gt;0")</f>
        <v>0</v>
      </c>
      <c r="R18" s="179">
        <f>COUNTIF(R15,"&gt;0")</f>
        <v>0</v>
      </c>
      <c r="S18" s="179">
        <f>COUNTIF(S15,"&gt;0")</f>
        <v>0</v>
      </c>
      <c r="T18" s="179">
        <f>COUNTIF(T15,"&gt;0")</f>
        <v>0</v>
      </c>
      <c r="U18" s="179">
        <f>COUNTIF(U15,"&gt;0")</f>
        <v>0</v>
      </c>
      <c r="V18" s="179">
        <f>COUNTIF(V15,"&gt;0")</f>
        <v>0</v>
      </c>
      <c r="W18" s="179">
        <f>COUNTIF(W15,"&gt;0")</f>
        <v>0</v>
      </c>
      <c r="X18" s="179">
        <f>COUNTIF(X15,"&gt;0")</f>
        <v>0</v>
      </c>
      <c r="Y18" s="179">
        <f>COUNTIF(Y15,"&gt;0")</f>
        <v>0</v>
      </c>
      <c r="Z18" s="179">
        <f>COUNTIF(Z15,"&gt;0")</f>
        <v>0</v>
      </c>
      <c r="AA18" s="179">
        <f>COUNTIF(AA15,"&gt;0")</f>
        <v>0</v>
      </c>
      <c r="AB18" s="179">
        <f>COUNTIF(AB15,"&gt;0")</f>
        <v>0</v>
      </c>
      <c r="AC18" s="179">
        <f>COUNTIF(AC15,"&gt;0")</f>
        <v>0</v>
      </c>
      <c r="AD18" s="179">
        <f>COUNTIF(AD15,"&gt;0")</f>
        <v>0</v>
      </c>
      <c r="AE18" s="179">
        <f>COUNTIF(AE15,"&gt;0")</f>
        <v>0</v>
      </c>
      <c r="AF18" s="179">
        <f>COUNTIF(AF15,"&gt;0")</f>
        <v>0</v>
      </c>
      <c r="AG18" s="171"/>
      <c r="AH18" s="163"/>
    </row>
    <row r="19" spans="1:135" s="180" customFormat="1" outlineLevel="1" thickBot="1" x14ac:dyDescent="0.45">
      <c r="A19" s="519" t="s">
        <v>20</v>
      </c>
      <c r="B19" s="179">
        <f>COUNTIF(B16,"&gt;0")</f>
        <v>0</v>
      </c>
      <c r="C19" s="179">
        <f>COUNTIF(C16,"&gt;0")</f>
        <v>0</v>
      </c>
      <c r="D19" s="179">
        <f>COUNTIF(D16,"&gt;0")</f>
        <v>0</v>
      </c>
      <c r="E19" s="179">
        <f>COUNTIF(E16,"&gt;0")</f>
        <v>0</v>
      </c>
      <c r="F19" s="179">
        <f>COUNTIF(F16,"&gt;0")</f>
        <v>0</v>
      </c>
      <c r="G19" s="179">
        <f>COUNTIF(G16,"&gt;0")</f>
        <v>0</v>
      </c>
      <c r="H19" s="179">
        <f>COUNTIF(H16,"&gt;0")</f>
        <v>0</v>
      </c>
      <c r="I19" s="179">
        <f>COUNTIF(I16,"&gt;0")</f>
        <v>0</v>
      </c>
      <c r="J19" s="179">
        <f>COUNTIF(J16,"&gt;0")</f>
        <v>0</v>
      </c>
      <c r="K19" s="179">
        <f>COUNTIF(K16,"&gt;0")</f>
        <v>0</v>
      </c>
      <c r="L19" s="179">
        <f>COUNTIF(L16,"&gt;0")</f>
        <v>0</v>
      </c>
      <c r="M19" s="179">
        <f>COUNTIF(M16,"&gt;0")</f>
        <v>0</v>
      </c>
      <c r="N19" s="179">
        <f>COUNTIF(N16,"&gt;0")</f>
        <v>0</v>
      </c>
      <c r="O19" s="179">
        <f>COUNTIF(O16,"&gt;0")</f>
        <v>0</v>
      </c>
      <c r="P19" s="179">
        <f>COUNTIF(P16,"&gt;0")</f>
        <v>0</v>
      </c>
      <c r="Q19" s="179">
        <f>COUNTIF(Q16,"&gt;0")</f>
        <v>0</v>
      </c>
      <c r="R19" s="179">
        <f>COUNTIF(R16,"&gt;0")</f>
        <v>0</v>
      </c>
      <c r="S19" s="179">
        <f>COUNTIF(S16,"&gt;0")</f>
        <v>0</v>
      </c>
      <c r="T19" s="179">
        <f>COUNTIF(T16,"&gt;0")</f>
        <v>0</v>
      </c>
      <c r="U19" s="179">
        <f>COUNTIF(U16,"&gt;0")</f>
        <v>0</v>
      </c>
      <c r="V19" s="179">
        <f>COUNTIF(V16,"&gt;0")</f>
        <v>0</v>
      </c>
      <c r="W19" s="179">
        <f>COUNTIF(W16,"&gt;0")</f>
        <v>0</v>
      </c>
      <c r="X19" s="179">
        <f>COUNTIF(X16,"&gt;0")</f>
        <v>1</v>
      </c>
      <c r="Y19" s="179">
        <f>COUNTIF(Y16,"&gt;0")</f>
        <v>0</v>
      </c>
      <c r="Z19" s="179">
        <f>COUNTIF(Z16,"&gt;0")</f>
        <v>0</v>
      </c>
      <c r="AA19" s="179">
        <f>COUNTIF(AA16,"&gt;0")</f>
        <v>0</v>
      </c>
      <c r="AB19" s="179">
        <f>COUNTIF(AB16,"&gt;0")</f>
        <v>0</v>
      </c>
      <c r="AC19" s="179">
        <f>COUNTIF(AC16,"&gt;0")</f>
        <v>0</v>
      </c>
      <c r="AD19" s="179">
        <f>COUNTIF(AD16,"&gt;0")</f>
        <v>0</v>
      </c>
      <c r="AE19" s="179">
        <f>COUNTIF(AE16,"&gt;0")</f>
        <v>1</v>
      </c>
      <c r="AF19" s="179">
        <f>COUNTIF(AF16,"&gt;0")</f>
        <v>0</v>
      </c>
      <c r="AG19" s="171"/>
      <c r="AH19" s="163"/>
    </row>
    <row r="20" spans="1:135" s="171" customFormat="1" ht="17.399999999999999" thickBot="1" x14ac:dyDescent="0.3">
      <c r="A20" s="616" t="s">
        <v>12</v>
      </c>
      <c r="B20" s="618">
        <f>IF(B14="","",SUM(B17:B19))</f>
        <v>2</v>
      </c>
      <c r="C20" s="618">
        <f>IF(C14="","",SUM(C17:C19))</f>
        <v>2</v>
      </c>
      <c r="D20" s="618">
        <f>IF(D14="","",SUM(D17:D19))</f>
        <v>1</v>
      </c>
      <c r="E20" s="618" t="str">
        <f>IF(E14="","",SUM(E17:E19))</f>
        <v/>
      </c>
      <c r="F20" s="618" t="str">
        <f>IF(F14="","",SUM(F17:F19))</f>
        <v/>
      </c>
      <c r="G20" s="618" t="str">
        <f>IF(G14="","",SUM(G17:G19))</f>
        <v/>
      </c>
      <c r="H20" s="618" t="str">
        <f>IF(H14="","",SUM(H17:H19))</f>
        <v/>
      </c>
      <c r="I20" s="618" t="str">
        <f>IF(I14="","",SUM(I17:I19))</f>
        <v/>
      </c>
      <c r="J20" s="618">
        <f>IF(J14="","",SUM(J17:J19))</f>
        <v>2</v>
      </c>
      <c r="K20" s="618">
        <f>IF(K14="","",SUM(K17:K19))</f>
        <v>2</v>
      </c>
      <c r="L20" s="618">
        <f>IF(L14="","",SUM(L17:L19))</f>
        <v>1</v>
      </c>
      <c r="M20" s="618" t="str">
        <f>IF(M14="","",SUM(M17:M19))</f>
        <v/>
      </c>
      <c r="N20" s="618" t="str">
        <f>IF(N14="","",SUM(N17:N19))</f>
        <v/>
      </c>
      <c r="O20" s="618" t="str">
        <f>IF(O14="","",SUM(O17:O19))</f>
        <v/>
      </c>
      <c r="P20" s="618" t="str">
        <f>IF(P14="","",SUM(P17:P19))</f>
        <v/>
      </c>
      <c r="Q20" s="618">
        <f>IF(Q14="","",SUM(Q17:Q19))</f>
        <v>1</v>
      </c>
      <c r="R20" s="618">
        <f>IF(R14="","",SUM(R17:R19))</f>
        <v>1</v>
      </c>
      <c r="S20" s="618" t="str">
        <f>IF(S14="","",SUM(S17:S19))</f>
        <v/>
      </c>
      <c r="T20" s="618" t="str">
        <f>IF(T14="","",SUM(T17:T19))</f>
        <v/>
      </c>
      <c r="U20" s="618" t="str">
        <f>IF(U14="","",SUM(U17:U19))</f>
        <v/>
      </c>
      <c r="V20" s="618" t="str">
        <f>IF(V14="","",SUM(V17:V19))</f>
        <v/>
      </c>
      <c r="W20" s="618" t="str">
        <f>IF(W14="","",SUM(W17:W19))</f>
        <v/>
      </c>
      <c r="X20" s="618">
        <f>IF(X14="","",SUM(X17:X19))</f>
        <v>2</v>
      </c>
      <c r="Y20" s="618">
        <f>IF(Y14="","",SUM(Y17:Y19))</f>
        <v>1</v>
      </c>
      <c r="Z20" s="618" t="str">
        <f>IF(Z14="","",SUM(Z17:Z19))</f>
        <v/>
      </c>
      <c r="AA20" s="618" t="str">
        <f>IF(AA14="","",SUM(AA17:AA19))</f>
        <v/>
      </c>
      <c r="AB20" s="618" t="str">
        <f>IF(AB14="","",SUM(AB17:AB19))</f>
        <v/>
      </c>
      <c r="AC20" s="618" t="str">
        <f>IF(AC14="","",SUM(AC17:AC19))</f>
        <v/>
      </c>
      <c r="AD20" s="618" t="str">
        <f>IF(AD14="","",SUM(AD17:AD19))</f>
        <v/>
      </c>
      <c r="AE20" s="618">
        <f>IF(AE14="","",SUM(AE17:AE19))</f>
        <v>2</v>
      </c>
      <c r="AF20" s="618">
        <f>SUM(AF17:AF19)</f>
        <v>0</v>
      </c>
      <c r="AH20" s="619">
        <f>SUM(B20:AF20)</f>
        <v>17</v>
      </c>
      <c r="BL20" s="172"/>
      <c r="BM20" s="172"/>
      <c r="BN20" s="172"/>
      <c r="BO20" s="172"/>
      <c r="BP20" s="172"/>
      <c r="BQ20" s="172"/>
      <c r="BR20" s="172"/>
      <c r="BS20" s="172"/>
      <c r="BT20" s="172"/>
      <c r="BU20" s="172"/>
      <c r="BV20" s="172"/>
      <c r="BW20" s="172"/>
      <c r="BX20" s="172"/>
      <c r="BY20" s="172"/>
      <c r="BZ20" s="172"/>
      <c r="CA20" s="172"/>
      <c r="CB20" s="172"/>
      <c r="CC20" s="172"/>
      <c r="CD20" s="172"/>
      <c r="CE20" s="172"/>
      <c r="CF20" s="172"/>
      <c r="CG20" s="172"/>
      <c r="CH20" s="172"/>
      <c r="CI20" s="172"/>
      <c r="CJ20" s="172"/>
      <c r="CK20" s="172"/>
      <c r="CL20" s="172"/>
      <c r="CM20" s="172"/>
      <c r="CN20" s="172"/>
      <c r="CO20" s="172"/>
      <c r="CP20" s="172"/>
      <c r="CQ20" s="172"/>
      <c r="CR20" s="172"/>
      <c r="CS20" s="172"/>
      <c r="CT20" s="172"/>
      <c r="CU20" s="172"/>
      <c r="CV20" s="172"/>
      <c r="CW20" s="172"/>
      <c r="CX20" s="172"/>
      <c r="CY20" s="172"/>
      <c r="CZ20" s="172"/>
      <c r="DA20" s="172"/>
      <c r="DB20" s="172"/>
      <c r="DC20" s="172"/>
      <c r="DD20" s="172"/>
      <c r="DE20" s="172"/>
      <c r="DF20" s="172"/>
      <c r="DG20" s="172"/>
      <c r="DH20" s="172"/>
      <c r="DI20" s="172"/>
      <c r="DJ20" s="172"/>
      <c r="DK20" s="172"/>
      <c r="DL20" s="172"/>
      <c r="DM20" s="172"/>
      <c r="DN20" s="172"/>
      <c r="DO20" s="172"/>
      <c r="DP20" s="172"/>
      <c r="DQ20" s="172"/>
      <c r="DR20" s="172"/>
      <c r="DS20" s="172"/>
      <c r="DT20" s="172"/>
      <c r="DU20" s="172"/>
      <c r="DV20" s="172"/>
      <c r="DW20" s="172"/>
      <c r="DX20" s="172"/>
      <c r="DY20" s="172"/>
      <c r="DZ20" s="172"/>
      <c r="EA20" s="172"/>
      <c r="EB20" s="172"/>
      <c r="EC20" s="172"/>
      <c r="ED20" s="172"/>
      <c r="EE20" s="172"/>
    </row>
    <row r="21" spans="1:135" s="3" customFormat="1" ht="9.9" customHeight="1" x14ac:dyDescent="0.25">
      <c r="A21" s="28"/>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
      <c r="AH21" s="34"/>
    </row>
    <row r="22" spans="1:135" s="1" customFormat="1" ht="33.9" customHeight="1" x14ac:dyDescent="0.25">
      <c r="A22" s="588" t="s">
        <v>21</v>
      </c>
      <c r="B22" s="601">
        <v>4000</v>
      </c>
      <c r="C22" s="601">
        <v>3000</v>
      </c>
      <c r="D22" s="601">
        <v>1000</v>
      </c>
      <c r="E22" s="601">
        <v>0</v>
      </c>
      <c r="F22" s="601">
        <v>0</v>
      </c>
      <c r="G22" s="601">
        <v>0</v>
      </c>
      <c r="H22" s="601">
        <v>0</v>
      </c>
      <c r="I22" s="601">
        <v>0</v>
      </c>
      <c r="J22" s="601">
        <v>2500</v>
      </c>
      <c r="K22" s="601">
        <v>3200</v>
      </c>
      <c r="L22" s="601">
        <v>1000</v>
      </c>
      <c r="M22" s="601">
        <v>0</v>
      </c>
      <c r="N22" s="601">
        <v>0</v>
      </c>
      <c r="O22" s="601">
        <v>0</v>
      </c>
      <c r="P22" s="601">
        <v>0</v>
      </c>
      <c r="Q22" s="601">
        <v>1200</v>
      </c>
      <c r="R22" s="601">
        <v>700</v>
      </c>
      <c r="S22" s="601">
        <v>0</v>
      </c>
      <c r="T22" s="601">
        <v>0</v>
      </c>
      <c r="U22" s="601">
        <v>0</v>
      </c>
      <c r="V22" s="601">
        <v>0</v>
      </c>
      <c r="W22" s="601">
        <v>0</v>
      </c>
      <c r="X22" s="601">
        <v>1100</v>
      </c>
      <c r="Y22" s="601">
        <v>600</v>
      </c>
      <c r="Z22" s="601">
        <v>0</v>
      </c>
      <c r="AA22" s="601">
        <v>0</v>
      </c>
      <c r="AB22" s="601">
        <v>0</v>
      </c>
      <c r="AC22" s="601">
        <v>0</v>
      </c>
      <c r="AD22" s="601">
        <v>0</v>
      </c>
      <c r="AE22" s="601">
        <v>1000</v>
      </c>
      <c r="AF22" s="601"/>
      <c r="AG22" s="522"/>
      <c r="AH22" s="594">
        <f>SUM(B22:AG22)</f>
        <v>19300</v>
      </c>
    </row>
    <row r="23" spans="1:135" s="1" customFormat="1" ht="33" customHeight="1" x14ac:dyDescent="0.25">
      <c r="A23" s="590" t="s">
        <v>22</v>
      </c>
      <c r="B23" s="602">
        <v>10100</v>
      </c>
      <c r="C23" s="602">
        <v>7800</v>
      </c>
      <c r="D23" s="602">
        <v>2600</v>
      </c>
      <c r="E23" s="602">
        <v>0</v>
      </c>
      <c r="F23" s="602">
        <v>0</v>
      </c>
      <c r="G23" s="602">
        <v>0</v>
      </c>
      <c r="H23" s="602">
        <v>0</v>
      </c>
      <c r="I23" s="602">
        <v>0</v>
      </c>
      <c r="J23" s="602">
        <v>5300</v>
      </c>
      <c r="K23" s="602">
        <v>7300</v>
      </c>
      <c r="L23" s="602">
        <v>2500</v>
      </c>
      <c r="M23" s="602">
        <v>0</v>
      </c>
      <c r="N23" s="602">
        <v>0</v>
      </c>
      <c r="O23" s="602">
        <v>0</v>
      </c>
      <c r="P23" s="602">
        <v>0</v>
      </c>
      <c r="Q23" s="602">
        <v>2600</v>
      </c>
      <c r="R23" s="602">
        <v>1700</v>
      </c>
      <c r="S23" s="602">
        <v>0</v>
      </c>
      <c r="T23" s="602">
        <v>0</v>
      </c>
      <c r="U23" s="602">
        <v>0</v>
      </c>
      <c r="V23" s="602">
        <v>0</v>
      </c>
      <c r="W23" s="602">
        <v>0</v>
      </c>
      <c r="X23" s="602">
        <v>2500</v>
      </c>
      <c r="Y23" s="602">
        <v>1600</v>
      </c>
      <c r="Z23" s="602">
        <v>0</v>
      </c>
      <c r="AA23" s="602">
        <v>0</v>
      </c>
      <c r="AB23" s="602">
        <v>0</v>
      </c>
      <c r="AC23" s="602">
        <v>0</v>
      </c>
      <c r="AD23" s="602">
        <v>0</v>
      </c>
      <c r="AE23" s="602">
        <v>1600</v>
      </c>
      <c r="AF23" s="602"/>
      <c r="AG23" s="522"/>
      <c r="AH23" s="595">
        <f>SUM(B23:AG23)</f>
        <v>45600</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603">
        <v>14100</v>
      </c>
      <c r="C24" s="603">
        <v>10800</v>
      </c>
      <c r="D24" s="603">
        <v>3600</v>
      </c>
      <c r="E24" s="603">
        <v>0</v>
      </c>
      <c r="F24" s="603">
        <v>0</v>
      </c>
      <c r="G24" s="603">
        <v>0</v>
      </c>
      <c r="H24" s="603">
        <v>0</v>
      </c>
      <c r="I24" s="603">
        <v>0</v>
      </c>
      <c r="J24" s="603">
        <v>7800</v>
      </c>
      <c r="K24" s="603">
        <v>10500</v>
      </c>
      <c r="L24" s="603">
        <v>3500</v>
      </c>
      <c r="M24" s="603">
        <v>0</v>
      </c>
      <c r="N24" s="603">
        <v>0</v>
      </c>
      <c r="O24" s="603">
        <v>0</v>
      </c>
      <c r="P24" s="603">
        <v>0</v>
      </c>
      <c r="Q24" s="603">
        <v>3800</v>
      </c>
      <c r="R24" s="603">
        <v>2400</v>
      </c>
      <c r="S24" s="603">
        <v>0</v>
      </c>
      <c r="T24" s="603">
        <v>0</v>
      </c>
      <c r="U24" s="603">
        <v>0</v>
      </c>
      <c r="V24" s="603">
        <v>0</v>
      </c>
      <c r="W24" s="603">
        <v>0</v>
      </c>
      <c r="X24" s="603">
        <v>3600</v>
      </c>
      <c r="Y24" s="603">
        <v>2200</v>
      </c>
      <c r="Z24" s="603">
        <v>0</v>
      </c>
      <c r="AA24" s="603">
        <v>0</v>
      </c>
      <c r="AB24" s="603">
        <v>0</v>
      </c>
      <c r="AC24" s="603">
        <v>0</v>
      </c>
      <c r="AD24" s="603">
        <v>0</v>
      </c>
      <c r="AE24" s="603">
        <v>2600</v>
      </c>
      <c r="AF24" s="603"/>
      <c r="AG24" s="513"/>
      <c r="AH24" s="596">
        <f>SUM(B24:AG24)</f>
        <v>64900</v>
      </c>
    </row>
    <row r="25" spans="1:135" s="1" customFormat="1" ht="33.9" customHeight="1" x14ac:dyDescent="0.25">
      <c r="A25" s="588" t="s">
        <v>43</v>
      </c>
      <c r="B25" s="601">
        <v>120</v>
      </c>
      <c r="C25" s="601">
        <v>450</v>
      </c>
      <c r="D25" s="601">
        <v>340</v>
      </c>
      <c r="E25" s="601">
        <v>0</v>
      </c>
      <c r="F25" s="601">
        <v>0</v>
      </c>
      <c r="G25" s="601">
        <v>0</v>
      </c>
      <c r="H25" s="601">
        <v>0</v>
      </c>
      <c r="I25" s="601">
        <v>0</v>
      </c>
      <c r="J25" s="601">
        <v>730</v>
      </c>
      <c r="K25" s="601">
        <v>650</v>
      </c>
      <c r="L25" s="601">
        <v>80</v>
      </c>
      <c r="M25" s="601">
        <v>0</v>
      </c>
      <c r="N25" s="601">
        <v>0</v>
      </c>
      <c r="O25" s="601">
        <v>0</v>
      </c>
      <c r="P25" s="601">
        <v>0</v>
      </c>
      <c r="Q25" s="601">
        <v>2400</v>
      </c>
      <c r="R25" s="601">
        <v>1700</v>
      </c>
      <c r="S25" s="601">
        <v>0</v>
      </c>
      <c r="T25" s="601">
        <v>0</v>
      </c>
      <c r="U25" s="601">
        <v>0</v>
      </c>
      <c r="V25" s="601">
        <v>0</v>
      </c>
      <c r="W25" s="601">
        <v>0</v>
      </c>
      <c r="X25" s="601">
        <v>4400</v>
      </c>
      <c r="Y25" s="601">
        <v>4100</v>
      </c>
      <c r="Z25" s="601">
        <v>0</v>
      </c>
      <c r="AA25" s="601">
        <v>0</v>
      </c>
      <c r="AB25" s="601">
        <v>0</v>
      </c>
      <c r="AC25" s="601">
        <v>0</v>
      </c>
      <c r="AD25" s="601">
        <v>0</v>
      </c>
      <c r="AE25" s="601">
        <v>3800</v>
      </c>
      <c r="AF25" s="601"/>
      <c r="AG25" s="522"/>
      <c r="AH25" s="594">
        <f>SUM(B25:AG25)</f>
        <v>18770</v>
      </c>
    </row>
    <row r="26" spans="1:135" s="1" customFormat="1" ht="33" customHeight="1" x14ac:dyDescent="0.25">
      <c r="A26" s="590" t="s">
        <v>44</v>
      </c>
      <c r="B26" s="602">
        <v>0</v>
      </c>
      <c r="C26" s="602">
        <v>0</v>
      </c>
      <c r="D26" s="602">
        <v>0</v>
      </c>
      <c r="E26" s="602">
        <v>0</v>
      </c>
      <c r="F26" s="602">
        <v>0</v>
      </c>
      <c r="G26" s="602">
        <v>0</v>
      </c>
      <c r="H26" s="602">
        <v>0</v>
      </c>
      <c r="I26" s="602">
        <v>0</v>
      </c>
      <c r="J26" s="602">
        <v>30</v>
      </c>
      <c r="K26" s="602">
        <v>210</v>
      </c>
      <c r="L26" s="602">
        <v>0</v>
      </c>
      <c r="M26" s="602">
        <v>0</v>
      </c>
      <c r="N26" s="602">
        <v>0</v>
      </c>
      <c r="O26" s="602">
        <v>0</v>
      </c>
      <c r="P26" s="602">
        <v>0</v>
      </c>
      <c r="Q26" s="602">
        <v>90</v>
      </c>
      <c r="R26" s="602">
        <v>0</v>
      </c>
      <c r="S26" s="602">
        <v>0</v>
      </c>
      <c r="T26" s="602">
        <v>0</v>
      </c>
      <c r="U26" s="602">
        <v>0</v>
      </c>
      <c r="V26" s="602">
        <v>0</v>
      </c>
      <c r="W26" s="602">
        <v>0</v>
      </c>
      <c r="X26" s="602">
        <v>0</v>
      </c>
      <c r="Y26" s="602">
        <v>0</v>
      </c>
      <c r="Z26" s="602">
        <v>0</v>
      </c>
      <c r="AA26" s="602">
        <v>0</v>
      </c>
      <c r="AB26" s="602">
        <v>0</v>
      </c>
      <c r="AC26" s="602">
        <v>0</v>
      </c>
      <c r="AD26" s="602">
        <v>0</v>
      </c>
      <c r="AE26" s="602">
        <v>0</v>
      </c>
      <c r="AF26" s="602"/>
      <c r="AG26" s="522"/>
      <c r="AH26" s="595">
        <f>SUM(B26:AG26)</f>
        <v>330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603">
        <v>120</v>
      </c>
      <c r="C27" s="603">
        <v>450</v>
      </c>
      <c r="D27" s="603">
        <v>340</v>
      </c>
      <c r="E27" s="603">
        <v>0</v>
      </c>
      <c r="F27" s="603">
        <v>0</v>
      </c>
      <c r="G27" s="603">
        <v>0</v>
      </c>
      <c r="H27" s="603">
        <v>0</v>
      </c>
      <c r="I27" s="603">
        <v>0</v>
      </c>
      <c r="J27" s="603">
        <v>760</v>
      </c>
      <c r="K27" s="603">
        <v>860</v>
      </c>
      <c r="L27" s="603">
        <v>80</v>
      </c>
      <c r="M27" s="603">
        <v>0</v>
      </c>
      <c r="N27" s="603">
        <v>0</v>
      </c>
      <c r="O27" s="603">
        <v>0</v>
      </c>
      <c r="P27" s="603">
        <v>0</v>
      </c>
      <c r="Q27" s="603">
        <v>2490</v>
      </c>
      <c r="R27" s="603">
        <v>1700</v>
      </c>
      <c r="S27" s="603">
        <v>0</v>
      </c>
      <c r="T27" s="603">
        <v>0</v>
      </c>
      <c r="U27" s="603">
        <v>0</v>
      </c>
      <c r="V27" s="603">
        <v>0</v>
      </c>
      <c r="W27" s="603">
        <v>0</v>
      </c>
      <c r="X27" s="603">
        <v>4400</v>
      </c>
      <c r="Y27" s="603">
        <v>4100</v>
      </c>
      <c r="Z27" s="603">
        <v>0</v>
      </c>
      <c r="AA27" s="603">
        <v>0</v>
      </c>
      <c r="AB27" s="603">
        <v>0</v>
      </c>
      <c r="AC27" s="603">
        <v>0</v>
      </c>
      <c r="AD27" s="603">
        <v>0</v>
      </c>
      <c r="AE27" s="603">
        <v>3800</v>
      </c>
      <c r="AF27" s="603"/>
      <c r="AG27" s="513"/>
      <c r="AH27" s="596">
        <f>SUM(B27:AG27)</f>
        <v>19100</v>
      </c>
    </row>
    <row r="28" spans="1:135" s="1" customFormat="1" ht="33.9" customHeight="1" x14ac:dyDescent="0.25">
      <c r="A28" s="588" t="s">
        <v>23</v>
      </c>
      <c r="B28" s="601">
        <v>130</v>
      </c>
      <c r="C28" s="601">
        <v>90</v>
      </c>
      <c r="D28" s="601">
        <v>20</v>
      </c>
      <c r="E28" s="601">
        <v>0</v>
      </c>
      <c r="F28" s="601">
        <v>0</v>
      </c>
      <c r="G28" s="601">
        <v>0</v>
      </c>
      <c r="H28" s="601">
        <v>0</v>
      </c>
      <c r="I28" s="601">
        <v>0</v>
      </c>
      <c r="J28" s="601">
        <v>40</v>
      </c>
      <c r="K28" s="601">
        <v>40</v>
      </c>
      <c r="L28" s="601">
        <v>0</v>
      </c>
      <c r="M28" s="601">
        <v>0</v>
      </c>
      <c r="N28" s="601">
        <v>0</v>
      </c>
      <c r="O28" s="601">
        <v>0</v>
      </c>
      <c r="P28" s="601">
        <v>0</v>
      </c>
      <c r="Q28" s="601">
        <v>20</v>
      </c>
      <c r="R28" s="601">
        <v>0</v>
      </c>
      <c r="S28" s="601">
        <v>0</v>
      </c>
      <c r="T28" s="601">
        <v>0</v>
      </c>
      <c r="U28" s="601">
        <v>0</v>
      </c>
      <c r="V28" s="601">
        <v>0</v>
      </c>
      <c r="W28" s="601">
        <v>0</v>
      </c>
      <c r="X28" s="601">
        <v>20</v>
      </c>
      <c r="Y28" s="601">
        <v>0</v>
      </c>
      <c r="Z28" s="601">
        <v>0</v>
      </c>
      <c r="AA28" s="601">
        <v>0</v>
      </c>
      <c r="AB28" s="601">
        <v>0</v>
      </c>
      <c r="AC28" s="601">
        <v>0</v>
      </c>
      <c r="AD28" s="601">
        <v>0</v>
      </c>
      <c r="AE28" s="601">
        <v>20</v>
      </c>
      <c r="AF28" s="601"/>
      <c r="AG28" s="522"/>
      <c r="AH28" s="594">
        <f>SUM(B28:AG28)</f>
        <v>380</v>
      </c>
    </row>
    <row r="29" spans="1:135" s="1" customFormat="1" ht="33" customHeight="1" x14ac:dyDescent="0.25">
      <c r="A29" s="590" t="s">
        <v>26</v>
      </c>
      <c r="B29" s="602">
        <v>320</v>
      </c>
      <c r="C29" s="602">
        <v>230</v>
      </c>
      <c r="D29" s="602">
        <v>60</v>
      </c>
      <c r="E29" s="602">
        <v>0</v>
      </c>
      <c r="F29" s="602">
        <v>0</v>
      </c>
      <c r="G29" s="602">
        <v>0</v>
      </c>
      <c r="H29" s="602">
        <v>0</v>
      </c>
      <c r="I29" s="602">
        <v>0</v>
      </c>
      <c r="J29" s="602">
        <v>50</v>
      </c>
      <c r="K29" s="602">
        <v>100</v>
      </c>
      <c r="L29" s="602">
        <v>60</v>
      </c>
      <c r="M29" s="602">
        <v>0</v>
      </c>
      <c r="N29" s="602">
        <v>0</v>
      </c>
      <c r="O29" s="602">
        <v>0</v>
      </c>
      <c r="P29" s="602">
        <v>0</v>
      </c>
      <c r="Q29" s="602">
        <v>100</v>
      </c>
      <c r="R29" s="602">
        <v>100</v>
      </c>
      <c r="S29" s="602">
        <v>0</v>
      </c>
      <c r="T29" s="602">
        <v>0</v>
      </c>
      <c r="U29" s="602">
        <v>0</v>
      </c>
      <c r="V29" s="602">
        <v>0</v>
      </c>
      <c r="W29" s="602">
        <v>0</v>
      </c>
      <c r="X29" s="602">
        <v>50</v>
      </c>
      <c r="Y29" s="602">
        <v>100</v>
      </c>
      <c r="Z29" s="602">
        <v>0</v>
      </c>
      <c r="AA29" s="602">
        <v>0</v>
      </c>
      <c r="AB29" s="602">
        <v>0</v>
      </c>
      <c r="AC29" s="602">
        <v>0</v>
      </c>
      <c r="AD29" s="602">
        <v>0</v>
      </c>
      <c r="AE29" s="602">
        <v>100</v>
      </c>
      <c r="AF29" s="602"/>
      <c r="AG29" s="522"/>
      <c r="AH29" s="595">
        <f>SUM(B29:AG29)</f>
        <v>1270</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601">
        <v>0</v>
      </c>
      <c r="C30" s="601">
        <v>0</v>
      </c>
      <c r="D30" s="601">
        <v>0</v>
      </c>
      <c r="E30" s="601">
        <v>0</v>
      </c>
      <c r="F30" s="601">
        <v>0</v>
      </c>
      <c r="G30" s="601">
        <v>0</v>
      </c>
      <c r="H30" s="601">
        <v>115</v>
      </c>
      <c r="I30" s="601">
        <v>0</v>
      </c>
      <c r="J30" s="601">
        <v>20</v>
      </c>
      <c r="K30" s="601">
        <v>20</v>
      </c>
      <c r="L30" s="601">
        <v>0</v>
      </c>
      <c r="M30" s="601">
        <v>0</v>
      </c>
      <c r="N30" s="601">
        <v>200</v>
      </c>
      <c r="O30" s="601">
        <v>0</v>
      </c>
      <c r="P30" s="601">
        <v>0</v>
      </c>
      <c r="Q30" s="601">
        <v>30</v>
      </c>
      <c r="R30" s="601">
        <v>0</v>
      </c>
      <c r="S30" s="601">
        <v>0</v>
      </c>
      <c r="T30" s="601">
        <v>445</v>
      </c>
      <c r="U30" s="601">
        <v>0</v>
      </c>
      <c r="V30" s="601">
        <v>10</v>
      </c>
      <c r="W30" s="601">
        <v>0</v>
      </c>
      <c r="X30" s="601">
        <v>15</v>
      </c>
      <c r="Y30" s="601">
        <v>0</v>
      </c>
      <c r="Z30" s="601">
        <v>0</v>
      </c>
      <c r="AA30" s="601">
        <v>0</v>
      </c>
      <c r="AB30" s="601">
        <v>0</v>
      </c>
      <c r="AC30" s="601">
        <v>0</v>
      </c>
      <c r="AD30" s="601">
        <v>0</v>
      </c>
      <c r="AE30" s="601">
        <v>950</v>
      </c>
      <c r="AF30" s="601"/>
      <c r="AG30" s="522"/>
      <c r="AH30" s="594">
        <f>SUM(B30:AG30)</f>
        <v>1805</v>
      </c>
    </row>
    <row r="31" spans="1:135" s="3" customFormat="1" ht="33" customHeight="1" x14ac:dyDescent="0.25">
      <c r="A31" s="590" t="s">
        <v>25</v>
      </c>
      <c r="B31" s="602">
        <v>600</v>
      </c>
      <c r="C31" s="602">
        <v>300</v>
      </c>
      <c r="D31" s="602">
        <v>300</v>
      </c>
      <c r="E31" s="602">
        <v>0</v>
      </c>
      <c r="F31" s="602">
        <v>0</v>
      </c>
      <c r="G31" s="602">
        <v>0</v>
      </c>
      <c r="H31" s="602">
        <v>0</v>
      </c>
      <c r="I31" s="602">
        <v>0</v>
      </c>
      <c r="J31" s="602">
        <v>150</v>
      </c>
      <c r="K31" s="602">
        <v>100</v>
      </c>
      <c r="L31" s="602">
        <v>150</v>
      </c>
      <c r="M31" s="602">
        <v>0</v>
      </c>
      <c r="N31" s="602">
        <v>0</v>
      </c>
      <c r="O31" s="602">
        <v>0</v>
      </c>
      <c r="P31" s="602">
        <v>0</v>
      </c>
      <c r="Q31" s="602">
        <v>250</v>
      </c>
      <c r="R31" s="602">
        <v>150</v>
      </c>
      <c r="S31" s="602">
        <v>0</v>
      </c>
      <c r="T31" s="602">
        <v>0</v>
      </c>
      <c r="U31" s="602">
        <v>0</v>
      </c>
      <c r="V31" s="602">
        <v>0</v>
      </c>
      <c r="W31" s="602">
        <v>0</v>
      </c>
      <c r="X31" s="602">
        <v>300</v>
      </c>
      <c r="Y31" s="602">
        <v>150</v>
      </c>
      <c r="Z31" s="602">
        <v>0</v>
      </c>
      <c r="AA31" s="602">
        <v>0</v>
      </c>
      <c r="AB31" s="602">
        <v>0</v>
      </c>
      <c r="AC31" s="602">
        <v>0</v>
      </c>
      <c r="AD31" s="602">
        <v>0</v>
      </c>
      <c r="AE31" s="602">
        <v>300</v>
      </c>
      <c r="AF31" s="602"/>
      <c r="AG31" s="522"/>
      <c r="AH31" s="595">
        <f>SUM(B31:AG31)</f>
        <v>2750</v>
      </c>
    </row>
    <row r="32" spans="1:135" s="514" customFormat="1" ht="33.9" customHeight="1" x14ac:dyDescent="0.25">
      <c r="A32" s="592" t="s">
        <v>30</v>
      </c>
      <c r="B32" s="603">
        <v>1050</v>
      </c>
      <c r="C32" s="603">
        <v>620</v>
      </c>
      <c r="D32" s="603">
        <v>380</v>
      </c>
      <c r="E32" s="603">
        <v>0</v>
      </c>
      <c r="F32" s="603">
        <v>0</v>
      </c>
      <c r="G32" s="603">
        <v>0</v>
      </c>
      <c r="H32" s="603">
        <v>115</v>
      </c>
      <c r="I32" s="603">
        <v>0</v>
      </c>
      <c r="J32" s="603">
        <v>260</v>
      </c>
      <c r="K32" s="603">
        <v>260</v>
      </c>
      <c r="L32" s="603">
        <v>210</v>
      </c>
      <c r="M32" s="603">
        <v>0</v>
      </c>
      <c r="N32" s="603">
        <v>200</v>
      </c>
      <c r="O32" s="603">
        <v>0</v>
      </c>
      <c r="P32" s="603">
        <v>0</v>
      </c>
      <c r="Q32" s="603">
        <v>400</v>
      </c>
      <c r="R32" s="603">
        <v>250</v>
      </c>
      <c r="S32" s="603">
        <v>0</v>
      </c>
      <c r="T32" s="603">
        <v>445</v>
      </c>
      <c r="U32" s="603">
        <v>0</v>
      </c>
      <c r="V32" s="603">
        <v>10</v>
      </c>
      <c r="W32" s="603">
        <v>0</v>
      </c>
      <c r="X32" s="603">
        <v>385</v>
      </c>
      <c r="Y32" s="603">
        <v>250</v>
      </c>
      <c r="Z32" s="603">
        <v>0</v>
      </c>
      <c r="AA32" s="603">
        <v>0</v>
      </c>
      <c r="AB32" s="603">
        <v>0</v>
      </c>
      <c r="AC32" s="603">
        <v>0</v>
      </c>
      <c r="AD32" s="603">
        <v>0</v>
      </c>
      <c r="AE32" s="603">
        <v>1370</v>
      </c>
      <c r="AF32" s="603"/>
      <c r="AG32" s="513"/>
      <c r="AH32" s="596">
        <f>SUM(B32:AG32)</f>
        <v>6205</v>
      </c>
    </row>
    <row r="33" spans="1:135" s="3" customFormat="1" ht="15"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
      <c r="AH33" s="16"/>
    </row>
    <row r="34" spans="1:135" s="587" customFormat="1" ht="66.75" customHeight="1" x14ac:dyDescent="0.4">
      <c r="A34" s="598" t="s">
        <v>16</v>
      </c>
      <c r="B34" s="599">
        <f>+B32+B27+B24</f>
        <v>15270</v>
      </c>
      <c r="C34" s="599">
        <f>+C32+C27+C24</f>
        <v>11870</v>
      </c>
      <c r="D34" s="599">
        <f>+D32+D27+D24</f>
        <v>4320</v>
      </c>
      <c r="E34" s="599">
        <f>+E32+E27+E24</f>
        <v>0</v>
      </c>
      <c r="F34" s="599">
        <f>+F32+F27+F24</f>
        <v>0</v>
      </c>
      <c r="G34" s="599">
        <f>+G32+G27+G24</f>
        <v>0</v>
      </c>
      <c r="H34" s="599">
        <f>+H32+H27+H24</f>
        <v>115</v>
      </c>
      <c r="I34" s="599">
        <f>+I32+I27+I24</f>
        <v>0</v>
      </c>
      <c r="J34" s="599">
        <f>+J32+J27+J24</f>
        <v>8820</v>
      </c>
      <c r="K34" s="599">
        <f>+K32+K27+K24</f>
        <v>11620</v>
      </c>
      <c r="L34" s="599">
        <f>+L32+L27+L24</f>
        <v>3790</v>
      </c>
      <c r="M34" s="599">
        <f>+M32+M27+M24</f>
        <v>0</v>
      </c>
      <c r="N34" s="599">
        <f>+N32+N27+N24</f>
        <v>200</v>
      </c>
      <c r="O34" s="599">
        <f>+O32+O27+O24</f>
        <v>0</v>
      </c>
      <c r="P34" s="599">
        <f>+P32+P27+P24</f>
        <v>0</v>
      </c>
      <c r="Q34" s="599">
        <f>+Q32+Q27+Q24</f>
        <v>6690</v>
      </c>
      <c r="R34" s="599">
        <f>+R32+R27+R24</f>
        <v>4350</v>
      </c>
      <c r="S34" s="599">
        <f>+S32+S27+S24</f>
        <v>0</v>
      </c>
      <c r="T34" s="599">
        <f>+T32+T27+T24</f>
        <v>445</v>
      </c>
      <c r="U34" s="599">
        <f>+U32+U27+U24</f>
        <v>0</v>
      </c>
      <c r="V34" s="599">
        <f>+V32+V27+V24</f>
        <v>10</v>
      </c>
      <c r="W34" s="599">
        <f>+W32+W27+W24</f>
        <v>0</v>
      </c>
      <c r="X34" s="599">
        <f>+X32+X27+X24</f>
        <v>8385</v>
      </c>
      <c r="Y34" s="599">
        <f>+Y32+Y27+Y24</f>
        <v>6550</v>
      </c>
      <c r="Z34" s="599">
        <f>+Z32+Z27+Z24</f>
        <v>0</v>
      </c>
      <c r="AA34" s="599">
        <f>+AA32+AA27+AA24</f>
        <v>0</v>
      </c>
      <c r="AB34" s="599">
        <f>+AB32+AB27+AB24</f>
        <v>0</v>
      </c>
      <c r="AC34" s="599">
        <f>+AC32+AC27+AC24</f>
        <v>0</v>
      </c>
      <c r="AD34" s="599">
        <f>+AD32+AD27+AD24</f>
        <v>0</v>
      </c>
      <c r="AE34" s="599">
        <f>+AE32+AE27+AE24</f>
        <v>7770</v>
      </c>
      <c r="AF34" s="599">
        <f>+AF32+AF27+AF24</f>
        <v>0</v>
      </c>
      <c r="AG34" s="586"/>
      <c r="AH34" s="597">
        <f>SUM(B34:AF34)</f>
        <v>90205</v>
      </c>
    </row>
    <row r="35" spans="1:135" s="3" customFormat="1" ht="24.75" customHeight="1" x14ac:dyDescent="0.25">
      <c r="A35" s="28"/>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5"/>
      <c r="AH35" s="38"/>
    </row>
    <row r="36" spans="1:135" s="42" customFormat="1" ht="3" customHeight="1" x14ac:dyDescent="0.25">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
      <c r="AH36" s="2"/>
    </row>
    <row r="37" spans="1:135" s="549" customFormat="1" ht="21.9" customHeight="1" x14ac:dyDescent="0.25">
      <c r="A37" s="540" t="s">
        <v>17</v>
      </c>
      <c r="B37" s="541">
        <v>0.7597222222222223</v>
      </c>
      <c r="C37" s="541">
        <v>0.75902777777777775</v>
      </c>
      <c r="D37" s="541">
        <v>0.75763888888888886</v>
      </c>
      <c r="E37" s="541">
        <v>0.75694444444444453</v>
      </c>
      <c r="F37" s="541">
        <v>0.75624999999999998</v>
      </c>
      <c r="G37" s="541">
        <v>0.75555555555555554</v>
      </c>
      <c r="H37" s="541">
        <v>0.75416666666666676</v>
      </c>
      <c r="I37" s="541">
        <v>0.75347222222222221</v>
      </c>
      <c r="J37" s="541">
        <v>0.75277777777777777</v>
      </c>
      <c r="K37" s="541">
        <v>0.75208333333333333</v>
      </c>
      <c r="L37" s="541">
        <v>0.75138888888888899</v>
      </c>
      <c r="M37" s="541">
        <v>0.75</v>
      </c>
      <c r="N37" s="541">
        <v>0.74930555555555556</v>
      </c>
      <c r="O37" s="541">
        <v>0.74861111111111101</v>
      </c>
      <c r="P37" s="541">
        <v>0.74791666666666667</v>
      </c>
      <c r="Q37" s="541">
        <v>0.74722222222222223</v>
      </c>
      <c r="R37" s="541">
        <v>0.74722222222222223</v>
      </c>
      <c r="S37" s="541">
        <v>0.74652777777777779</v>
      </c>
      <c r="T37" s="541">
        <v>0.74583333333333324</v>
      </c>
      <c r="U37" s="541">
        <v>0.74513888888888891</v>
      </c>
      <c r="V37" s="541">
        <v>0.74444444444444446</v>
      </c>
      <c r="W37" s="541">
        <v>0.74444444444444446</v>
      </c>
      <c r="X37" s="541">
        <v>0.74375000000000002</v>
      </c>
      <c r="Y37" s="541">
        <v>0.74305555555555547</v>
      </c>
      <c r="Z37" s="541">
        <v>0.74305555555555547</v>
      </c>
      <c r="AA37" s="541">
        <v>0.74236111111111114</v>
      </c>
      <c r="AB37" s="541">
        <v>0.7416666666666667</v>
      </c>
      <c r="AC37" s="541">
        <v>0.7416666666666667</v>
      </c>
      <c r="AD37" s="541">
        <v>0.7416666666666667</v>
      </c>
      <c r="AE37" s="541">
        <v>0.74097222222222225</v>
      </c>
      <c r="AF37" s="541"/>
      <c r="AG37" s="542"/>
      <c r="AH37" s="543"/>
      <c r="AI37" s="549">
        <v>0.74305555555555547</v>
      </c>
      <c r="AJ37" s="549">
        <v>0.74236111111111114</v>
      </c>
      <c r="AK37" s="549">
        <v>0.74236111111111114</v>
      </c>
      <c r="AL37" s="549">
        <v>0.7416666666666667</v>
      </c>
      <c r="AM37" s="549">
        <v>0.7416666666666667</v>
      </c>
      <c r="AN37" s="549">
        <v>0.74097222222222225</v>
      </c>
      <c r="BL37" s="542"/>
      <c r="BM37" s="542"/>
      <c r="BN37" s="542"/>
      <c r="BO37" s="542"/>
      <c r="BP37" s="542"/>
      <c r="BQ37" s="542"/>
      <c r="BR37" s="542"/>
      <c r="BS37" s="542"/>
      <c r="BT37" s="542"/>
      <c r="BU37" s="542"/>
      <c r="BV37" s="542"/>
      <c r="BW37" s="542"/>
      <c r="BX37" s="542"/>
      <c r="BY37" s="542"/>
      <c r="BZ37" s="542"/>
      <c r="CA37" s="542"/>
      <c r="CB37" s="542"/>
      <c r="CC37" s="542"/>
      <c r="CD37" s="542"/>
      <c r="CE37" s="542"/>
      <c r="CF37" s="542"/>
      <c r="CG37" s="542"/>
      <c r="CH37" s="542"/>
      <c r="CI37" s="542"/>
      <c r="CJ37" s="542"/>
      <c r="CK37" s="542"/>
      <c r="CL37" s="542"/>
      <c r="CM37" s="542"/>
      <c r="CN37" s="542"/>
      <c r="CO37" s="542"/>
      <c r="CP37" s="542"/>
      <c r="CQ37" s="542"/>
      <c r="CR37" s="542"/>
      <c r="CS37" s="542"/>
      <c r="CT37" s="542"/>
      <c r="CU37" s="542"/>
      <c r="CV37" s="542"/>
      <c r="CW37" s="542"/>
      <c r="CX37" s="542"/>
      <c r="CY37" s="542"/>
      <c r="CZ37" s="542"/>
      <c r="DA37" s="542"/>
      <c r="DB37" s="542"/>
      <c r="DC37" s="542"/>
      <c r="DD37" s="542"/>
      <c r="DE37" s="542"/>
      <c r="DF37" s="542"/>
      <c r="DG37" s="542"/>
      <c r="DH37" s="542"/>
      <c r="DI37" s="542"/>
      <c r="DJ37" s="542"/>
      <c r="DK37" s="542"/>
      <c r="DL37" s="542"/>
      <c r="DM37" s="542"/>
      <c r="DN37" s="542"/>
      <c r="DO37" s="542"/>
      <c r="DP37" s="542"/>
      <c r="DQ37" s="542"/>
      <c r="DR37" s="542"/>
      <c r="DS37" s="542"/>
      <c r="DT37" s="542"/>
      <c r="DU37" s="542"/>
      <c r="DV37" s="542"/>
      <c r="DW37" s="542"/>
      <c r="DX37" s="542"/>
      <c r="DY37" s="542"/>
      <c r="DZ37" s="542"/>
      <c r="EA37" s="542"/>
      <c r="EB37" s="542"/>
      <c r="EC37" s="542"/>
      <c r="ED37" s="542"/>
      <c r="EE37" s="542"/>
    </row>
    <row r="38" spans="1:135" s="549" customFormat="1" ht="16.2" x14ac:dyDescent="0.25">
      <c r="A38" s="545" t="s">
        <v>18</v>
      </c>
      <c r="B38" s="546" t="str">
        <f>+IF(B34&lt;=2500,"BF",IF(AND(B34&gt;2500,B34&lt;=6000),"MF",IF(AND(B34&gt;6000,B34&lt;12000),"HF","THF")))</f>
        <v>THF</v>
      </c>
      <c r="C38" s="546" t="str">
        <f>+IF(C34&lt;=2500,"BF",IF(AND(C34&gt;2500,C34&lt;=6000),"MF",IF(AND(C34&gt;6000,C34&lt;12000),"HF","THF")))</f>
        <v>HF</v>
      </c>
      <c r="D38" s="546" t="str">
        <f>+IF(D34&lt;=2500,"BF",IF(AND(D34&gt;2500,D34&lt;=6000),"MF",IF(AND(D34&gt;6000,D34&lt;12000),"HF","THF")))</f>
        <v>MF</v>
      </c>
      <c r="E38" s="546" t="str">
        <f>+IF(E34&lt;=2500,"BF",IF(AND(E34&gt;2500,E34&lt;=6000),"MF",IF(AND(E34&gt;6000,E34&lt;12000),"HF","THF")))</f>
        <v>BF</v>
      </c>
      <c r="F38" s="546" t="str">
        <f>+IF(F34&lt;=2500,"BF",IF(AND(F34&gt;2500,F34&lt;=6000),"MF",IF(AND(F34&gt;6000,F34&lt;12000),"HF","THF")))</f>
        <v>BF</v>
      </c>
      <c r="G38" s="546" t="str">
        <f>+IF(G34&lt;=2500,"BF",IF(AND(G34&gt;2500,G34&lt;=6000),"MF",IF(AND(G34&gt;6000,G34&lt;12000),"HF","THF")))</f>
        <v>BF</v>
      </c>
      <c r="H38" s="546" t="str">
        <f>+IF(H34&lt;=2500,"BF",IF(AND(H34&gt;2500,H34&lt;=6000),"MF",IF(AND(H34&gt;6000,H34&lt;12000),"HF","THF")))</f>
        <v>BF</v>
      </c>
      <c r="I38" s="546" t="str">
        <f>+IF(I34&lt;=2500,"BF",IF(AND(I34&gt;2500,I34&lt;=6000),"MF",IF(AND(I34&gt;6000,I34&lt;12000),"HF","THF")))</f>
        <v>BF</v>
      </c>
      <c r="J38" s="546" t="str">
        <f>+IF(J34&lt;=2500,"BF",IF(AND(J34&gt;2500,J34&lt;=6000),"MF",IF(AND(J34&gt;6000,J34&lt;12000),"HF","THF")))</f>
        <v>HF</v>
      </c>
      <c r="K38" s="546" t="str">
        <f>+IF(K34&lt;=2500,"BF",IF(AND(K34&gt;2500,K34&lt;=6000),"MF",IF(AND(K34&gt;6000,K34&lt;12000),"HF","THF")))</f>
        <v>HF</v>
      </c>
      <c r="L38" s="546" t="str">
        <f>+IF(L34&lt;=2500,"BF",IF(AND(L34&gt;2500,L34&lt;=6000),"MF",IF(AND(L34&gt;6000,L34&lt;12000),"HF","THF")))</f>
        <v>MF</v>
      </c>
      <c r="M38" s="546" t="str">
        <f>+IF(M34&lt;=2500,"BF",IF(AND(M34&gt;2500,M34&lt;=6000),"MF",IF(AND(M34&gt;6000,M34&lt;12000),"HF","THF")))</f>
        <v>BF</v>
      </c>
      <c r="N38" s="546" t="str">
        <f>+IF(N34&lt;=2500,"BF",IF(AND(N34&gt;2500,N34&lt;=6000),"MF",IF(AND(N34&gt;6000,N34&lt;12000),"HF","THF")))</f>
        <v>BF</v>
      </c>
      <c r="O38" s="546" t="str">
        <f>+IF(O34&lt;=2500,"BF",IF(AND(O34&gt;2500,O34&lt;=6000),"MF",IF(AND(O34&gt;6000,O34&lt;12000),"HF","THF")))</f>
        <v>BF</v>
      </c>
      <c r="P38" s="546" t="str">
        <f>+IF(P34&lt;=2500,"BF",IF(AND(P34&gt;2500,P34&lt;=6000),"MF",IF(AND(P34&gt;6000,P34&lt;12000),"HF","THF")))</f>
        <v>BF</v>
      </c>
      <c r="Q38" s="546" t="str">
        <f>+IF(Q34&lt;=2500,"BF",IF(AND(Q34&gt;2500,Q34&lt;=6000),"MF",IF(AND(Q34&gt;6000,Q34&lt;12000),"HF","THF")))</f>
        <v>HF</v>
      </c>
      <c r="R38" s="546" t="str">
        <f>+IF(R34&lt;=2500,"BF",IF(AND(R34&gt;2500,R34&lt;=6000),"MF",IF(AND(R34&gt;6000,R34&lt;12000),"HF","THF")))</f>
        <v>MF</v>
      </c>
      <c r="S38" s="546" t="str">
        <f>+IF(S34&lt;=2500,"BF",IF(AND(S34&gt;2500,S34&lt;=6000),"MF",IF(AND(S34&gt;6000,S34&lt;12000),"HF","THF")))</f>
        <v>BF</v>
      </c>
      <c r="T38" s="546" t="str">
        <f>+IF(T34&lt;=2500,"BF",IF(AND(T34&gt;2500,T34&lt;=6000),"MF",IF(AND(T34&gt;6000,T34&lt;12000),"HF","THF")))</f>
        <v>BF</v>
      </c>
      <c r="U38" s="546" t="str">
        <f>+IF(U34&lt;=2500,"BF",IF(AND(U34&gt;2500,U34&lt;=6000),"MF",IF(AND(U34&gt;6000,U34&lt;12000),"HF","THF")))</f>
        <v>BF</v>
      </c>
      <c r="V38" s="546" t="str">
        <f>+IF(V34&lt;=2500,"BF",IF(AND(V34&gt;2500,V34&lt;=6000),"MF",IF(AND(V34&gt;6000,V34&lt;12000),"HF","THF")))</f>
        <v>BF</v>
      </c>
      <c r="W38" s="546" t="str">
        <f>+IF(W34&lt;=2500,"BF",IF(AND(W34&gt;2500,W34&lt;=6000),"MF",IF(AND(W34&gt;6000,W34&lt;12000),"HF","THF")))</f>
        <v>BF</v>
      </c>
      <c r="X38" s="546" t="str">
        <f>+IF(X34&lt;=2500,"BF",IF(AND(X34&gt;2500,X34&lt;=6000),"MF",IF(AND(X34&gt;6000,X34&lt;12000),"HF","THF")))</f>
        <v>HF</v>
      </c>
      <c r="Y38" s="546" t="str">
        <f>+IF(Y34&lt;=2500,"BF",IF(AND(Y34&gt;2500,Y34&lt;=6000),"MF",IF(AND(Y34&gt;6000,Y34&lt;12000),"HF","THF")))</f>
        <v>HF</v>
      </c>
      <c r="Z38" s="546" t="str">
        <f>+IF(Z34&lt;=2500,"BF",IF(AND(Z34&gt;2500,Z34&lt;=6000),"MF",IF(AND(Z34&gt;6000,Z34&lt;12000),"HF","THF")))</f>
        <v>BF</v>
      </c>
      <c r="AA38" s="546" t="str">
        <f>+IF(AA34&lt;=2500,"BF",IF(AND(AA34&gt;2500,AA34&lt;=6000),"MF",IF(AND(AA34&gt;6000,AA34&lt;12000),"HF","THF")))</f>
        <v>BF</v>
      </c>
      <c r="AB38" s="546" t="str">
        <f>+IF(AB34&lt;=2500,"BF",IF(AND(AB34&gt;2500,AB34&lt;=6000),"MF",IF(AND(AB34&gt;6000,AB34&lt;12000),"HF","THF")))</f>
        <v>BF</v>
      </c>
      <c r="AC38" s="546" t="str">
        <f>+IF(AC34&lt;=2500,"BF",IF(AND(AC34&gt;2500,AC34&lt;=6000),"MF",IF(AND(AC34&gt;6000,AC34&lt;12000),"HF","THF")))</f>
        <v>BF</v>
      </c>
      <c r="AD38" s="546" t="str">
        <f>+IF(AD34&lt;=2500,"BF",IF(AND(AD34&gt;2500,AD34&lt;=6000),"MF",IF(AND(AD34&gt;6000,AD34&lt;12000),"HF","THF")))</f>
        <v>BF</v>
      </c>
      <c r="AE38" s="546" t="str">
        <f>+IF(AE34&lt;=2500,"BF",IF(AND(AE34&gt;2500,AE34&lt;=6000),"MF",IF(AND(AE34&gt;6000,AE34&lt;12000),"HF","THF")))</f>
        <v>HF</v>
      </c>
      <c r="AF38" s="546"/>
      <c r="AG38" s="547"/>
      <c r="AH38" s="543"/>
      <c r="BL38" s="542"/>
      <c r="BM38" s="542"/>
      <c r="BN38" s="542"/>
      <c r="BO38" s="542"/>
      <c r="BP38" s="542"/>
      <c r="BQ38" s="542"/>
      <c r="BR38" s="542"/>
      <c r="BS38" s="542"/>
      <c r="BT38" s="542"/>
      <c r="BU38" s="542"/>
      <c r="BV38" s="542"/>
      <c r="BW38" s="542"/>
      <c r="BX38" s="542"/>
      <c r="BY38" s="542"/>
      <c r="BZ38" s="542"/>
      <c r="CA38" s="542"/>
      <c r="CB38" s="542"/>
      <c r="CC38" s="542"/>
      <c r="CD38" s="542"/>
      <c r="CE38" s="542"/>
      <c r="CF38" s="542"/>
      <c r="CG38" s="542"/>
      <c r="CH38" s="542"/>
      <c r="CI38" s="542"/>
      <c r="CJ38" s="542"/>
      <c r="CK38" s="542"/>
      <c r="CL38" s="542"/>
      <c r="CM38" s="542"/>
      <c r="CN38" s="542"/>
      <c r="CO38" s="542"/>
      <c r="CP38" s="542"/>
      <c r="CQ38" s="542"/>
      <c r="CR38" s="542"/>
      <c r="CS38" s="542"/>
      <c r="CT38" s="542"/>
      <c r="CU38" s="542"/>
      <c r="CV38" s="542"/>
      <c r="CW38" s="542"/>
      <c r="CX38" s="542"/>
      <c r="CY38" s="542"/>
      <c r="CZ38" s="542"/>
      <c r="DA38" s="542"/>
      <c r="DB38" s="542"/>
      <c r="DC38" s="542"/>
      <c r="DD38" s="542"/>
      <c r="DE38" s="542"/>
      <c r="DF38" s="542"/>
      <c r="DG38" s="542"/>
      <c r="DH38" s="542"/>
      <c r="DI38" s="542"/>
      <c r="DJ38" s="542"/>
      <c r="DK38" s="542"/>
      <c r="DL38" s="542"/>
      <c r="DM38" s="542"/>
      <c r="DN38" s="542"/>
      <c r="DO38" s="542"/>
      <c r="DP38" s="542"/>
      <c r="DQ38" s="542"/>
      <c r="DR38" s="542"/>
      <c r="DS38" s="542"/>
      <c r="DT38" s="542"/>
      <c r="DU38" s="542"/>
      <c r="DV38" s="542"/>
      <c r="DW38" s="542"/>
      <c r="DX38" s="542"/>
      <c r="DY38" s="542"/>
      <c r="DZ38" s="542"/>
      <c r="EA38" s="542"/>
      <c r="EB38" s="542"/>
      <c r="EC38" s="542"/>
      <c r="ED38" s="542"/>
      <c r="EE38" s="542"/>
    </row>
    <row r="39" spans="1:135" s="42" customFormat="1" ht="19.8" x14ac:dyDescent="0.25">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c r="AH39" s="2"/>
    </row>
    <row r="40" spans="1:135"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135" s="1" customFormat="1" ht="12.75" customHeight="1" x14ac:dyDescent="0.25">
      <c r="A41" s="13"/>
      <c r="B41" s="482">
        <f>+B34-B30</f>
        <v>15270</v>
      </c>
      <c r="C41" s="482">
        <f>+C34-C30</f>
        <v>11870</v>
      </c>
      <c r="D41" s="482">
        <f>+D34-D30</f>
        <v>4320</v>
      </c>
      <c r="E41" s="482">
        <f>+E34-E30</f>
        <v>0</v>
      </c>
      <c r="F41" s="482">
        <f>+F34-F30</f>
        <v>0</v>
      </c>
      <c r="G41" s="482">
        <f>+G34-G30</f>
        <v>0</v>
      </c>
      <c r="H41" s="482">
        <f>+H34-H30</f>
        <v>0</v>
      </c>
      <c r="I41" s="482">
        <f>+I34-I30</f>
        <v>0</v>
      </c>
      <c r="J41" s="482">
        <f>+J34-J30</f>
        <v>8800</v>
      </c>
      <c r="K41" s="482">
        <f>+K34-K30</f>
        <v>11600</v>
      </c>
      <c r="L41" s="482">
        <f>+L34-L30</f>
        <v>3790</v>
      </c>
      <c r="M41" s="482">
        <f>+M34-M30</f>
        <v>0</v>
      </c>
      <c r="N41" s="482">
        <f>+N34-N30</f>
        <v>0</v>
      </c>
      <c r="O41" s="482">
        <f>+O34-O30</f>
        <v>0</v>
      </c>
      <c r="P41" s="482">
        <f>+P34-P30</f>
        <v>0</v>
      </c>
      <c r="Q41" s="482">
        <f>+Q34-Q30</f>
        <v>6660</v>
      </c>
      <c r="R41" s="482">
        <f>+R34-R30</f>
        <v>4350</v>
      </c>
      <c r="S41" s="482">
        <f>+S34-S30</f>
        <v>0</v>
      </c>
      <c r="T41" s="482">
        <f>+T34-T30</f>
        <v>0</v>
      </c>
      <c r="U41" s="482">
        <f>+U34-U30</f>
        <v>0</v>
      </c>
      <c r="V41" s="482">
        <f>+V34-V30</f>
        <v>0</v>
      </c>
      <c r="W41" s="482">
        <f>+W34-W30</f>
        <v>0</v>
      </c>
      <c r="X41" s="482">
        <f>+X34-X30</f>
        <v>8370</v>
      </c>
      <c r="Y41" s="482">
        <f>+Y34-Y30</f>
        <v>6550</v>
      </c>
      <c r="Z41" s="482">
        <f>+Z34-Z30</f>
        <v>0</v>
      </c>
      <c r="AA41" s="482">
        <f>+AA34-AA30</f>
        <v>0</v>
      </c>
      <c r="AB41" s="482">
        <f>+AB34-AB30</f>
        <v>0</v>
      </c>
      <c r="AC41" s="482">
        <f>+AC34-AC30</f>
        <v>0</v>
      </c>
      <c r="AD41" s="482">
        <f>+AD34-AD30</f>
        <v>0</v>
      </c>
      <c r="AE41" s="482">
        <f>+AE34-AE30</f>
        <v>6820</v>
      </c>
      <c r="AF41" s="48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135" s="3" customFormat="1" ht="12.75" customHeight="1" x14ac:dyDescent="0.4">
      <c r="A42" s="13"/>
      <c r="B42" s="21"/>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459"/>
    </row>
    <row r="43" spans="1:135" s="3" customFormat="1" ht="12.75" customHeight="1" x14ac:dyDescent="0.4">
      <c r="A43" s="13"/>
      <c r="B43" s="21"/>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2"/>
    </row>
    <row r="44" spans="1:135" s="3" customFormat="1" ht="12.75" customHeight="1" x14ac:dyDescent="0.25">
      <c r="A44" s="22"/>
      <c r="B44" s="454">
        <f>IF(B9="",0,1)</f>
        <v>1</v>
      </c>
      <c r="C44" s="454">
        <f>IF(C9="",0,1)</f>
        <v>1</v>
      </c>
      <c r="D44" s="454">
        <f>IF(D9="",0,1)</f>
        <v>1</v>
      </c>
      <c r="E44" s="454">
        <f>IF(E9="",0,1)</f>
        <v>0</v>
      </c>
      <c r="F44" s="454">
        <f>IF(F9="",0,1)</f>
        <v>0</v>
      </c>
      <c r="G44" s="454">
        <f>IF(G9="",0,1)</f>
        <v>0</v>
      </c>
      <c r="H44" s="454">
        <f>IF(H9="",0,1)</f>
        <v>0</v>
      </c>
      <c r="I44" s="454">
        <f>IF(I9="",0,1)</f>
        <v>0</v>
      </c>
      <c r="J44" s="454">
        <f>IF(J9="",0,1)</f>
        <v>1</v>
      </c>
      <c r="K44" s="454">
        <f>IF(K9="",0,1)</f>
        <v>1</v>
      </c>
      <c r="L44" s="454">
        <f>IF(L9="",0,1)</f>
        <v>1</v>
      </c>
      <c r="M44" s="454">
        <f>IF(M9="",0,1)</f>
        <v>0</v>
      </c>
      <c r="N44" s="454">
        <f>IF(N9="",0,1)</f>
        <v>0</v>
      </c>
      <c r="O44" s="454">
        <f>IF(O9="",0,1)</f>
        <v>0</v>
      </c>
      <c r="P44" s="454">
        <f>IF(P9="",0,1)</f>
        <v>0</v>
      </c>
      <c r="Q44" s="454">
        <f>IF(Q9="",0,1)</f>
        <v>1</v>
      </c>
      <c r="R44" s="454">
        <f>IF(R9="",0,1)</f>
        <v>1</v>
      </c>
      <c r="S44" s="454">
        <f>IF(S9="",0,1)</f>
        <v>0</v>
      </c>
      <c r="T44" s="454">
        <f>IF(T9="",0,1)</f>
        <v>0</v>
      </c>
      <c r="U44" s="454">
        <f>IF(U9="",0,1)</f>
        <v>0</v>
      </c>
      <c r="V44" s="454">
        <f>IF(V9="",0,1)</f>
        <v>0</v>
      </c>
      <c r="W44" s="454">
        <f>IF(W9="",0,1)</f>
        <v>0</v>
      </c>
      <c r="X44" s="454">
        <f>IF(X9="",0,1)</f>
        <v>1</v>
      </c>
      <c r="Y44" s="454">
        <f>IF(Y9="",0,1)</f>
        <v>1</v>
      </c>
      <c r="Z44" s="454">
        <f>IF(Z9="",0,1)</f>
        <v>0</v>
      </c>
      <c r="AA44" s="454">
        <f>IF(AA9="",0,1)</f>
        <v>0</v>
      </c>
      <c r="AB44" s="454">
        <f>IF(AB9="",0,1)</f>
        <v>0</v>
      </c>
      <c r="AC44" s="454">
        <f>IF(AC9="",0,1)</f>
        <v>0</v>
      </c>
      <c r="AD44" s="454">
        <f>IF(AD9="",0,1)</f>
        <v>0</v>
      </c>
      <c r="AE44" s="454">
        <f>IF(AE9="",0,1)</f>
        <v>1</v>
      </c>
      <c r="AF44" s="454">
        <f>IF(AF9="",0,1)</f>
        <v>0</v>
      </c>
      <c r="AG44" s="1"/>
      <c r="AH44" s="563">
        <f>SUM(B44:AF44)</f>
        <v>11</v>
      </c>
    </row>
    <row r="45" spans="1:135" s="561" customFormat="1" ht="12.7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135" ht="19.8" x14ac:dyDescent="0.4">
      <c r="A46" s="13"/>
      <c r="B46" s="21"/>
    </row>
    <row r="47" spans="1:135" ht="19.8" x14ac:dyDescent="0.4">
      <c r="A47" s="13"/>
      <c r="B47" s="21"/>
    </row>
    <row r="48" spans="1:135" ht="18.600000000000001" x14ac:dyDescent="0.4">
      <c r="A48" s="23"/>
      <c r="B48" s="21"/>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3">
    <mergeCell ref="B1:U1"/>
    <mergeCell ref="J6:L6"/>
    <mergeCell ref="B6:D6"/>
  </mergeCells>
  <conditionalFormatting sqref="A14:A34">
    <cfRule type="expression" dxfId="94" priority="7" stopIfTrue="1">
      <formula>$P14="ALERTE"</formula>
    </cfRule>
  </conditionalFormatting>
  <conditionalFormatting sqref="A45">
    <cfRule type="expression" dxfId="93" priority="10" stopIfTrue="1">
      <formula>$P45="ALERTE"</formula>
    </cfRule>
  </conditionalFormatting>
  <conditionalFormatting sqref="B6 E7:AF7">
    <cfRule type="expression" dxfId="92" priority="47" stopIfTrue="1">
      <formula>$BI6="ALERTE"</formula>
    </cfRule>
  </conditionalFormatting>
  <conditionalFormatting sqref="B15:C15">
    <cfRule type="expression" dxfId="91" priority="1" stopIfTrue="1">
      <formula>$P15="ALERTE"</formula>
    </cfRule>
  </conditionalFormatting>
  <conditionalFormatting sqref="B7:D7">
    <cfRule type="expression" dxfId="90" priority="45" stopIfTrue="1">
      <formula>$AY7="ALERTE"</formula>
    </cfRule>
  </conditionalFormatting>
  <conditionalFormatting sqref="B8:D8">
    <cfRule type="expression" dxfId="89" priority="6" stopIfTrue="1">
      <formula>$BI8="ALERTE"</formula>
    </cfRule>
  </conditionalFormatting>
  <conditionalFormatting sqref="B9:D9">
    <cfRule type="expression" dxfId="88" priority="5" stopIfTrue="1">
      <formula>$BF9="ALERTE"</formula>
    </cfRule>
  </conditionalFormatting>
  <conditionalFormatting sqref="B10:D10">
    <cfRule type="expression" dxfId="87" priority="4" stopIfTrue="1">
      <formula>$BS10="ALERTE"</formula>
    </cfRule>
  </conditionalFormatting>
  <conditionalFormatting sqref="B3:AF5 A3:A10">
    <cfRule type="expression" dxfId="86" priority="46" stopIfTrue="1">
      <formula>$P3="ALERTE"</formula>
    </cfRule>
  </conditionalFormatting>
  <conditionalFormatting sqref="B14:AF14">
    <cfRule type="expression" dxfId="85" priority="2" stopIfTrue="1">
      <formula>$BI14="ALERTE"</formula>
    </cfRule>
  </conditionalFormatting>
  <conditionalFormatting sqref="B15:AF21">
    <cfRule type="expression" dxfId="84" priority="3" stopIfTrue="1">
      <formula>$P15="ALERTE"</formula>
    </cfRule>
  </conditionalFormatting>
  <conditionalFormatting sqref="B35:AF35">
    <cfRule type="expression" dxfId="83" priority="38" stopIfTrue="1">
      <formula>$P35="ALERTE"</formula>
    </cfRule>
  </conditionalFormatting>
  <conditionalFormatting sqref="B38:AF38">
    <cfRule type="cellIs" dxfId="82" priority="34" stopIfTrue="1" operator="equal">
      <formula>"THF"</formula>
    </cfRule>
    <cfRule type="cellIs" dxfId="81" priority="35" stopIfTrue="1" operator="equal">
      <formula>"HF"</formula>
    </cfRule>
    <cfRule type="cellIs" dxfId="80" priority="36" stopIfTrue="1" operator="equal">
      <formula>"MF"</formula>
    </cfRule>
  </conditionalFormatting>
  <conditionalFormatting sqref="B40:AF40">
    <cfRule type="cellIs" dxfId="79" priority="39" stopIfTrue="1" operator="equal">
      <formula>"THF"</formula>
    </cfRule>
    <cfRule type="cellIs" dxfId="78" priority="40" stopIfTrue="1" operator="equal">
      <formula>"HF"</formula>
    </cfRule>
    <cfRule type="cellIs" dxfId="77" priority="41" stopIfTrue="1" operator="equal">
      <formula>"MF"</formula>
    </cfRule>
  </conditionalFormatting>
  <conditionalFormatting sqref="B44:AF44">
    <cfRule type="expression" dxfId="76" priority="37" stopIfTrue="1">
      <formula>$P44="ALERTE"</formula>
    </cfRule>
  </conditionalFormatting>
  <conditionalFormatting sqref="B45:AF45">
    <cfRule type="expression" dxfId="75" priority="8" stopIfTrue="1">
      <formula>$BI45="ALERTE"</formula>
    </cfRule>
  </conditionalFormatting>
  <conditionalFormatting sqref="E10:I10">
    <cfRule type="expression" dxfId="74" priority="26" stopIfTrue="1">
      <formula>$BJ10="ALERTE"</formula>
    </cfRule>
  </conditionalFormatting>
  <conditionalFormatting sqref="E6:J6 M6:AF6 E8:I9">
    <cfRule type="expression" dxfId="73" priority="25" stopIfTrue="1">
      <formula>$BI6="ALERTE"</formula>
    </cfRule>
  </conditionalFormatting>
  <conditionalFormatting sqref="J8:M8">
    <cfRule type="expression" dxfId="72" priority="24" stopIfTrue="1">
      <formula>$BH8="ALERTE"</formula>
    </cfRule>
  </conditionalFormatting>
  <conditionalFormatting sqref="J9:M9">
    <cfRule type="expression" dxfId="71" priority="22" stopIfTrue="1">
      <formula>$BJ9="ALERTE"</formula>
    </cfRule>
  </conditionalFormatting>
  <conditionalFormatting sqref="J10:M10">
    <cfRule type="expression" dxfId="70" priority="23" stopIfTrue="1">
      <formula>$BS10="ALERTE"</formula>
    </cfRule>
  </conditionalFormatting>
  <conditionalFormatting sqref="M20">
    <cfRule type="expression" dxfId="69" priority="31" stopIfTrue="1">
      <formula>$P20="ALERTE"</formula>
    </cfRule>
  </conditionalFormatting>
  <conditionalFormatting sqref="N8:Y9">
    <cfRule type="expression" dxfId="68" priority="29" stopIfTrue="1">
      <formula>$BI8="ALERTE"</formula>
    </cfRule>
  </conditionalFormatting>
  <conditionalFormatting sqref="N10:AD10">
    <cfRule type="expression" dxfId="67" priority="30" stopIfTrue="1">
      <formula>$BJ10="ALERTE"</formula>
    </cfRule>
  </conditionalFormatting>
  <conditionalFormatting sqref="Q8:T8">
    <cfRule type="expression" dxfId="66" priority="21" stopIfTrue="1">
      <formula>$BH8="ALERTE"</formula>
    </cfRule>
  </conditionalFormatting>
  <conditionalFormatting sqref="Q9:T9">
    <cfRule type="expression" dxfId="65" priority="19" stopIfTrue="1">
      <formula>$BJ9="ALERTE"</formula>
    </cfRule>
  </conditionalFormatting>
  <conditionalFormatting sqref="Q10:T10">
    <cfRule type="expression" dxfId="64" priority="20" stopIfTrue="1">
      <formula>$BS10="ALERTE"</formula>
    </cfRule>
  </conditionalFormatting>
  <conditionalFormatting sqref="S16">
    <cfRule type="expression" dxfId="63" priority="33" stopIfTrue="1">
      <formula>$P16="ALERTE"</formula>
    </cfRule>
  </conditionalFormatting>
  <conditionalFormatting sqref="U20:V20">
    <cfRule type="expression" dxfId="62" priority="28" stopIfTrue="1">
      <formula>$P20="ALERTE"</formula>
    </cfRule>
  </conditionalFormatting>
  <conditionalFormatting sqref="X8:AA8">
    <cfRule type="expression" dxfId="61" priority="18" stopIfTrue="1">
      <formula>$BH8="ALERTE"</formula>
    </cfRule>
  </conditionalFormatting>
  <conditionalFormatting sqref="X9:AA9">
    <cfRule type="expression" dxfId="60" priority="16" stopIfTrue="1">
      <formula>$BJ9="ALERTE"</formula>
    </cfRule>
  </conditionalFormatting>
  <conditionalFormatting sqref="X10:AA10">
    <cfRule type="expression" dxfId="59" priority="17" stopIfTrue="1">
      <formula>$BS10="ALERTE"</formula>
    </cfRule>
  </conditionalFormatting>
  <conditionalFormatting sqref="Y16">
    <cfRule type="expression" dxfId="58" priority="32" stopIfTrue="1">
      <formula>$P16="ALERTE"</formula>
    </cfRule>
  </conditionalFormatting>
  <conditionalFormatting sqref="Z8:AF9">
    <cfRule type="expression" dxfId="57" priority="14" stopIfTrue="1">
      <formula>$BI8="ALERTE"</formula>
    </cfRule>
  </conditionalFormatting>
  <conditionalFormatting sqref="AB20:AC20">
    <cfRule type="expression" dxfId="56" priority="27" stopIfTrue="1">
      <formula>$P20="ALERTE"</formula>
    </cfRule>
  </conditionalFormatting>
  <conditionalFormatting sqref="AE8">
    <cfRule type="expression" dxfId="55" priority="13" stopIfTrue="1">
      <formula>$BH8="ALERTE"</formula>
    </cfRule>
  </conditionalFormatting>
  <conditionalFormatting sqref="AE9">
    <cfRule type="expression" dxfId="54" priority="11" stopIfTrue="1">
      <formula>$BJ9="ALERTE"</formula>
    </cfRule>
  </conditionalFormatting>
  <conditionalFormatting sqref="AE10">
    <cfRule type="expression" dxfId="53" priority="12" stopIfTrue="1">
      <formula>$BS10="ALERTE"</formula>
    </cfRule>
  </conditionalFormatting>
  <conditionalFormatting sqref="AE10:AF10">
    <cfRule type="expression" dxfId="52" priority="15" stopIfTrue="1">
      <formula>$BJ10="ALERTE"</formula>
    </cfRule>
  </conditionalFormatting>
  <conditionalFormatting sqref="AH6:AH10">
    <cfRule type="expression" dxfId="51" priority="42" stopIfTrue="1">
      <formula>$BI6="ALERTE"</formula>
    </cfRule>
  </conditionalFormatting>
  <conditionalFormatting sqref="AH14">
    <cfRule type="expression" dxfId="50" priority="44" stopIfTrue="1">
      <formula>$BI14="ALERTE"</formula>
    </cfRule>
  </conditionalFormatting>
  <conditionalFormatting sqref="AH15:AH16">
    <cfRule type="expression" dxfId="49" priority="43" stopIfTrue="1">
      <formula>$P15="ALERTE"</formula>
    </cfRule>
  </conditionalFormatting>
  <conditionalFormatting sqref="AH45">
    <cfRule type="expression" dxfId="48" priority="9" stopIfTrue="1">
      <formula>$BI45="ALERTE"</formula>
    </cfRule>
  </conditionalFormatting>
  <printOptions horizontalCentered="1" verticalCentered="1"/>
  <pageMargins left="0" right="0" top="0" bottom="0" header="0.51181102362204722" footer="0.51181102362204722"/>
  <pageSetup paperSize="9" scale="46" orientation="landscape" r:id="rId1"/>
  <headerFooter alignWithMargins="0">
    <oddFooter xml:space="preserve">&amp;Rimprimé le &amp;D à &amp;T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CCEC6-F0A2-42CB-B3F4-67522D1283DE}">
  <sheetPr>
    <pageSetUpPr fitToPage="1"/>
  </sheetPr>
  <dimension ref="A1:IV78"/>
  <sheetViews>
    <sheetView showGridLines="0" zoomScale="55" zoomScaleNormal="55" workbookViewId="0">
      <pane xSplit="1" ySplit="20" topLeftCell="G32" activePane="bottomRight" state="frozen"/>
      <selection activeCell="L25" sqref="L25"/>
      <selection pane="topRight" activeCell="L25" sqref="L25"/>
      <selection pane="bottomLeft" activeCell="L25" sqref="L25"/>
      <selection pane="bottomRight" activeCell="L25" sqref="L25"/>
    </sheetView>
  </sheetViews>
  <sheetFormatPr baseColWidth="10" defaultColWidth="0" defaultRowHeight="16.8" outlineLevelRow="1" x14ac:dyDescent="0.4"/>
  <cols>
    <col min="1" max="1" width="26.33203125" style="10" customWidth="1"/>
    <col min="2" max="32" width="8.6640625" style="8" customWidth="1"/>
    <col min="33" max="33" width="2.6640625" style="8" customWidth="1"/>
    <col min="34" max="34" width="16.88671875" style="2" customWidth="1"/>
    <col min="35" max="16384" width="11.44140625" style="8" hidden="1"/>
  </cols>
  <sheetData>
    <row r="1" spans="1:135" s="499" customFormat="1" ht="42.75" customHeight="1" x14ac:dyDescent="0.25">
      <c r="A1" s="641">
        <v>45627</v>
      </c>
      <c r="B1" s="658" t="s">
        <v>48</v>
      </c>
      <c r="C1" s="658"/>
      <c r="D1" s="658"/>
      <c r="E1" s="658"/>
      <c r="F1" s="658"/>
      <c r="G1" s="658"/>
      <c r="H1" s="658"/>
      <c r="I1" s="658"/>
      <c r="J1" s="658"/>
      <c r="K1" s="658"/>
      <c r="L1" s="658"/>
      <c r="M1" s="658"/>
      <c r="N1" s="658"/>
      <c r="O1" s="658"/>
      <c r="P1" s="658"/>
      <c r="Q1" s="658"/>
      <c r="R1" s="658"/>
      <c r="S1" s="658"/>
      <c r="T1" s="658"/>
      <c r="U1" s="658"/>
      <c r="V1" s="630"/>
      <c r="W1" s="630"/>
      <c r="X1" s="630"/>
      <c r="Y1" s="630"/>
      <c r="Z1" s="630"/>
      <c r="AA1" s="630"/>
      <c r="AB1" s="630"/>
      <c r="AC1" s="630"/>
      <c r="AD1" s="630"/>
      <c r="AE1" s="630"/>
      <c r="AF1" s="630"/>
      <c r="AG1" s="630"/>
      <c r="AH1" s="630"/>
    </row>
    <row r="2" spans="1:135" s="155" customFormat="1" ht="9.75" customHeight="1" x14ac:dyDescent="0.25">
      <c r="A2" s="638"/>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c r="AC2" s="639"/>
      <c r="AD2" s="639"/>
      <c r="AE2" s="639"/>
      <c r="AF2" s="639"/>
      <c r="AG2" s="639"/>
      <c r="AH2" s="639"/>
      <c r="BL2" s="156"/>
      <c r="BM2" s="156"/>
      <c r="BN2" s="156"/>
      <c r="BO2" s="156"/>
      <c r="BP2" s="156"/>
      <c r="BQ2" s="156"/>
      <c r="BR2" s="156"/>
      <c r="BS2" s="156"/>
      <c r="BT2" s="156"/>
      <c r="BU2" s="156"/>
      <c r="BV2" s="156"/>
      <c r="BW2" s="156"/>
      <c r="BX2" s="156"/>
      <c r="BY2" s="156"/>
      <c r="BZ2" s="156"/>
      <c r="CA2" s="156"/>
      <c r="CB2" s="156"/>
      <c r="CC2" s="156"/>
      <c r="CD2" s="156"/>
      <c r="CE2" s="156"/>
      <c r="CF2" s="156"/>
      <c r="CG2" s="156"/>
      <c r="CH2" s="156"/>
      <c r="CI2" s="156"/>
      <c r="CJ2" s="156"/>
      <c r="CK2" s="156"/>
      <c r="CL2" s="156"/>
      <c r="CM2" s="156"/>
      <c r="CN2" s="156"/>
      <c r="CO2" s="156"/>
      <c r="CP2" s="156"/>
      <c r="CQ2" s="156"/>
      <c r="CR2" s="156"/>
      <c r="CS2" s="156"/>
      <c r="CT2" s="156"/>
      <c r="CU2" s="156"/>
      <c r="CV2" s="156"/>
      <c r="CW2" s="156"/>
      <c r="CX2" s="156"/>
      <c r="CY2" s="156"/>
      <c r="CZ2" s="156"/>
      <c r="DA2" s="156"/>
      <c r="DB2" s="156"/>
      <c r="DC2" s="156"/>
      <c r="DD2" s="156"/>
      <c r="DE2" s="156"/>
      <c r="DF2" s="156"/>
      <c r="DG2" s="156"/>
      <c r="DH2" s="156"/>
      <c r="DI2" s="156"/>
      <c r="DJ2" s="156"/>
      <c r="DK2" s="156"/>
      <c r="DL2" s="156"/>
      <c r="DM2" s="156"/>
      <c r="DN2" s="156"/>
      <c r="DO2" s="156"/>
      <c r="DP2" s="156"/>
      <c r="DQ2" s="156"/>
      <c r="DR2" s="156"/>
      <c r="DS2" s="156"/>
      <c r="DT2" s="156"/>
      <c r="DU2" s="156"/>
      <c r="DV2" s="156"/>
      <c r="DW2" s="156"/>
      <c r="DX2" s="156"/>
      <c r="DY2" s="156"/>
      <c r="DZ2" s="156"/>
      <c r="EA2" s="156"/>
      <c r="EB2" s="156"/>
      <c r="EC2" s="156"/>
      <c r="ED2" s="156"/>
      <c r="EE2" s="156"/>
    </row>
    <row r="3" spans="1:135" s="158" customFormat="1" ht="20.100000000000001" customHeight="1" x14ac:dyDescent="0.25">
      <c r="A3" s="633" t="s">
        <v>0</v>
      </c>
      <c r="B3" s="636">
        <f>+A1</f>
        <v>45627</v>
      </c>
      <c r="C3" s="636">
        <f>+B3+1</f>
        <v>45628</v>
      </c>
      <c r="D3" s="636">
        <f>+C3+1</f>
        <v>45629</v>
      </c>
      <c r="E3" s="636">
        <f>+D3+1</f>
        <v>45630</v>
      </c>
      <c r="F3" s="636">
        <f>+E3+1</f>
        <v>45631</v>
      </c>
      <c r="G3" s="636">
        <f>+F3+1</f>
        <v>45632</v>
      </c>
      <c r="H3" s="636">
        <f>+G3+1</f>
        <v>45633</v>
      </c>
      <c r="I3" s="636">
        <f>+H3+1</f>
        <v>45634</v>
      </c>
      <c r="J3" s="636">
        <f>+I3+1</f>
        <v>45635</v>
      </c>
      <c r="K3" s="636">
        <f>+J3+1</f>
        <v>45636</v>
      </c>
      <c r="L3" s="636">
        <f>+K3+1</f>
        <v>45637</v>
      </c>
      <c r="M3" s="636">
        <f>+L3+1</f>
        <v>45638</v>
      </c>
      <c r="N3" s="636">
        <f>+M3+1</f>
        <v>45639</v>
      </c>
      <c r="O3" s="636">
        <f>+N3+1</f>
        <v>45640</v>
      </c>
      <c r="P3" s="636">
        <f>+O3+1</f>
        <v>45641</v>
      </c>
      <c r="Q3" s="636">
        <f>+P3+1</f>
        <v>45642</v>
      </c>
      <c r="R3" s="636">
        <f>+Q3+1</f>
        <v>45643</v>
      </c>
      <c r="S3" s="636">
        <f>+R3+1</f>
        <v>45644</v>
      </c>
      <c r="T3" s="636">
        <f>+S3+1</f>
        <v>45645</v>
      </c>
      <c r="U3" s="636">
        <f>+T3+1</f>
        <v>45646</v>
      </c>
      <c r="V3" s="636">
        <f>+U3+1</f>
        <v>45647</v>
      </c>
      <c r="W3" s="636">
        <f>+V3+1</f>
        <v>45648</v>
      </c>
      <c r="X3" s="636">
        <f>+W3+1</f>
        <v>45649</v>
      </c>
      <c r="Y3" s="636">
        <f>+X3+1</f>
        <v>45650</v>
      </c>
      <c r="Z3" s="637">
        <f>+Y3+1</f>
        <v>45651</v>
      </c>
      <c r="AA3" s="636">
        <f>+Z3+1</f>
        <v>45652</v>
      </c>
      <c r="AB3" s="636">
        <f>+AA3+1</f>
        <v>45653</v>
      </c>
      <c r="AC3" s="636">
        <f>+AB3+1</f>
        <v>45654</v>
      </c>
      <c r="AD3" s="636">
        <f>+AC3+1</f>
        <v>45655</v>
      </c>
      <c r="AE3" s="636">
        <f>+AD3+1</f>
        <v>45656</v>
      </c>
      <c r="AF3" s="636">
        <f>+AE3+1</f>
        <v>45657</v>
      </c>
      <c r="AG3" s="157"/>
      <c r="BL3" s="159"/>
      <c r="BM3" s="159"/>
      <c r="BN3" s="159"/>
      <c r="BO3" s="159"/>
      <c r="BP3" s="159"/>
      <c r="BQ3" s="159"/>
      <c r="BR3" s="159"/>
      <c r="BS3" s="159"/>
      <c r="BT3" s="159"/>
      <c r="BU3" s="159"/>
      <c r="BV3" s="159"/>
      <c r="BW3" s="159"/>
      <c r="BX3" s="159"/>
      <c r="BY3" s="159"/>
      <c r="BZ3" s="159"/>
      <c r="CA3" s="159"/>
      <c r="CB3" s="159"/>
      <c r="CC3" s="159"/>
      <c r="CD3" s="159"/>
      <c r="CE3" s="159"/>
      <c r="CF3" s="159"/>
      <c r="CG3" s="159"/>
      <c r="CH3" s="159"/>
      <c r="CI3" s="159"/>
      <c r="CJ3" s="159"/>
      <c r="CK3" s="159"/>
      <c r="CL3" s="159"/>
      <c r="CM3" s="159"/>
      <c r="CN3" s="159"/>
      <c r="CO3" s="159"/>
      <c r="CP3" s="159"/>
      <c r="CQ3" s="159"/>
      <c r="CR3" s="159"/>
      <c r="CS3" s="159"/>
      <c r="CT3" s="159"/>
      <c r="CU3" s="159"/>
      <c r="CV3" s="159"/>
      <c r="CW3" s="159"/>
      <c r="CX3" s="159"/>
      <c r="CY3" s="159"/>
      <c r="CZ3" s="159"/>
      <c r="DA3" s="159"/>
      <c r="DB3" s="159"/>
      <c r="DC3" s="159"/>
      <c r="DD3" s="159"/>
      <c r="DE3" s="159"/>
      <c r="DF3" s="159"/>
      <c r="DG3" s="159"/>
      <c r="DH3" s="159"/>
      <c r="DI3" s="159"/>
      <c r="DJ3" s="159"/>
      <c r="DK3" s="159"/>
      <c r="DL3" s="159"/>
      <c r="DM3" s="159"/>
      <c r="DN3" s="159"/>
      <c r="DO3" s="159"/>
      <c r="DP3" s="159"/>
      <c r="DQ3" s="159"/>
      <c r="DR3" s="159"/>
      <c r="DS3" s="159"/>
      <c r="DT3" s="159"/>
      <c r="DU3" s="159"/>
      <c r="DV3" s="159"/>
      <c r="DW3" s="159"/>
      <c r="DX3" s="159"/>
      <c r="DY3" s="159"/>
      <c r="DZ3" s="159"/>
      <c r="EA3" s="159"/>
      <c r="EB3" s="159"/>
      <c r="EC3" s="159"/>
      <c r="ED3" s="159"/>
      <c r="EE3" s="159"/>
    </row>
    <row r="4" spans="1:135" s="158" customFormat="1" ht="20.100000000000001" customHeight="1" x14ac:dyDescent="0.25">
      <c r="A4" s="527" t="s">
        <v>1</v>
      </c>
      <c r="B4" s="533">
        <f>+A1</f>
        <v>45627</v>
      </c>
      <c r="C4" s="533">
        <f>+B4+1</f>
        <v>45628</v>
      </c>
      <c r="D4" s="533">
        <f>+C4+1</f>
        <v>45629</v>
      </c>
      <c r="E4" s="533">
        <f>+D4+1</f>
        <v>45630</v>
      </c>
      <c r="F4" s="533">
        <f>+E4+1</f>
        <v>45631</v>
      </c>
      <c r="G4" s="533">
        <f>+F4+1</f>
        <v>45632</v>
      </c>
      <c r="H4" s="533">
        <f>+G4+1</f>
        <v>45633</v>
      </c>
      <c r="I4" s="533">
        <f>+H4+1</f>
        <v>45634</v>
      </c>
      <c r="J4" s="533">
        <f>+I4+1</f>
        <v>45635</v>
      </c>
      <c r="K4" s="533">
        <f>+J4+1</f>
        <v>45636</v>
      </c>
      <c r="L4" s="533">
        <f>+K4+1</f>
        <v>45637</v>
      </c>
      <c r="M4" s="533">
        <f>+L4+1</f>
        <v>45638</v>
      </c>
      <c r="N4" s="533">
        <f>+M4+1</f>
        <v>45639</v>
      </c>
      <c r="O4" s="533">
        <f>+N4+1</f>
        <v>45640</v>
      </c>
      <c r="P4" s="533">
        <f>+O4+1</f>
        <v>45641</v>
      </c>
      <c r="Q4" s="533">
        <f>+P4+1</f>
        <v>45642</v>
      </c>
      <c r="R4" s="533">
        <f>+Q4+1</f>
        <v>45643</v>
      </c>
      <c r="S4" s="533">
        <f>+R4+1</f>
        <v>45644</v>
      </c>
      <c r="T4" s="533">
        <f>+S4+1</f>
        <v>45645</v>
      </c>
      <c r="U4" s="533">
        <f>+T4+1</f>
        <v>45646</v>
      </c>
      <c r="V4" s="533">
        <f>+U4+1</f>
        <v>45647</v>
      </c>
      <c r="W4" s="533">
        <f>+V4+1</f>
        <v>45648</v>
      </c>
      <c r="X4" s="533">
        <f>+W4+1</f>
        <v>45649</v>
      </c>
      <c r="Y4" s="533">
        <f>+X4+1</f>
        <v>45650</v>
      </c>
      <c r="Z4" s="578">
        <f>+Y4+1</f>
        <v>45651</v>
      </c>
      <c r="AA4" s="533">
        <f>+Z4+1</f>
        <v>45652</v>
      </c>
      <c r="AB4" s="533">
        <f>+AA4+1</f>
        <v>45653</v>
      </c>
      <c r="AC4" s="533">
        <f>+AB4+1</f>
        <v>45654</v>
      </c>
      <c r="AD4" s="533">
        <f>+AC4+1</f>
        <v>45655</v>
      </c>
      <c r="AE4" s="533">
        <f>+AD4+1</f>
        <v>45656</v>
      </c>
      <c r="AF4" s="533">
        <f>+AE4+1</f>
        <v>45657</v>
      </c>
      <c r="AG4" s="157"/>
      <c r="BL4" s="159"/>
      <c r="BM4" s="159"/>
      <c r="BN4" s="159"/>
      <c r="BO4" s="159"/>
      <c r="BP4" s="159"/>
      <c r="BQ4" s="159"/>
      <c r="BR4" s="159"/>
      <c r="BS4" s="159"/>
      <c r="BT4" s="159"/>
      <c r="BU4" s="159"/>
      <c r="BV4" s="159"/>
      <c r="BW4" s="159"/>
      <c r="BX4" s="159"/>
      <c r="BY4" s="159"/>
      <c r="BZ4" s="159"/>
      <c r="CA4" s="159"/>
      <c r="CB4" s="159"/>
      <c r="CC4" s="159"/>
      <c r="CD4" s="159"/>
      <c r="CE4" s="159"/>
      <c r="CF4" s="159"/>
      <c r="CG4" s="159"/>
      <c r="CH4" s="159"/>
      <c r="CI4" s="159"/>
      <c r="CJ4" s="159"/>
      <c r="CK4" s="159"/>
      <c r="CL4" s="159"/>
      <c r="CM4" s="159"/>
      <c r="CN4" s="159"/>
      <c r="CO4" s="159"/>
      <c r="CP4" s="159"/>
      <c r="CQ4" s="159"/>
      <c r="CR4" s="159"/>
      <c r="CS4" s="159"/>
      <c r="CT4" s="159"/>
      <c r="CU4" s="159"/>
      <c r="CV4" s="159"/>
      <c r="CW4" s="159"/>
      <c r="CX4" s="159"/>
      <c r="CY4" s="159"/>
      <c r="CZ4" s="159"/>
      <c r="DA4" s="159"/>
      <c r="DB4" s="159"/>
      <c r="DC4" s="159"/>
      <c r="DD4" s="159"/>
      <c r="DE4" s="159"/>
      <c r="DF4" s="159"/>
      <c r="DG4" s="159"/>
      <c r="DH4" s="159"/>
      <c r="DI4" s="159"/>
      <c r="DJ4" s="159"/>
      <c r="DK4" s="159"/>
      <c r="DL4" s="159"/>
      <c r="DM4" s="159"/>
      <c r="DN4" s="159"/>
      <c r="DO4" s="159"/>
      <c r="DP4" s="159"/>
      <c r="DQ4" s="159"/>
      <c r="DR4" s="159"/>
      <c r="DS4" s="159"/>
      <c r="DT4" s="159"/>
      <c r="DU4" s="159"/>
      <c r="DV4" s="159"/>
      <c r="DW4" s="159"/>
      <c r="DX4" s="159"/>
      <c r="DY4" s="159"/>
      <c r="DZ4" s="159"/>
      <c r="EA4" s="159"/>
      <c r="EB4" s="159"/>
      <c r="EC4" s="159"/>
      <c r="ED4" s="159"/>
      <c r="EE4" s="159"/>
    </row>
    <row r="5" spans="1:135" s="163" customFormat="1" ht="9.9" customHeight="1" thickBot="1" x14ac:dyDescent="0.3">
      <c r="A5" s="528"/>
      <c r="B5" s="160"/>
      <c r="C5" s="160"/>
      <c r="D5" s="161"/>
      <c r="E5" s="161"/>
      <c r="F5" s="161"/>
      <c r="G5" s="161"/>
      <c r="H5" s="161"/>
      <c r="I5" s="160"/>
      <c r="J5" s="160"/>
      <c r="K5" s="161"/>
      <c r="L5" s="161"/>
      <c r="M5" s="161"/>
      <c r="N5" s="161"/>
      <c r="O5" s="161"/>
      <c r="P5" s="160"/>
      <c r="Q5" s="160"/>
      <c r="R5" s="161"/>
      <c r="S5" s="161"/>
      <c r="T5" s="161"/>
      <c r="U5" s="161"/>
      <c r="V5" s="161"/>
      <c r="W5" s="160"/>
      <c r="X5" s="160"/>
      <c r="Y5" s="161"/>
      <c r="Z5" s="161"/>
      <c r="AA5" s="161"/>
      <c r="AB5" s="161"/>
      <c r="AC5" s="161"/>
      <c r="AD5" s="161"/>
      <c r="AE5" s="160"/>
      <c r="AF5" s="160"/>
      <c r="AG5" s="162"/>
      <c r="BL5" s="164"/>
      <c r="BM5" s="164"/>
      <c r="BN5" s="164"/>
      <c r="BO5" s="164"/>
      <c r="BP5" s="164"/>
      <c r="BQ5" s="164"/>
      <c r="BR5" s="164"/>
      <c r="BS5" s="164"/>
      <c r="BT5" s="164"/>
      <c r="BU5" s="164"/>
      <c r="BV5" s="164"/>
      <c r="BW5" s="164"/>
      <c r="BX5" s="164"/>
      <c r="BY5" s="164"/>
      <c r="BZ5" s="164"/>
      <c r="CA5" s="164"/>
      <c r="CB5" s="164"/>
      <c r="CC5" s="164"/>
      <c r="CD5" s="164"/>
      <c r="CE5" s="164"/>
      <c r="CF5" s="164"/>
      <c r="CG5" s="164"/>
      <c r="CH5" s="164"/>
      <c r="CI5" s="164"/>
      <c r="CJ5" s="164"/>
      <c r="CK5" s="164"/>
      <c r="CL5" s="164"/>
      <c r="CM5" s="164"/>
      <c r="CN5" s="164"/>
      <c r="CO5" s="164"/>
      <c r="CP5" s="164"/>
      <c r="CQ5" s="164"/>
      <c r="CR5" s="164"/>
      <c r="CS5" s="164"/>
      <c r="CT5" s="164"/>
      <c r="CU5" s="164"/>
      <c r="CV5" s="164"/>
      <c r="CW5" s="164"/>
      <c r="CX5" s="164"/>
      <c r="CY5" s="164"/>
      <c r="CZ5" s="164"/>
      <c r="DA5" s="164"/>
      <c r="DB5" s="164"/>
      <c r="DC5" s="164"/>
      <c r="DD5" s="164"/>
      <c r="DE5" s="164"/>
      <c r="DF5" s="164"/>
      <c r="DG5" s="164"/>
      <c r="DH5" s="164"/>
      <c r="DI5" s="164"/>
      <c r="DJ5" s="164"/>
      <c r="DK5" s="164"/>
      <c r="DL5" s="164"/>
      <c r="DM5" s="164"/>
      <c r="DN5" s="164"/>
      <c r="DO5" s="164"/>
      <c r="DP5" s="164"/>
      <c r="DQ5" s="164"/>
      <c r="DR5" s="164"/>
      <c r="DS5" s="164"/>
      <c r="DT5" s="164"/>
      <c r="DU5" s="164"/>
      <c r="DV5" s="164"/>
      <c r="DW5" s="164"/>
      <c r="DX5" s="164"/>
      <c r="DY5" s="164"/>
      <c r="DZ5" s="164"/>
      <c r="EA5" s="164"/>
      <c r="EB5" s="164"/>
      <c r="EC5" s="164"/>
      <c r="ED5" s="164"/>
      <c r="EE5" s="164"/>
    </row>
    <row r="6" spans="1:135" s="158" customFormat="1" ht="20.100000000000001" customHeight="1" thickBot="1" x14ac:dyDescent="0.3">
      <c r="A6" s="529" t="s">
        <v>2</v>
      </c>
      <c r="B6" s="490"/>
      <c r="C6" s="490"/>
      <c r="D6" s="490"/>
      <c r="E6" s="490"/>
      <c r="F6" s="490"/>
      <c r="G6" s="491"/>
      <c r="H6" s="491"/>
      <c r="I6" s="490"/>
      <c r="J6" s="490"/>
      <c r="K6" s="490"/>
      <c r="L6" s="490"/>
      <c r="M6" s="491"/>
      <c r="N6" s="491"/>
      <c r="O6" s="491"/>
      <c r="P6" s="490"/>
      <c r="Q6" s="490"/>
      <c r="R6" s="490"/>
      <c r="S6" s="490"/>
      <c r="T6" s="491"/>
      <c r="U6" s="491"/>
      <c r="V6" s="491"/>
      <c r="W6" s="490"/>
      <c r="X6" s="490"/>
      <c r="Y6" s="490"/>
      <c r="Z6" s="490" t="s">
        <v>55</v>
      </c>
      <c r="AA6" s="491"/>
      <c r="AB6" s="491"/>
      <c r="AC6" s="491"/>
      <c r="AD6" s="491"/>
      <c r="AE6" s="490"/>
      <c r="AF6" s="490"/>
      <c r="AG6" s="157"/>
      <c r="AH6" s="470"/>
      <c r="BL6" s="159"/>
      <c r="BM6" s="159"/>
      <c r="BN6" s="159"/>
      <c r="BO6" s="159"/>
      <c r="BP6" s="159"/>
      <c r="BQ6" s="159"/>
      <c r="BR6" s="159"/>
      <c r="BS6" s="159"/>
      <c r="BT6" s="159"/>
      <c r="BU6" s="159"/>
      <c r="BV6" s="159"/>
      <c r="BW6" s="159"/>
      <c r="BX6" s="159"/>
      <c r="BY6" s="159"/>
      <c r="BZ6" s="159"/>
      <c r="CA6" s="159"/>
      <c r="CB6" s="159"/>
      <c r="CC6" s="159"/>
      <c r="CD6" s="159"/>
      <c r="CE6" s="159"/>
      <c r="CF6" s="159"/>
      <c r="CG6" s="159"/>
      <c r="CH6" s="159"/>
      <c r="CI6" s="159"/>
      <c r="CJ6" s="159"/>
      <c r="CK6" s="159"/>
      <c r="CL6" s="159"/>
      <c r="CM6" s="159"/>
      <c r="CN6" s="159"/>
      <c r="CO6" s="159"/>
      <c r="CP6" s="159"/>
      <c r="CQ6" s="159"/>
      <c r="CR6" s="159"/>
      <c r="CS6" s="159"/>
      <c r="CT6" s="159"/>
      <c r="CU6" s="159"/>
      <c r="CV6" s="159"/>
      <c r="CW6" s="159"/>
      <c r="CX6" s="159"/>
      <c r="CY6" s="159"/>
      <c r="CZ6" s="159"/>
      <c r="DA6" s="159"/>
      <c r="DB6" s="159"/>
      <c r="DC6" s="159"/>
      <c r="DD6" s="159"/>
      <c r="DE6" s="159"/>
      <c r="DF6" s="159"/>
      <c r="DG6" s="159"/>
      <c r="DH6" s="159"/>
      <c r="DI6" s="159"/>
      <c r="DJ6" s="159"/>
      <c r="DK6" s="159"/>
      <c r="DL6" s="159"/>
      <c r="DM6" s="159"/>
      <c r="DN6" s="159"/>
      <c r="DO6" s="159"/>
      <c r="DP6" s="159"/>
      <c r="DQ6" s="159"/>
      <c r="DR6" s="159"/>
      <c r="DS6" s="159"/>
      <c r="DT6" s="159"/>
      <c r="DU6" s="159"/>
      <c r="DV6" s="159"/>
      <c r="DW6" s="159"/>
      <c r="DX6" s="159"/>
      <c r="DY6" s="159"/>
      <c r="DZ6" s="159"/>
      <c r="EA6" s="159"/>
      <c r="EB6" s="159"/>
      <c r="EC6" s="159"/>
      <c r="ED6" s="159"/>
      <c r="EE6" s="159"/>
    </row>
    <row r="7" spans="1:135" s="163" customFormat="1" ht="15" x14ac:dyDescent="0.25">
      <c r="A7" s="530" t="s">
        <v>3</v>
      </c>
      <c r="B7" s="165"/>
      <c r="C7" s="165"/>
      <c r="D7" s="165"/>
      <c r="E7" s="165"/>
      <c r="F7" s="165"/>
      <c r="G7" s="165"/>
      <c r="H7" s="165"/>
      <c r="I7" s="165"/>
      <c r="J7" s="165"/>
      <c r="K7" s="165"/>
      <c r="L7" s="165"/>
      <c r="M7" s="165"/>
      <c r="N7" s="165"/>
      <c r="O7" s="165"/>
      <c r="P7" s="165"/>
      <c r="Q7" s="165"/>
      <c r="R7" s="165"/>
      <c r="S7" s="165"/>
      <c r="T7" s="165"/>
      <c r="U7" s="165"/>
      <c r="V7" s="472" t="s">
        <v>131</v>
      </c>
      <c r="W7" s="472" t="s">
        <v>131</v>
      </c>
      <c r="X7" s="472" t="s">
        <v>131</v>
      </c>
      <c r="Y7" s="472" t="s">
        <v>131</v>
      </c>
      <c r="Z7" s="472" t="s">
        <v>131</v>
      </c>
      <c r="AA7" s="472" t="s">
        <v>131</v>
      </c>
      <c r="AB7" s="472" t="s">
        <v>131</v>
      </c>
      <c r="AC7" s="472" t="s">
        <v>131</v>
      </c>
      <c r="AD7" s="472" t="s">
        <v>131</v>
      </c>
      <c r="AE7" s="472" t="s">
        <v>131</v>
      </c>
      <c r="AF7" s="472" t="s">
        <v>131</v>
      </c>
      <c r="AG7" s="162"/>
      <c r="AH7" s="165"/>
      <c r="BL7" s="164"/>
      <c r="BM7" s="164"/>
      <c r="BN7" s="164"/>
      <c r="BO7" s="164"/>
      <c r="BP7" s="164"/>
      <c r="BQ7" s="164"/>
      <c r="BR7" s="164"/>
      <c r="BS7" s="164"/>
      <c r="BT7" s="164"/>
      <c r="BU7" s="164"/>
      <c r="BV7" s="164"/>
      <c r="BW7" s="164"/>
      <c r="BX7" s="164"/>
      <c r="BY7" s="164"/>
      <c r="BZ7" s="164"/>
      <c r="CA7" s="164"/>
      <c r="CB7" s="164"/>
      <c r="CC7" s="164"/>
      <c r="CD7" s="164"/>
      <c r="CE7" s="164"/>
      <c r="CF7" s="164"/>
      <c r="CG7" s="164"/>
      <c r="CH7" s="164"/>
      <c r="CI7" s="164"/>
      <c r="CJ7" s="164"/>
      <c r="CK7" s="164"/>
      <c r="CL7" s="164"/>
      <c r="CM7" s="164"/>
      <c r="CN7" s="164"/>
      <c r="CO7" s="164"/>
      <c r="CP7" s="164"/>
      <c r="CQ7" s="164"/>
      <c r="CR7" s="164"/>
      <c r="CS7" s="164"/>
      <c r="CT7" s="164"/>
      <c r="CU7" s="164"/>
      <c r="CV7" s="164"/>
      <c r="CW7" s="164"/>
      <c r="CX7" s="164"/>
      <c r="CY7" s="164"/>
      <c r="CZ7" s="164"/>
      <c r="DA7" s="164"/>
      <c r="DB7" s="164"/>
      <c r="DC7" s="164"/>
      <c r="DD7" s="164"/>
      <c r="DE7" s="164"/>
      <c r="DF7" s="164"/>
      <c r="DG7" s="164"/>
      <c r="DH7" s="164"/>
      <c r="DI7" s="164"/>
      <c r="DJ7" s="164"/>
      <c r="DK7" s="164"/>
      <c r="DL7" s="164"/>
      <c r="DM7" s="164"/>
      <c r="DN7" s="164"/>
      <c r="DO7" s="164"/>
      <c r="DP7" s="164"/>
      <c r="DQ7" s="164"/>
      <c r="DR7" s="164"/>
      <c r="DS7" s="164"/>
      <c r="DT7" s="164"/>
      <c r="DU7" s="164"/>
      <c r="DV7" s="164"/>
      <c r="DW7" s="164"/>
      <c r="DX7" s="164"/>
      <c r="DY7" s="164"/>
      <c r="DZ7" s="164"/>
      <c r="EA7" s="164"/>
      <c r="EB7" s="164"/>
      <c r="EC7" s="164"/>
      <c r="ED7" s="164"/>
      <c r="EE7" s="164"/>
    </row>
    <row r="8" spans="1:135" s="560" customFormat="1" ht="25.5" customHeight="1" x14ac:dyDescent="0.3">
      <c r="A8" s="559" t="s">
        <v>132</v>
      </c>
      <c r="B8" s="562">
        <v>0.41666666666666669</v>
      </c>
      <c r="C8" s="562"/>
      <c r="D8" s="562"/>
      <c r="E8" s="562"/>
      <c r="F8" s="562" t="str">
        <f>F9</f>
        <v/>
      </c>
      <c r="G8" s="562" t="str">
        <f>G9</f>
        <v/>
      </c>
      <c r="H8" s="562">
        <v>0.41666666666666669</v>
      </c>
      <c r="I8" s="562">
        <v>0.41666666666666669</v>
      </c>
      <c r="J8" s="562" t="str">
        <f>J9</f>
        <v/>
      </c>
      <c r="K8" s="562" t="str">
        <f>K9</f>
        <v/>
      </c>
      <c r="L8" s="562" t="str">
        <f>L9</f>
        <v/>
      </c>
      <c r="M8" s="562" t="str">
        <f>M9</f>
        <v/>
      </c>
      <c r="N8" s="562" t="str">
        <f>N9</f>
        <v/>
      </c>
      <c r="O8" s="562">
        <v>0.41666666666666669</v>
      </c>
      <c r="P8" s="562">
        <v>0.41666666666666669</v>
      </c>
      <c r="Q8" s="562"/>
      <c r="R8" s="562"/>
      <c r="S8" s="562"/>
      <c r="T8" s="562"/>
      <c r="U8" s="562"/>
      <c r="V8" s="562">
        <v>0.38541666666666669</v>
      </c>
      <c r="W8" s="562">
        <v>0.38541666666666669</v>
      </c>
      <c r="X8" s="562">
        <v>0.38541666666666669</v>
      </c>
      <c r="Y8" s="562">
        <v>0.38541666666666669</v>
      </c>
      <c r="Z8" s="562">
        <v>0.38541666666666669</v>
      </c>
      <c r="AA8" s="562">
        <v>0.38541666666666669</v>
      </c>
      <c r="AB8" s="562">
        <v>0.38541666666666669</v>
      </c>
      <c r="AC8" s="562">
        <v>0.38541666666666669</v>
      </c>
      <c r="AD8" s="562">
        <v>0.38541666666666669</v>
      </c>
      <c r="AE8" s="562">
        <v>0.38541666666666669</v>
      </c>
      <c r="AF8" s="562">
        <v>0.38541666666666669</v>
      </c>
      <c r="AG8" s="561"/>
      <c r="AH8" s="562"/>
    </row>
    <row r="9" spans="1:135" s="172" customFormat="1" ht="20.25" customHeight="1" x14ac:dyDescent="0.4">
      <c r="A9" s="519" t="s">
        <v>36</v>
      </c>
      <c r="B9" s="511">
        <v>0.41666666666666669</v>
      </c>
      <c r="C9" s="511"/>
      <c r="D9" s="511"/>
      <c r="E9" s="511"/>
      <c r="F9" s="511" t="str">
        <f>IF(F10="","",F10)</f>
        <v/>
      </c>
      <c r="G9" s="511" t="str">
        <f>IF(G10="","",G10)</f>
        <v/>
      </c>
      <c r="H9" s="511">
        <v>0.41666666666666669</v>
      </c>
      <c r="I9" s="511">
        <v>0.41666666666666669</v>
      </c>
      <c r="J9" s="511" t="str">
        <f>IF(J10="","",J10)</f>
        <v/>
      </c>
      <c r="K9" s="511" t="str">
        <f>IF(K10="","",K10)</f>
        <v/>
      </c>
      <c r="L9" s="511" t="str">
        <f>IF(L10="","",L10)</f>
        <v/>
      </c>
      <c r="M9" s="511" t="str">
        <f>IF(M10="","",M10)</f>
        <v/>
      </c>
      <c r="N9" s="511" t="str">
        <f>IF(N10="","",N10)</f>
        <v/>
      </c>
      <c r="O9" s="511">
        <v>0.41666666666666669</v>
      </c>
      <c r="P9" s="511">
        <v>0.41666666666666669</v>
      </c>
      <c r="Q9" s="511"/>
      <c r="R9" s="511"/>
      <c r="S9" s="511"/>
      <c r="T9" s="511"/>
      <c r="U9" s="511"/>
      <c r="V9" s="511">
        <v>0.375</v>
      </c>
      <c r="W9" s="511">
        <v>0.375</v>
      </c>
      <c r="X9" s="511">
        <v>0.375</v>
      </c>
      <c r="Y9" s="511">
        <v>0.375</v>
      </c>
      <c r="Z9" s="511">
        <v>0.375</v>
      </c>
      <c r="AA9" s="511">
        <v>0.375</v>
      </c>
      <c r="AB9" s="511">
        <v>0.375</v>
      </c>
      <c r="AC9" s="511">
        <v>0.375</v>
      </c>
      <c r="AD9" s="511">
        <v>0.375</v>
      </c>
      <c r="AE9" s="511">
        <v>0.375</v>
      </c>
      <c r="AF9" s="511">
        <v>0.375</v>
      </c>
      <c r="AG9" s="180"/>
      <c r="AH9" s="554"/>
    </row>
    <row r="10" spans="1:135" s="171" customFormat="1" ht="20.100000000000001" customHeight="1" x14ac:dyDescent="0.4">
      <c r="A10" s="520" t="s">
        <v>5</v>
      </c>
      <c r="B10" s="626">
        <v>0.41666666666666669</v>
      </c>
      <c r="C10" s="626"/>
      <c r="D10" s="626"/>
      <c r="E10" s="626"/>
      <c r="F10" s="626"/>
      <c r="G10" s="626"/>
      <c r="H10" s="626">
        <v>0.41666666666666669</v>
      </c>
      <c r="I10" s="626">
        <v>0.41666666666666669</v>
      </c>
      <c r="J10" s="626"/>
      <c r="K10" s="626"/>
      <c r="L10" s="626"/>
      <c r="M10" s="626"/>
      <c r="N10" s="626"/>
      <c r="O10" s="626">
        <v>0.41666666666666669</v>
      </c>
      <c r="P10" s="626">
        <v>0.41666666666666669</v>
      </c>
      <c r="Q10" s="626"/>
      <c r="R10" s="626"/>
      <c r="S10" s="626"/>
      <c r="T10" s="626"/>
      <c r="U10" s="626"/>
      <c r="V10" s="626">
        <v>0.38541666666666669</v>
      </c>
      <c r="W10" s="626">
        <v>0.38541666666666669</v>
      </c>
      <c r="X10" s="626">
        <v>0.38541666666666669</v>
      </c>
      <c r="Y10" s="626">
        <v>0.38541666666666669</v>
      </c>
      <c r="Z10" s="626">
        <v>0.38541666666666669</v>
      </c>
      <c r="AA10" s="626">
        <v>0.38541666666666669</v>
      </c>
      <c r="AB10" s="626">
        <v>0.38541666666666669</v>
      </c>
      <c r="AC10" s="626">
        <v>0.38541666666666669</v>
      </c>
      <c r="AD10" s="626">
        <v>0.38541666666666669</v>
      </c>
      <c r="AE10" s="626">
        <v>0.38541666666666669</v>
      </c>
      <c r="AF10" s="626">
        <v>0.38541666666666669</v>
      </c>
      <c r="AG10" s="180"/>
      <c r="AH10" s="626"/>
      <c r="BL10" s="172"/>
      <c r="BM10" s="172"/>
      <c r="BN10" s="172"/>
      <c r="BO10" s="172"/>
      <c r="BP10" s="172"/>
      <c r="BQ10" s="172"/>
      <c r="BR10" s="172"/>
      <c r="BS10" s="172"/>
      <c r="BT10" s="172"/>
      <c r="BU10" s="172"/>
      <c r="BV10" s="172"/>
      <c r="BW10" s="172"/>
      <c r="BX10" s="172"/>
      <c r="BY10" s="172"/>
      <c r="BZ10" s="172"/>
      <c r="CA10" s="172"/>
      <c r="CB10" s="172"/>
      <c r="CC10" s="172"/>
      <c r="CD10" s="172"/>
      <c r="CE10" s="172"/>
      <c r="CF10" s="172"/>
      <c r="CG10" s="172"/>
      <c r="CH10" s="172"/>
      <c r="CI10" s="172"/>
      <c r="CJ10" s="172"/>
      <c r="CK10" s="172"/>
      <c r="CL10" s="172"/>
      <c r="CM10" s="172"/>
      <c r="CN10" s="172"/>
      <c r="CO10" s="172"/>
      <c r="CP10" s="172"/>
      <c r="CQ10" s="172"/>
      <c r="CR10" s="172"/>
      <c r="CS10" s="172"/>
      <c r="CT10" s="172"/>
      <c r="CU10" s="172"/>
      <c r="CV10" s="172"/>
      <c r="CW10" s="172"/>
      <c r="CX10" s="172"/>
      <c r="CY10" s="172"/>
      <c r="CZ10" s="172"/>
      <c r="DA10" s="172"/>
      <c r="DB10" s="172"/>
      <c r="DC10" s="172"/>
      <c r="DD10" s="172"/>
      <c r="DE10" s="172"/>
      <c r="DF10" s="172"/>
      <c r="DG10" s="172"/>
      <c r="DH10" s="172"/>
      <c r="DI10" s="172"/>
      <c r="DJ10" s="172"/>
      <c r="DK10" s="172"/>
      <c r="DL10" s="172"/>
      <c r="DM10" s="172"/>
      <c r="DN10" s="172"/>
      <c r="DO10" s="172"/>
      <c r="DP10" s="172"/>
      <c r="DQ10" s="172"/>
      <c r="DR10" s="172"/>
      <c r="DS10" s="172"/>
      <c r="DT10" s="172"/>
      <c r="DU10" s="172"/>
      <c r="DV10" s="172"/>
      <c r="DW10" s="172"/>
      <c r="DX10" s="172"/>
      <c r="DY10" s="172"/>
      <c r="DZ10" s="172"/>
      <c r="EA10" s="172"/>
      <c r="EB10" s="172"/>
      <c r="EC10" s="172"/>
      <c r="ED10" s="172"/>
      <c r="EE10" s="172"/>
    </row>
    <row r="11" spans="1:135" s="171" customFormat="1" ht="20.100000000000001" customHeight="1" x14ac:dyDescent="0.4">
      <c r="A11" s="520" t="s">
        <v>6</v>
      </c>
      <c r="B11" s="627">
        <f>IF(B10="","",IF(B15=0,B14+"0:30",+B15+"0:30"))</f>
        <v>0.77083333333333337</v>
      </c>
      <c r="C11" s="627"/>
      <c r="D11" s="627"/>
      <c r="E11" s="627"/>
      <c r="F11" s="627" t="str">
        <f>IF(F10="","",IF(F15=0,F14+"0:30",+F15+"0:30"))</f>
        <v/>
      </c>
      <c r="G11" s="627" t="str">
        <f>IF(G10="","",IF(G15=0,G14+"0:30",+G15+"0:30"))</f>
        <v/>
      </c>
      <c r="H11" s="627">
        <f>IF(H10="","",IF(H15=0,H14+"0:30",+H15+"0:30"))</f>
        <v>0.875</v>
      </c>
      <c r="I11" s="627">
        <f>IF(I10="","",IF(I15=0,I14+"0:30",+I15+"0:30"))</f>
        <v>0.77083333333333337</v>
      </c>
      <c r="J11" s="627" t="str">
        <f>IF(J10="","",IF(J15=0,J14+"0:30",+J15+"0:30"))</f>
        <v/>
      </c>
      <c r="K11" s="627" t="str">
        <f>IF(K10="","",IF(K15=0,K14+"0:30",+K15+"0:30"))</f>
        <v/>
      </c>
      <c r="L11" s="627" t="str">
        <f>IF(L10="","",IF(L15=0,L14+"0:30",+L15+"0:30"))</f>
        <v/>
      </c>
      <c r="M11" s="627" t="str">
        <f>IF(M10="","",IF(M15=0,M14+"0:30",+M15+"0:30"))</f>
        <v/>
      </c>
      <c r="N11" s="627" t="str">
        <f>IF(N10="","",IF(N15=0,N14+"0:30",+N15+"0:30"))</f>
        <v/>
      </c>
      <c r="O11" s="627">
        <f>IF(O10="","",IF(O15=0,O14+"0:30",+O15+"0:30"))</f>
        <v>0.875</v>
      </c>
      <c r="P11" s="627">
        <f>IF(P10="","",IF(P15=0,P14+"0:30",+P15+"0:30"))</f>
        <v>0.77083333333333337</v>
      </c>
      <c r="Q11" s="627" t="str">
        <f>IF(Q10="","",IF(Q15=0,Q14+"0:30",+Q15+"0:30"))</f>
        <v/>
      </c>
      <c r="R11" s="627" t="str">
        <f>IF(R10="","",IF(R15=0,R14+"0:30",+R15+"0:30"))</f>
        <v/>
      </c>
      <c r="S11" s="627" t="str">
        <f>IF(S10="","",IF(S15=0,S14+"0:30",+S15+"0:30"))</f>
        <v/>
      </c>
      <c r="T11" s="627" t="str">
        <f>IF(T10="","",IF(T15=0,T14+"0:30",+T15+"0:30"))</f>
        <v/>
      </c>
      <c r="U11" s="627" t="str">
        <f>IF(U10="","",IF(U15=0,U14+"0:30",+U15+"0:30"))</f>
        <v/>
      </c>
      <c r="V11" s="627">
        <f>IF(V10="","",IF(V15=0,V14+"0:30",+V15+"0:30"))</f>
        <v>0.91666666666666674</v>
      </c>
      <c r="W11" s="627">
        <f>IF(W10="","",IF(W15=0,W14+"0:30",+W15+"0:30"))</f>
        <v>0.91666666666666674</v>
      </c>
      <c r="X11" s="627">
        <f>IF(X10="","",IF(X15=0,X14+"0:30",+X15+"0:30"))</f>
        <v>0.91666666666666674</v>
      </c>
      <c r="Y11" s="627">
        <f>IF(Y10="","",IF(Y15=0,Y14+"0:30",+Y15+"0:30"))</f>
        <v>0.79166666666666674</v>
      </c>
      <c r="Z11" s="627">
        <f>IF(Z10="","",IF(Z15=0,Z14+"0:30",+Z15+"0:30"))</f>
        <v>0.91666666666666674</v>
      </c>
      <c r="AA11" s="627">
        <f>IF(AA10="","",IF(AA15=0,AA14+"0:30",+AA15+"0:30"))</f>
        <v>0.91666666666666674</v>
      </c>
      <c r="AB11" s="627">
        <f>IF(AB10="","",IF(AB15=0,AB14+"0:30",+AB15+"0:30"))</f>
        <v>0.91666666666666674</v>
      </c>
      <c r="AC11" s="627">
        <f>IF(AC10="","",IF(AC15=0,AC14+"0:30",+AC15+"0:30"))</f>
        <v>0.91666666666666674</v>
      </c>
      <c r="AD11" s="627">
        <f>IF(AD10="","",IF(AD15=0,AD14+"0:30",+AD15+"0:30"))</f>
        <v>0.91666666666666674</v>
      </c>
      <c r="AE11" s="627">
        <f>IF(AE10="","",IF(AE15=0,AE14+"0:30",+AE15+"0:30"))</f>
        <v>0.91666666666666674</v>
      </c>
      <c r="AF11" s="627">
        <f>IF(AF10="","",IF(AF15=0,AF14+"0:30",+AF15+"0:30"))</f>
        <v>0.91666666666666674</v>
      </c>
      <c r="AG11" s="180"/>
      <c r="AH11" s="626"/>
      <c r="BL11" s="172"/>
      <c r="BM11" s="172"/>
      <c r="BN11" s="172"/>
      <c r="BO11" s="172"/>
      <c r="BP11" s="172"/>
      <c r="BQ11" s="172"/>
      <c r="BR11" s="172"/>
      <c r="BS11" s="172"/>
      <c r="BT11" s="172"/>
      <c r="BU11" s="172"/>
      <c r="BV11" s="172"/>
      <c r="BW11" s="172"/>
      <c r="BX11" s="172"/>
      <c r="BY11" s="172"/>
      <c r="BZ11" s="172"/>
      <c r="CA11" s="172"/>
      <c r="CB11" s="172"/>
      <c r="CC11" s="172"/>
      <c r="CD11" s="172"/>
      <c r="CE11" s="172"/>
      <c r="CF11" s="172"/>
      <c r="CG11" s="172"/>
      <c r="CH11" s="172"/>
      <c r="CI11" s="172"/>
      <c r="CJ11" s="172"/>
      <c r="CK11" s="172"/>
      <c r="CL11" s="172"/>
      <c r="CM11" s="172"/>
      <c r="CN11" s="172"/>
      <c r="CO11" s="172"/>
      <c r="CP11" s="172"/>
      <c r="CQ11" s="172"/>
      <c r="CR11" s="172"/>
      <c r="CS11" s="172"/>
      <c r="CT11" s="172"/>
      <c r="CU11" s="172"/>
      <c r="CV11" s="172"/>
      <c r="CW11" s="172"/>
      <c r="CX11" s="172"/>
      <c r="CY11" s="172"/>
      <c r="CZ11" s="172"/>
      <c r="DA11" s="172"/>
      <c r="DB11" s="172"/>
      <c r="DC11" s="172"/>
      <c r="DD11" s="172"/>
      <c r="DE11" s="172"/>
      <c r="DF11" s="172"/>
      <c r="DG11" s="172"/>
      <c r="DH11" s="172"/>
      <c r="DI11" s="172"/>
      <c r="DJ11" s="172"/>
      <c r="DK11" s="172"/>
      <c r="DL11" s="172"/>
      <c r="DM11" s="172"/>
      <c r="DN11" s="172"/>
      <c r="DO11" s="172"/>
      <c r="DP11" s="172"/>
      <c r="DQ11" s="172"/>
      <c r="DR11" s="172"/>
      <c r="DS11" s="172"/>
      <c r="DT11" s="172"/>
      <c r="DU11" s="172"/>
      <c r="DV11" s="172"/>
      <c r="DW11" s="172"/>
      <c r="DX11" s="172"/>
      <c r="DY11" s="172"/>
      <c r="DZ11" s="172"/>
      <c r="EA11" s="172"/>
      <c r="EB11" s="172"/>
      <c r="EC11" s="172"/>
      <c r="ED11" s="172"/>
      <c r="EE11" s="172"/>
    </row>
    <row r="12" spans="1:135" s="506" customFormat="1" ht="20.100000000000001" customHeight="1" x14ac:dyDescent="0.4">
      <c r="A12" s="521" t="s">
        <v>7</v>
      </c>
      <c r="B12" s="623">
        <f>+IF(B10="","",(B11-B10))</f>
        <v>0.35416666666666669</v>
      </c>
      <c r="C12" s="623"/>
      <c r="D12" s="623" t="str">
        <f>+IF(D10="","",(D11-D10))</f>
        <v/>
      </c>
      <c r="E12" s="623" t="str">
        <f>+IF(E10="","",(E11-E10))</f>
        <v/>
      </c>
      <c r="F12" s="623" t="str">
        <f>+IF(F10="","",(F11-F10))</f>
        <v/>
      </c>
      <c r="G12" s="623" t="str">
        <f>+IF(G10="","",(G11-G10))</f>
        <v/>
      </c>
      <c r="H12" s="623">
        <f>+IF(H10="","",(H11-H10))</f>
        <v>0.45833333333333331</v>
      </c>
      <c r="I12" s="623">
        <f>+IF(I10="","",(I11-I10))</f>
        <v>0.35416666666666669</v>
      </c>
      <c r="J12" s="623" t="str">
        <f>+IF(J10="","",(J11-J10))</f>
        <v/>
      </c>
      <c r="K12" s="623" t="str">
        <f>+IF(K10="","",(K11-K10))</f>
        <v/>
      </c>
      <c r="L12" s="623" t="str">
        <f>+IF(L10="","",(L11-L10))</f>
        <v/>
      </c>
      <c r="M12" s="623" t="str">
        <f>+IF(M10="","",(M11-M10))</f>
        <v/>
      </c>
      <c r="N12" s="623" t="str">
        <f>+IF(N10="","",(N11-N10))</f>
        <v/>
      </c>
      <c r="O12" s="623">
        <f>+IF(O10="","",(O11-O10))</f>
        <v>0.45833333333333331</v>
      </c>
      <c r="P12" s="623">
        <f>+IF(P10="","",(P11-P10))</f>
        <v>0.35416666666666669</v>
      </c>
      <c r="Q12" s="623"/>
      <c r="R12" s="623"/>
      <c r="S12" s="623"/>
      <c r="T12" s="623"/>
      <c r="U12" s="623"/>
      <c r="V12" s="623">
        <f>+IF(V10="","",(V11-V10))</f>
        <v>0.53125</v>
      </c>
      <c r="W12" s="623">
        <f>+IF(W10="","",(W11-W10))</f>
        <v>0.53125</v>
      </c>
      <c r="X12" s="623">
        <f>+IF(X10="","",(X11-X10))</f>
        <v>0.53125</v>
      </c>
      <c r="Y12" s="623">
        <f>+IF(Y10="","",(Y11-Y10))</f>
        <v>0.40625000000000006</v>
      </c>
      <c r="Z12" s="623">
        <f>+IF(Z10="","",(Z11-Z10))</f>
        <v>0.53125</v>
      </c>
      <c r="AA12" s="623">
        <f>+IF(AA10="","",(AA11-AA10))</f>
        <v>0.53125</v>
      </c>
      <c r="AB12" s="623">
        <f>+IF(AB10="","",(AB11-AB10))</f>
        <v>0.53125</v>
      </c>
      <c r="AC12" s="623">
        <f>+IF(AC10="","",(AC11-AC10))</f>
        <v>0.53125</v>
      </c>
      <c r="AD12" s="623">
        <f>+IF(AD10="","",(AD11-AD10))</f>
        <v>0.53125</v>
      </c>
      <c r="AE12" s="623">
        <f>+IF(AE10="","",(AE11-AE10))</f>
        <v>0.53125</v>
      </c>
      <c r="AF12" s="623">
        <f>+IF(AF10="","",(AF11-AF10))</f>
        <v>0.53125</v>
      </c>
      <c r="AG12" s="558"/>
      <c r="AH12" s="624">
        <f>SUM(B12:AF12)</f>
        <v>7.697916666666667</v>
      </c>
    </row>
    <row r="13" spans="1:135" s="172" customFormat="1" ht="9.9" customHeight="1" x14ac:dyDescent="0.4">
      <c r="A13" s="166"/>
      <c r="B13" s="174"/>
      <c r="C13" s="175"/>
      <c r="D13" s="174"/>
      <c r="E13" s="174"/>
      <c r="F13" s="174"/>
      <c r="G13" s="174"/>
      <c r="H13" s="174"/>
      <c r="I13" s="174"/>
      <c r="J13" s="174"/>
      <c r="K13" s="174"/>
      <c r="L13" s="174"/>
      <c r="M13" s="174"/>
      <c r="N13" s="174"/>
      <c r="O13" s="174"/>
      <c r="P13" s="174"/>
      <c r="Q13" s="175"/>
      <c r="R13" s="175"/>
      <c r="S13" s="175"/>
      <c r="T13" s="175"/>
      <c r="U13" s="175"/>
      <c r="V13" s="174"/>
      <c r="W13" s="174"/>
      <c r="X13" s="174"/>
      <c r="Y13" s="174"/>
      <c r="Z13" s="174"/>
      <c r="AA13" s="174"/>
      <c r="AB13" s="174"/>
      <c r="AC13" s="174"/>
      <c r="AD13" s="174"/>
      <c r="AE13" s="174"/>
      <c r="AF13" s="175"/>
      <c r="AG13" s="180"/>
      <c r="AH13" s="174"/>
    </row>
    <row r="14" spans="1:135" s="171" customFormat="1" ht="23.25" customHeight="1" x14ac:dyDescent="0.25">
      <c r="A14" s="616" t="s">
        <v>8</v>
      </c>
      <c r="B14" s="176">
        <v>0.75</v>
      </c>
      <c r="C14" s="176"/>
      <c r="D14" s="176"/>
      <c r="E14" s="176"/>
      <c r="F14" s="176"/>
      <c r="G14" s="176"/>
      <c r="H14" s="176">
        <v>0.85416666666666663</v>
      </c>
      <c r="I14" s="176">
        <v>0.75</v>
      </c>
      <c r="J14" s="176"/>
      <c r="K14" s="176"/>
      <c r="L14" s="176"/>
      <c r="M14" s="176"/>
      <c r="N14" s="176"/>
      <c r="O14" s="176">
        <v>0.85416666666666663</v>
      </c>
      <c r="P14" s="176">
        <v>0.75</v>
      </c>
      <c r="Q14" s="176"/>
      <c r="R14" s="176"/>
      <c r="S14" s="176"/>
      <c r="T14" s="176"/>
      <c r="U14" s="176"/>
      <c r="V14" s="176">
        <v>0.89583333333333337</v>
      </c>
      <c r="W14" s="176">
        <v>0.89583333333333337</v>
      </c>
      <c r="X14" s="176">
        <v>0.89583333333333337</v>
      </c>
      <c r="Y14" s="176">
        <v>0.77083333333333337</v>
      </c>
      <c r="Z14" s="176">
        <v>0.89583333333333337</v>
      </c>
      <c r="AA14" s="176">
        <v>0.86458333333333337</v>
      </c>
      <c r="AB14" s="176">
        <v>0.86458333333333337</v>
      </c>
      <c r="AC14" s="176">
        <v>0.86458333333333337</v>
      </c>
      <c r="AD14" s="176">
        <v>0.86458333333333337</v>
      </c>
      <c r="AE14" s="176">
        <v>0.86458333333333337</v>
      </c>
      <c r="AF14" s="176">
        <v>0.79166666666666663</v>
      </c>
      <c r="AH14" s="176"/>
      <c r="BL14" s="172"/>
      <c r="BM14" s="172"/>
      <c r="BN14" s="172"/>
      <c r="BO14" s="172"/>
      <c r="BP14" s="172"/>
      <c r="BQ14" s="172"/>
      <c r="BR14" s="172"/>
      <c r="BS14" s="172"/>
      <c r="BT14" s="172"/>
      <c r="BU14" s="172"/>
      <c r="BV14" s="172"/>
      <c r="BW14" s="172"/>
      <c r="BX14" s="172"/>
      <c r="BY14" s="172"/>
      <c r="BZ14" s="172"/>
      <c r="CA14" s="172"/>
      <c r="CB14" s="172"/>
      <c r="CC14" s="172"/>
      <c r="CD14" s="172"/>
      <c r="CE14" s="172"/>
      <c r="CF14" s="172"/>
      <c r="CG14" s="172"/>
      <c r="CH14" s="172"/>
      <c r="CI14" s="172"/>
      <c r="CJ14" s="172"/>
      <c r="CK14" s="172"/>
      <c r="CL14" s="172"/>
      <c r="CM14" s="172"/>
      <c r="CN14" s="172"/>
      <c r="CO14" s="172"/>
      <c r="CP14" s="172"/>
      <c r="CQ14" s="172"/>
      <c r="CR14" s="172"/>
      <c r="CS14" s="172"/>
      <c r="CT14" s="172"/>
      <c r="CU14" s="172"/>
      <c r="CV14" s="172"/>
      <c r="CW14" s="172"/>
      <c r="CX14" s="172"/>
      <c r="CY14" s="172"/>
      <c r="CZ14" s="172"/>
      <c r="DA14" s="172"/>
      <c r="DB14" s="172"/>
      <c r="DC14" s="172"/>
      <c r="DD14" s="172"/>
      <c r="DE14" s="172"/>
      <c r="DF14" s="172"/>
      <c r="DG14" s="172"/>
      <c r="DH14" s="172"/>
      <c r="DI14" s="172"/>
      <c r="DJ14" s="172"/>
      <c r="DK14" s="172"/>
      <c r="DL14" s="172"/>
      <c r="DM14" s="172"/>
      <c r="DN14" s="172"/>
      <c r="DO14" s="172"/>
      <c r="DP14" s="172"/>
      <c r="DQ14" s="172"/>
      <c r="DR14" s="172"/>
      <c r="DS14" s="172"/>
      <c r="DT14" s="172"/>
      <c r="DU14" s="172"/>
      <c r="DV14" s="172"/>
      <c r="DW14" s="172"/>
      <c r="DX14" s="172"/>
      <c r="DY14" s="172"/>
      <c r="DZ14" s="172"/>
      <c r="EA14" s="172"/>
      <c r="EB14" s="172"/>
      <c r="EC14" s="172"/>
      <c r="ED14" s="172"/>
      <c r="EE14" s="172"/>
    </row>
    <row r="15" spans="1:135" s="171" customFormat="1" x14ac:dyDescent="0.4">
      <c r="A15" s="617" t="s">
        <v>9</v>
      </c>
      <c r="B15" s="575"/>
      <c r="C15" s="575"/>
      <c r="D15" s="575"/>
      <c r="E15" s="575"/>
      <c r="F15" s="575"/>
      <c r="G15" s="575"/>
      <c r="H15" s="575"/>
      <c r="I15" s="575"/>
      <c r="J15" s="575"/>
      <c r="K15" s="575"/>
      <c r="L15" s="575"/>
      <c r="M15" s="575"/>
      <c r="N15" s="575"/>
      <c r="O15" s="575"/>
      <c r="P15" s="575"/>
      <c r="Q15" s="575"/>
      <c r="R15" s="575"/>
      <c r="S15" s="575"/>
      <c r="T15" s="575"/>
      <c r="U15" s="575"/>
      <c r="V15" s="575"/>
      <c r="W15" s="575"/>
      <c r="X15" s="575"/>
      <c r="Y15" s="575"/>
      <c r="Z15" s="575"/>
      <c r="AA15" s="575">
        <v>0.89583333333333337</v>
      </c>
      <c r="AB15" s="575">
        <v>0.89583333333333337</v>
      </c>
      <c r="AC15" s="575">
        <v>0.89583333333333337</v>
      </c>
      <c r="AD15" s="575">
        <v>0.89583333333333337</v>
      </c>
      <c r="AE15" s="575">
        <v>0.89583333333333337</v>
      </c>
      <c r="AF15" s="575">
        <v>0.89583333333333337</v>
      </c>
      <c r="AG15" s="180"/>
      <c r="AH15" s="555"/>
      <c r="BL15" s="172"/>
      <c r="BM15" s="172"/>
      <c r="BN15" s="172"/>
      <c r="BO15" s="172"/>
      <c r="BP15" s="172"/>
      <c r="BQ15" s="172"/>
      <c r="BR15" s="172"/>
      <c r="BS15" s="172"/>
      <c r="BT15" s="172"/>
      <c r="BU15" s="172"/>
      <c r="BV15" s="172"/>
      <c r="BW15" s="172"/>
      <c r="BX15" s="172"/>
      <c r="BY15" s="172"/>
      <c r="BZ15" s="172"/>
      <c r="CA15" s="172"/>
      <c r="CB15" s="172"/>
      <c r="CC15" s="172"/>
      <c r="CD15" s="172"/>
      <c r="CE15" s="172"/>
      <c r="CF15" s="172"/>
      <c r="CG15" s="172"/>
      <c r="CH15" s="172"/>
      <c r="CI15" s="172"/>
      <c r="CJ15" s="172"/>
      <c r="CK15" s="172"/>
      <c r="CL15" s="172"/>
      <c r="CM15" s="172"/>
      <c r="CN15" s="172"/>
      <c r="CO15" s="172"/>
      <c r="CP15" s="172"/>
      <c r="CQ15" s="172"/>
      <c r="CR15" s="172"/>
      <c r="CS15" s="172"/>
      <c r="CT15" s="172"/>
      <c r="CU15" s="172"/>
      <c r="CV15" s="172"/>
      <c r="CW15" s="172"/>
      <c r="CX15" s="172"/>
      <c r="CY15" s="172"/>
      <c r="CZ15" s="172"/>
      <c r="DA15" s="172"/>
      <c r="DB15" s="172"/>
      <c r="DC15" s="172"/>
      <c r="DD15" s="172"/>
      <c r="DE15" s="172"/>
      <c r="DF15" s="172"/>
      <c r="DG15" s="172"/>
      <c r="DH15" s="172"/>
      <c r="DI15" s="172"/>
      <c r="DJ15" s="172"/>
      <c r="DK15" s="172"/>
      <c r="DL15" s="172"/>
      <c r="DM15" s="172"/>
      <c r="DN15" s="172"/>
      <c r="DO15" s="172"/>
      <c r="DP15" s="172"/>
      <c r="DQ15" s="172"/>
      <c r="DR15" s="172"/>
      <c r="DS15" s="172"/>
      <c r="DT15" s="172"/>
      <c r="DU15" s="172"/>
      <c r="DV15" s="172"/>
      <c r="DW15" s="172"/>
      <c r="DX15" s="172"/>
      <c r="DY15" s="172"/>
      <c r="DZ15" s="172"/>
      <c r="EA15" s="172"/>
      <c r="EB15" s="172"/>
      <c r="EC15" s="172"/>
      <c r="ED15" s="172"/>
      <c r="EE15" s="172"/>
    </row>
    <row r="16" spans="1:135" s="163" customFormat="1" outlineLevel="1" x14ac:dyDescent="0.25">
      <c r="A16" s="519" t="s">
        <v>19</v>
      </c>
      <c r="B16" s="167"/>
      <c r="C16" s="167"/>
      <c r="D16" s="178"/>
      <c r="E16" s="178"/>
      <c r="F16" s="167"/>
      <c r="G16" s="167"/>
      <c r="H16" s="575">
        <v>0.91666666666666663</v>
      </c>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2"/>
      <c r="AH16" s="167"/>
      <c r="BL16" s="164"/>
      <c r="BM16" s="164"/>
      <c r="BN16" s="164"/>
      <c r="BO16" s="164"/>
      <c r="BP16" s="164"/>
      <c r="BQ16" s="164"/>
      <c r="BR16" s="164"/>
      <c r="BS16" s="164"/>
      <c r="BT16" s="164"/>
      <c r="BU16" s="164"/>
      <c r="BV16" s="164"/>
      <c r="BW16" s="164"/>
      <c r="BX16" s="164"/>
      <c r="BY16" s="164"/>
      <c r="BZ16" s="164"/>
      <c r="CA16" s="164"/>
      <c r="CB16" s="164"/>
      <c r="CC16" s="164"/>
      <c r="CD16" s="164"/>
      <c r="CE16" s="164"/>
      <c r="CF16" s="164"/>
      <c r="CG16" s="164"/>
      <c r="CH16" s="164"/>
      <c r="CI16" s="164"/>
      <c r="CJ16" s="164"/>
      <c r="CK16" s="164"/>
      <c r="CL16" s="164"/>
      <c r="CM16" s="164"/>
      <c r="CN16" s="164"/>
      <c r="CO16" s="164"/>
      <c r="CP16" s="164"/>
      <c r="CQ16" s="164"/>
      <c r="CR16" s="164"/>
      <c r="CS16" s="164"/>
      <c r="CT16" s="164"/>
      <c r="CU16" s="164"/>
      <c r="CV16" s="164"/>
      <c r="CW16" s="164"/>
      <c r="CX16" s="164"/>
      <c r="CY16" s="164"/>
      <c r="CZ16" s="164"/>
      <c r="DA16" s="164"/>
      <c r="DB16" s="164"/>
      <c r="DC16" s="164"/>
      <c r="DD16" s="164"/>
      <c r="DE16" s="164"/>
      <c r="DF16" s="164"/>
      <c r="DG16" s="164"/>
      <c r="DH16" s="164"/>
      <c r="DI16" s="164"/>
      <c r="DJ16" s="164"/>
      <c r="DK16" s="164"/>
      <c r="DL16" s="164"/>
      <c r="DM16" s="164"/>
      <c r="DN16" s="164"/>
      <c r="DO16" s="164"/>
      <c r="DP16" s="164"/>
      <c r="DQ16" s="164"/>
      <c r="DR16" s="164"/>
      <c r="DS16" s="164"/>
      <c r="DT16" s="164"/>
      <c r="DU16" s="164"/>
      <c r="DV16" s="164"/>
      <c r="DW16" s="164"/>
      <c r="DX16" s="164"/>
      <c r="DY16" s="164"/>
      <c r="DZ16" s="164"/>
      <c r="EA16" s="164"/>
      <c r="EB16" s="164"/>
      <c r="EC16" s="164"/>
      <c r="ED16" s="164"/>
      <c r="EE16" s="164"/>
    </row>
    <row r="17" spans="1:135" s="180" customFormat="1" ht="16.2" outlineLevel="1" x14ac:dyDescent="0.4">
      <c r="A17" s="519" t="s">
        <v>10</v>
      </c>
      <c r="B17" s="179">
        <f>COUNTIF(B14,"&gt;0")</f>
        <v>1</v>
      </c>
      <c r="C17" s="179">
        <f>COUNTIF(C14,"&gt;0")</f>
        <v>0</v>
      </c>
      <c r="D17" s="179">
        <f>COUNTIF(D14,"&gt;0")</f>
        <v>0</v>
      </c>
      <c r="E17" s="179">
        <f>COUNTIF(E14,"&gt;0")</f>
        <v>0</v>
      </c>
      <c r="F17" s="179">
        <f>COUNTIF(F14,"&gt;0")</f>
        <v>0</v>
      </c>
      <c r="G17" s="179">
        <f>COUNTIF(G14,"&gt;0")</f>
        <v>0</v>
      </c>
      <c r="H17" s="179">
        <f>COUNTIF(H14,"&gt;0")</f>
        <v>1</v>
      </c>
      <c r="I17" s="179">
        <f>COUNTIF(I14,"&gt;0")</f>
        <v>1</v>
      </c>
      <c r="J17" s="179">
        <f>COUNTIF(J14,"&gt;0")</f>
        <v>0</v>
      </c>
      <c r="K17" s="179">
        <f>COUNTIF(K14,"&gt;0")</f>
        <v>0</v>
      </c>
      <c r="L17" s="179">
        <f>COUNTIF(L14,"&gt;0")</f>
        <v>0</v>
      </c>
      <c r="M17" s="179">
        <f>COUNTIF(M14,"&gt;0")</f>
        <v>0</v>
      </c>
      <c r="N17" s="179">
        <f>COUNTIF(N14,"&gt;0")</f>
        <v>0</v>
      </c>
      <c r="O17" s="179">
        <f>COUNTIF(O14,"&gt;0")</f>
        <v>1</v>
      </c>
      <c r="P17" s="179">
        <f>COUNTIF(P14,"&gt;0")</f>
        <v>1</v>
      </c>
      <c r="Q17" s="179">
        <f>COUNTIF(Q14,"&gt;0")</f>
        <v>0</v>
      </c>
      <c r="R17" s="179">
        <f>COUNTIF(R14,"&gt;0")</f>
        <v>0</v>
      </c>
      <c r="S17" s="179">
        <f>COUNTIF(S14,"&gt;0")</f>
        <v>0</v>
      </c>
      <c r="T17" s="179">
        <f>COUNTIF(T14,"&gt;0")</f>
        <v>0</v>
      </c>
      <c r="U17" s="179">
        <f>COUNTIF(U14,"&gt;0")</f>
        <v>0</v>
      </c>
      <c r="V17" s="179">
        <f>COUNTIF(V14,"&gt;0")</f>
        <v>1</v>
      </c>
      <c r="W17" s="179">
        <f>COUNTIF(W14,"&gt;0")</f>
        <v>1</v>
      </c>
      <c r="X17" s="179">
        <f>COUNTIF(X14,"&gt;0")</f>
        <v>1</v>
      </c>
      <c r="Y17" s="179">
        <f>COUNTIF(Y14,"&gt;0")</f>
        <v>1</v>
      </c>
      <c r="Z17" s="179">
        <f>COUNTIF(Z14,"&gt;0")</f>
        <v>1</v>
      </c>
      <c r="AA17" s="179">
        <f>COUNTIF(AA14,"&gt;0")</f>
        <v>1</v>
      </c>
      <c r="AB17" s="179">
        <f>COUNTIF(AB14,"&gt;0")</f>
        <v>1</v>
      </c>
      <c r="AC17" s="179">
        <f>COUNTIF(AC14,"&gt;0")</f>
        <v>1</v>
      </c>
      <c r="AD17" s="179">
        <f>COUNTIF(AD14,"&gt;0")</f>
        <v>1</v>
      </c>
      <c r="AE17" s="179">
        <f>COUNTIF(AE14,"&gt;0")</f>
        <v>1</v>
      </c>
      <c r="AF17" s="179">
        <f>COUNTIF(AF14,"&gt;0")</f>
        <v>1</v>
      </c>
      <c r="AG17" s="171"/>
      <c r="AH17" s="163"/>
    </row>
    <row r="18" spans="1:135" s="180" customFormat="1" ht="16.2" outlineLevel="1" x14ac:dyDescent="0.4">
      <c r="A18" s="519" t="s">
        <v>11</v>
      </c>
      <c r="B18" s="179">
        <f>COUNTIF(B15,"&gt;0")</f>
        <v>0</v>
      </c>
      <c r="C18" s="179">
        <f>COUNTIF(C15,"&gt;0")</f>
        <v>0</v>
      </c>
      <c r="D18" s="179">
        <f>COUNTIF(D15,"&gt;0")</f>
        <v>0</v>
      </c>
      <c r="E18" s="179">
        <f>COUNTIF(E15,"&gt;0")</f>
        <v>0</v>
      </c>
      <c r="F18" s="179">
        <f>COUNTIF(F15,"&gt;0")</f>
        <v>0</v>
      </c>
      <c r="G18" s="179">
        <f>COUNTIF(G15,"&gt;0")</f>
        <v>0</v>
      </c>
      <c r="H18" s="179">
        <f>COUNTIF(H15,"&gt;0")</f>
        <v>0</v>
      </c>
      <c r="I18" s="179">
        <f>COUNTIF(I15,"&gt;0")</f>
        <v>0</v>
      </c>
      <c r="J18" s="179">
        <f>COUNTIF(J15,"&gt;0")</f>
        <v>0</v>
      </c>
      <c r="K18" s="179">
        <f>COUNTIF(K15,"&gt;0")</f>
        <v>0</v>
      </c>
      <c r="L18" s="179">
        <f>COUNTIF(L15,"&gt;0")</f>
        <v>0</v>
      </c>
      <c r="M18" s="179">
        <f>COUNTIF(M15,"&gt;0")</f>
        <v>0</v>
      </c>
      <c r="N18" s="179">
        <f>COUNTIF(N15,"&gt;0")</f>
        <v>0</v>
      </c>
      <c r="O18" s="179">
        <f>COUNTIF(O15,"&gt;0")</f>
        <v>0</v>
      </c>
      <c r="P18" s="179">
        <f>COUNTIF(P15,"&gt;0")</f>
        <v>0</v>
      </c>
      <c r="Q18" s="179">
        <f>COUNTIF(Q15,"&gt;0")</f>
        <v>0</v>
      </c>
      <c r="R18" s="179">
        <f>COUNTIF(R15,"&gt;0")</f>
        <v>0</v>
      </c>
      <c r="S18" s="179">
        <f>COUNTIF(S15,"&gt;0")</f>
        <v>0</v>
      </c>
      <c r="T18" s="179">
        <f>COUNTIF(T15,"&gt;0")</f>
        <v>0</v>
      </c>
      <c r="U18" s="179">
        <f>COUNTIF(U15,"&gt;0")</f>
        <v>0</v>
      </c>
      <c r="V18" s="179">
        <f>COUNTIF(V15,"&gt;0")</f>
        <v>0</v>
      </c>
      <c r="W18" s="179">
        <f>COUNTIF(W15,"&gt;0")</f>
        <v>0</v>
      </c>
      <c r="X18" s="179">
        <f>COUNTIF(X15,"&gt;0")</f>
        <v>0</v>
      </c>
      <c r="Y18" s="179">
        <f>COUNTIF(Y15,"&gt;0")</f>
        <v>0</v>
      </c>
      <c r="Z18" s="179">
        <f>COUNTIF(Z15,"&gt;0")</f>
        <v>0</v>
      </c>
      <c r="AA18" s="179">
        <f>COUNTIF(AA15,"&gt;0")</f>
        <v>1</v>
      </c>
      <c r="AB18" s="179">
        <f>COUNTIF(AB15,"&gt;0")</f>
        <v>1</v>
      </c>
      <c r="AC18" s="179">
        <f>COUNTIF(AC15,"&gt;0")</f>
        <v>1</v>
      </c>
      <c r="AD18" s="179">
        <f>COUNTIF(AD15,"&gt;0")</f>
        <v>1</v>
      </c>
      <c r="AE18" s="179">
        <f>COUNTIF(AE15,"&gt;0")</f>
        <v>1</v>
      </c>
      <c r="AF18" s="179">
        <f>COUNTIF(AF15,"&gt;0")</f>
        <v>1</v>
      </c>
      <c r="AG18" s="171"/>
      <c r="AH18" s="163"/>
    </row>
    <row r="19" spans="1:135" s="180" customFormat="1" outlineLevel="1" thickBot="1" x14ac:dyDescent="0.45">
      <c r="A19" s="519" t="s">
        <v>20</v>
      </c>
      <c r="B19" s="179">
        <f>COUNTIF(B16,"&gt;0")</f>
        <v>0</v>
      </c>
      <c r="C19" s="179">
        <f>COUNTIF(C16,"&gt;0")</f>
        <v>0</v>
      </c>
      <c r="D19" s="179">
        <f>COUNTIF(D16,"&gt;0")</f>
        <v>0</v>
      </c>
      <c r="E19" s="179">
        <f>COUNTIF(E16,"&gt;0")</f>
        <v>0</v>
      </c>
      <c r="F19" s="179">
        <f>COUNTIF(F16,"&gt;0")</f>
        <v>0</v>
      </c>
      <c r="G19" s="179">
        <f>COUNTIF(G16,"&gt;0")</f>
        <v>0</v>
      </c>
      <c r="H19" s="179">
        <f>COUNTIF(H16,"&gt;0")</f>
        <v>1</v>
      </c>
      <c r="I19" s="179">
        <f>COUNTIF(I16,"&gt;0")</f>
        <v>0</v>
      </c>
      <c r="J19" s="179">
        <f>COUNTIF(J16,"&gt;0")</f>
        <v>0</v>
      </c>
      <c r="K19" s="179">
        <f>COUNTIF(K16,"&gt;0")</f>
        <v>0</v>
      </c>
      <c r="L19" s="179">
        <f>COUNTIF(L16,"&gt;0")</f>
        <v>0</v>
      </c>
      <c r="M19" s="179">
        <f>COUNTIF(M16,"&gt;0")</f>
        <v>0</v>
      </c>
      <c r="N19" s="179">
        <f>COUNTIF(N16,"&gt;0")</f>
        <v>0</v>
      </c>
      <c r="O19" s="179">
        <f>COUNTIF(O16,"&gt;0")</f>
        <v>0</v>
      </c>
      <c r="P19" s="179">
        <f>COUNTIF(P16,"&gt;0")</f>
        <v>0</v>
      </c>
      <c r="Q19" s="179">
        <f>COUNTIF(Q16,"&gt;0")</f>
        <v>0</v>
      </c>
      <c r="R19" s="179">
        <f>COUNTIF(R16,"&gt;0")</f>
        <v>0</v>
      </c>
      <c r="S19" s="179">
        <f>COUNTIF(S16,"&gt;0")</f>
        <v>0</v>
      </c>
      <c r="T19" s="179">
        <f>COUNTIF(T16,"&gt;0")</f>
        <v>0</v>
      </c>
      <c r="U19" s="179">
        <f>COUNTIF(U16,"&gt;0")</f>
        <v>0</v>
      </c>
      <c r="V19" s="179">
        <f>COUNTIF(V16,"&gt;0")</f>
        <v>0</v>
      </c>
      <c r="W19" s="179">
        <f>COUNTIF(W16,"&gt;0")</f>
        <v>0</v>
      </c>
      <c r="X19" s="179">
        <f>COUNTIF(X16,"&gt;0")</f>
        <v>0</v>
      </c>
      <c r="Y19" s="179">
        <f>COUNTIF(Y16,"&gt;0")</f>
        <v>0</v>
      </c>
      <c r="Z19" s="179">
        <f>COUNTIF(Z16,"&gt;0")</f>
        <v>0</v>
      </c>
      <c r="AA19" s="179">
        <f>COUNTIF(AA16,"&gt;0")</f>
        <v>0</v>
      </c>
      <c r="AB19" s="179">
        <f>COUNTIF(AB16,"&gt;0")</f>
        <v>0</v>
      </c>
      <c r="AC19" s="179">
        <f>COUNTIF(AC16,"&gt;0")</f>
        <v>0</v>
      </c>
      <c r="AD19" s="179">
        <f>COUNTIF(AD16,"&gt;0")</f>
        <v>0</v>
      </c>
      <c r="AE19" s="179">
        <f>COUNTIF(AE16,"&gt;0")</f>
        <v>0</v>
      </c>
      <c r="AF19" s="179">
        <f>COUNTIF(AF16,"&gt;0")</f>
        <v>0</v>
      </c>
      <c r="AG19" s="171"/>
      <c r="AH19" s="163"/>
    </row>
    <row r="20" spans="1:135" s="163" customFormat="1" ht="17.399999999999999" thickBot="1" x14ac:dyDescent="0.3">
      <c r="A20" s="616" t="s">
        <v>12</v>
      </c>
      <c r="B20" s="618">
        <f>IF(B14="","",SUM(B17:B19))</f>
        <v>1</v>
      </c>
      <c r="C20" s="618" t="str">
        <f>IF(C14="","",SUM(C17:C19))</f>
        <v/>
      </c>
      <c r="D20" s="618" t="str">
        <f>IF(D14="","",SUM(D17:D19))</f>
        <v/>
      </c>
      <c r="E20" s="618" t="str">
        <f>IF(E14="","",SUM(E17:E19))</f>
        <v/>
      </c>
      <c r="F20" s="618" t="str">
        <f>IF(F14="","",SUM(F17:F19))</f>
        <v/>
      </c>
      <c r="G20" s="618" t="str">
        <f>IF(G14="","",SUM(G17:G19))</f>
        <v/>
      </c>
      <c r="H20" s="618">
        <f>IF(H14="","",SUM(H17:H19))</f>
        <v>2</v>
      </c>
      <c r="I20" s="618">
        <f>IF(I14="","",SUM(I17:I19))</f>
        <v>1</v>
      </c>
      <c r="J20" s="618" t="str">
        <f>IF(J14="","",SUM(J17:J19))</f>
        <v/>
      </c>
      <c r="K20" s="618" t="str">
        <f>IF(K14="","",SUM(K17:K19))</f>
        <v/>
      </c>
      <c r="L20" s="618" t="str">
        <f>IF(L14="","",SUM(L17:L19))</f>
        <v/>
      </c>
      <c r="M20" s="618" t="str">
        <f>IF(M14="","",SUM(M17:M19))</f>
        <v/>
      </c>
      <c r="N20" s="618" t="str">
        <f>IF(N14="","",SUM(N17:N19))</f>
        <v/>
      </c>
      <c r="O20" s="618">
        <f>IF(O14="","",SUM(O17:O19))</f>
        <v>1</v>
      </c>
      <c r="P20" s="618">
        <f>IF(P14="","",SUM(P17:P19))</f>
        <v>1</v>
      </c>
      <c r="Q20" s="618" t="str">
        <f>IF(Q14="","",SUM(Q17:Q19))</f>
        <v/>
      </c>
      <c r="R20" s="618" t="str">
        <f>IF(R14="","",SUM(R17:R19))</f>
        <v/>
      </c>
      <c r="S20" s="618" t="str">
        <f>IF(S14="","",SUM(S17:S19))</f>
        <v/>
      </c>
      <c r="T20" s="618" t="str">
        <f>IF(T14="","",SUM(T17:T19))</f>
        <v/>
      </c>
      <c r="U20" s="618" t="str">
        <f>IF(U14="","",SUM(U17:U19))</f>
        <v/>
      </c>
      <c r="V20" s="618">
        <f>IF(V14="","",SUM(V17:V19))</f>
        <v>1</v>
      </c>
      <c r="W20" s="618">
        <f>IF(W14="","",SUM(W17:W19))</f>
        <v>1</v>
      </c>
      <c r="X20" s="618">
        <f>IF(X14="","",SUM(X17:X19))</f>
        <v>1</v>
      </c>
      <c r="Y20" s="618">
        <f>IF(Y14="","",SUM(Y17:Y19))</f>
        <v>1</v>
      </c>
      <c r="Z20" s="618">
        <f>IF(Z14="","",SUM(Z17:Z19))</f>
        <v>1</v>
      </c>
      <c r="AA20" s="618">
        <f>IF(AA14="","",SUM(AA17:AA19))</f>
        <v>2</v>
      </c>
      <c r="AB20" s="618">
        <f>IF(AB14="","",SUM(AB17:AB19))</f>
        <v>2</v>
      </c>
      <c r="AC20" s="618">
        <f>IF(AC14="","",SUM(AC17:AC19))</f>
        <v>2</v>
      </c>
      <c r="AD20" s="618">
        <f>IF(AD14="","",SUM(AD17:AD19))</f>
        <v>2</v>
      </c>
      <c r="AE20" s="618">
        <f>IF(AE14="","",SUM(AE17:AE19))</f>
        <v>2</v>
      </c>
      <c r="AF20" s="618">
        <f>IF(AF14="","",SUM(AF17:AF19))</f>
        <v>2</v>
      </c>
      <c r="AG20" s="162"/>
      <c r="AH20" s="619">
        <f>SUM(B20:AF20)</f>
        <v>23</v>
      </c>
      <c r="BL20" s="164"/>
      <c r="BM20" s="164"/>
      <c r="BN20" s="164"/>
      <c r="BO20" s="164"/>
      <c r="BP20" s="164"/>
      <c r="BQ20" s="164"/>
      <c r="BR20" s="164"/>
      <c r="BS20" s="164"/>
      <c r="BT20" s="164"/>
      <c r="BU20" s="164"/>
      <c r="BV20" s="164"/>
      <c r="BW20" s="164"/>
      <c r="BX20" s="164"/>
      <c r="BY20" s="164"/>
      <c r="BZ20" s="164"/>
      <c r="CA20" s="164"/>
      <c r="CB20" s="164"/>
      <c r="CC20" s="164"/>
      <c r="CD20" s="164"/>
      <c r="CE20" s="164"/>
      <c r="CF20" s="164"/>
      <c r="CG20" s="164"/>
      <c r="CH20" s="164"/>
      <c r="CI20" s="164"/>
      <c r="CJ20" s="164"/>
      <c r="CK20" s="164"/>
      <c r="CL20" s="164"/>
      <c r="CM20" s="164"/>
      <c r="CN20" s="164"/>
      <c r="CO20" s="164"/>
      <c r="CP20" s="164"/>
      <c r="CQ20" s="164"/>
      <c r="CR20" s="164"/>
      <c r="CS20" s="164"/>
      <c r="CT20" s="164"/>
      <c r="CU20" s="164"/>
      <c r="CV20" s="164"/>
      <c r="CW20" s="164"/>
      <c r="CX20" s="164"/>
      <c r="CY20" s="164"/>
      <c r="CZ20" s="164"/>
      <c r="DA20" s="164"/>
      <c r="DB20" s="164"/>
      <c r="DC20" s="164"/>
      <c r="DD20" s="164"/>
      <c r="DE20" s="164"/>
      <c r="DF20" s="164"/>
      <c r="DG20" s="164"/>
      <c r="DH20" s="164"/>
      <c r="DI20" s="164"/>
      <c r="DJ20" s="164"/>
      <c r="DK20" s="164"/>
      <c r="DL20" s="164"/>
      <c r="DM20" s="164"/>
      <c r="DN20" s="164"/>
      <c r="DO20" s="164"/>
      <c r="DP20" s="164"/>
      <c r="DQ20" s="164"/>
      <c r="DR20" s="164"/>
      <c r="DS20" s="164"/>
      <c r="DT20" s="164"/>
      <c r="DU20" s="164"/>
      <c r="DV20" s="164"/>
      <c r="DW20" s="164"/>
      <c r="DX20" s="164"/>
      <c r="DY20" s="164"/>
      <c r="DZ20" s="164"/>
      <c r="EA20" s="164"/>
      <c r="EB20" s="164"/>
      <c r="EC20" s="164"/>
      <c r="ED20" s="164"/>
      <c r="EE20" s="164"/>
    </row>
    <row r="21" spans="1:135" s="32" customFormat="1" ht="9.9" customHeight="1" x14ac:dyDescent="0.25">
      <c r="A21" s="28"/>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0"/>
      <c r="AH21" s="34"/>
    </row>
    <row r="22" spans="1:135" s="1" customFormat="1" ht="33.9" customHeight="1" x14ac:dyDescent="0.25">
      <c r="A22" s="588" t="s">
        <v>21</v>
      </c>
      <c r="B22" s="589">
        <v>600</v>
      </c>
      <c r="C22" s="589">
        <v>0</v>
      </c>
      <c r="D22" s="589">
        <v>0</v>
      </c>
      <c r="E22" s="589">
        <v>0</v>
      </c>
      <c r="F22" s="589">
        <v>0</v>
      </c>
      <c r="G22" s="589">
        <v>0</v>
      </c>
      <c r="H22" s="589">
        <v>1200</v>
      </c>
      <c r="I22" s="589">
        <v>800</v>
      </c>
      <c r="J22" s="589">
        <v>0</v>
      </c>
      <c r="K22" s="589">
        <v>0</v>
      </c>
      <c r="L22" s="589">
        <v>0</v>
      </c>
      <c r="M22" s="589">
        <v>0</v>
      </c>
      <c r="N22" s="589">
        <v>0</v>
      </c>
      <c r="O22" s="589">
        <v>1000</v>
      </c>
      <c r="P22" s="589">
        <v>800</v>
      </c>
      <c r="Q22" s="589">
        <v>0</v>
      </c>
      <c r="R22" s="589">
        <v>0</v>
      </c>
      <c r="S22" s="589">
        <v>0</v>
      </c>
      <c r="T22" s="589">
        <v>0</v>
      </c>
      <c r="U22" s="589">
        <v>0</v>
      </c>
      <c r="V22" s="589">
        <v>800</v>
      </c>
      <c r="W22" s="589">
        <v>1200</v>
      </c>
      <c r="X22" s="589">
        <v>1200</v>
      </c>
      <c r="Y22" s="589">
        <v>1000</v>
      </c>
      <c r="Z22" s="589">
        <v>1100</v>
      </c>
      <c r="AA22" s="589">
        <v>1700</v>
      </c>
      <c r="AB22" s="589">
        <v>2400</v>
      </c>
      <c r="AC22" s="589">
        <v>2500</v>
      </c>
      <c r="AD22" s="589">
        <v>2200</v>
      </c>
      <c r="AE22" s="589">
        <v>2300</v>
      </c>
      <c r="AF22" s="589">
        <v>2000</v>
      </c>
      <c r="AG22" s="526"/>
      <c r="AH22" s="594">
        <f>SUM(B22:AG22)</f>
        <v>22800</v>
      </c>
      <c r="AI22" s="1">
        <v>3222</v>
      </c>
      <c r="AJ22" s="1">
        <v>1988</v>
      </c>
      <c r="AK22" s="1">
        <v>1735</v>
      </c>
      <c r="AL22" s="1">
        <v>1533</v>
      </c>
      <c r="AM22" s="1">
        <v>1506.5691428571429</v>
      </c>
    </row>
    <row r="23" spans="1:135" s="1" customFormat="1" ht="33" customHeight="1" x14ac:dyDescent="0.25">
      <c r="A23" s="590" t="s">
        <v>22</v>
      </c>
      <c r="B23" s="591">
        <v>1100</v>
      </c>
      <c r="C23" s="591">
        <v>0</v>
      </c>
      <c r="D23" s="591">
        <v>0</v>
      </c>
      <c r="E23" s="591">
        <v>0</v>
      </c>
      <c r="F23" s="591">
        <v>0</v>
      </c>
      <c r="G23" s="591">
        <v>0</v>
      </c>
      <c r="H23" s="591">
        <v>5400</v>
      </c>
      <c r="I23" s="591">
        <v>1600</v>
      </c>
      <c r="J23" s="591">
        <v>0</v>
      </c>
      <c r="K23" s="591">
        <v>0</v>
      </c>
      <c r="L23" s="591">
        <v>0</v>
      </c>
      <c r="M23" s="591">
        <v>0</v>
      </c>
      <c r="N23" s="591">
        <v>0</v>
      </c>
      <c r="O23" s="591">
        <v>2600</v>
      </c>
      <c r="P23" s="591">
        <v>1700</v>
      </c>
      <c r="Q23" s="591">
        <v>0</v>
      </c>
      <c r="R23" s="591">
        <v>0</v>
      </c>
      <c r="S23" s="591">
        <v>0</v>
      </c>
      <c r="T23" s="591">
        <v>0</v>
      </c>
      <c r="U23" s="591">
        <v>0</v>
      </c>
      <c r="V23" s="591">
        <v>3400</v>
      </c>
      <c r="W23" s="591">
        <v>5200</v>
      </c>
      <c r="X23" s="591">
        <v>4900</v>
      </c>
      <c r="Y23" s="591">
        <v>4400</v>
      </c>
      <c r="Z23" s="591">
        <v>4800</v>
      </c>
      <c r="AA23" s="591">
        <v>5700</v>
      </c>
      <c r="AB23" s="591">
        <v>8200</v>
      </c>
      <c r="AC23" s="591">
        <v>8300</v>
      </c>
      <c r="AD23" s="591">
        <v>7800</v>
      </c>
      <c r="AE23" s="591">
        <v>7400</v>
      </c>
      <c r="AF23" s="591">
        <v>8200</v>
      </c>
      <c r="AG23" s="526"/>
      <c r="AH23" s="595">
        <f>SUM(B23:AG23)</f>
        <v>80700</v>
      </c>
      <c r="AI23" s="1">
        <v>6310.84</v>
      </c>
      <c r="AJ23" s="1">
        <v>5361.2685714285708</v>
      </c>
      <c r="AK23" s="1">
        <v>5746.1</v>
      </c>
      <c r="AL23" s="1">
        <v>4515.7857142857147</v>
      </c>
      <c r="AM23" s="1">
        <v>5468.2879999999996</v>
      </c>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row>
    <row r="24" spans="1:135" s="514" customFormat="1" ht="33.9" customHeight="1" x14ac:dyDescent="0.25">
      <c r="A24" s="592" t="s">
        <v>29</v>
      </c>
      <c r="B24" s="593">
        <v>1700</v>
      </c>
      <c r="C24" s="593">
        <v>0</v>
      </c>
      <c r="D24" s="593">
        <v>0</v>
      </c>
      <c r="E24" s="593">
        <v>0</v>
      </c>
      <c r="F24" s="593">
        <v>0</v>
      </c>
      <c r="G24" s="593">
        <v>0</v>
      </c>
      <c r="H24" s="593">
        <v>6600</v>
      </c>
      <c r="I24" s="593">
        <v>2400</v>
      </c>
      <c r="J24" s="593">
        <v>0</v>
      </c>
      <c r="K24" s="593">
        <v>0</v>
      </c>
      <c r="L24" s="593">
        <v>0</v>
      </c>
      <c r="M24" s="593">
        <v>0</v>
      </c>
      <c r="N24" s="593">
        <v>0</v>
      </c>
      <c r="O24" s="593">
        <v>3600</v>
      </c>
      <c r="P24" s="593">
        <v>2500</v>
      </c>
      <c r="Q24" s="593">
        <v>0</v>
      </c>
      <c r="R24" s="593">
        <v>0</v>
      </c>
      <c r="S24" s="593">
        <v>0</v>
      </c>
      <c r="T24" s="593">
        <v>0</v>
      </c>
      <c r="U24" s="593">
        <v>0</v>
      </c>
      <c r="V24" s="593">
        <v>4200</v>
      </c>
      <c r="W24" s="593">
        <v>6400</v>
      </c>
      <c r="X24" s="593">
        <v>6100</v>
      </c>
      <c r="Y24" s="593">
        <v>5400</v>
      </c>
      <c r="Z24" s="593">
        <v>5900</v>
      </c>
      <c r="AA24" s="593">
        <v>7400</v>
      </c>
      <c r="AB24" s="593">
        <v>10600</v>
      </c>
      <c r="AC24" s="593">
        <v>10800</v>
      </c>
      <c r="AD24" s="593">
        <v>10000</v>
      </c>
      <c r="AE24" s="593">
        <v>9700</v>
      </c>
      <c r="AF24" s="593">
        <v>10200</v>
      </c>
      <c r="AG24" s="518"/>
      <c r="AH24" s="596">
        <f>SUM(B24:AG24)</f>
        <v>103500</v>
      </c>
      <c r="AI24" s="514">
        <v>9532.84</v>
      </c>
      <c r="AJ24" s="514">
        <v>7349.2685714285708</v>
      </c>
      <c r="AK24" s="514">
        <v>7481.1</v>
      </c>
      <c r="AL24" s="514">
        <v>6048.7857142857147</v>
      </c>
      <c r="AM24" s="514">
        <v>6974.8571428571422</v>
      </c>
    </row>
    <row r="25" spans="1:135" s="1" customFormat="1" ht="33.9" customHeight="1" x14ac:dyDescent="0.25">
      <c r="A25" s="588" t="s">
        <v>43</v>
      </c>
      <c r="B25" s="589">
        <v>4900</v>
      </c>
      <c r="C25" s="589">
        <v>0</v>
      </c>
      <c r="D25" s="589">
        <v>0</v>
      </c>
      <c r="E25" s="589">
        <v>0</v>
      </c>
      <c r="F25" s="589">
        <v>0</v>
      </c>
      <c r="G25" s="589">
        <v>0</v>
      </c>
      <c r="H25" s="589">
        <v>2850</v>
      </c>
      <c r="I25" s="589">
        <v>2800</v>
      </c>
      <c r="J25" s="589">
        <v>0</v>
      </c>
      <c r="K25" s="589">
        <v>0</v>
      </c>
      <c r="L25" s="589">
        <v>0</v>
      </c>
      <c r="M25" s="589">
        <v>0</v>
      </c>
      <c r="N25" s="589">
        <v>0</v>
      </c>
      <c r="O25" s="589">
        <v>1850</v>
      </c>
      <c r="P25" s="589">
        <v>900</v>
      </c>
      <c r="Q25" s="589">
        <v>0</v>
      </c>
      <c r="R25" s="589">
        <v>0</v>
      </c>
      <c r="S25" s="589">
        <v>0</v>
      </c>
      <c r="T25" s="589">
        <v>0</v>
      </c>
      <c r="U25" s="589">
        <v>0</v>
      </c>
      <c r="V25" s="589">
        <v>2900</v>
      </c>
      <c r="W25" s="589">
        <v>450</v>
      </c>
      <c r="X25" s="589">
        <v>20</v>
      </c>
      <c r="Y25" s="589">
        <v>0</v>
      </c>
      <c r="Z25" s="589">
        <v>0</v>
      </c>
      <c r="AA25" s="589">
        <v>20</v>
      </c>
      <c r="AB25" s="589">
        <v>0</v>
      </c>
      <c r="AC25" s="589">
        <v>330</v>
      </c>
      <c r="AD25" s="589">
        <v>150</v>
      </c>
      <c r="AE25" s="589">
        <v>40</v>
      </c>
      <c r="AF25" s="589">
        <v>0</v>
      </c>
      <c r="AG25" s="526"/>
      <c r="AH25" s="594">
        <f>SUM(B25:AG25)</f>
        <v>17210</v>
      </c>
      <c r="AI25" s="1">
        <v>267.14285714285717</v>
      </c>
      <c r="AJ25" s="1">
        <v>281.71428571428572</v>
      </c>
      <c r="AK25" s="1">
        <v>466.28571428571422</v>
      </c>
      <c r="AL25" s="1">
        <v>417.71428571428572</v>
      </c>
      <c r="AM25" s="1">
        <v>208.85714285714283</v>
      </c>
    </row>
    <row r="26" spans="1:135" s="1" customFormat="1" ht="33" customHeight="1" x14ac:dyDescent="0.25">
      <c r="A26" s="590" t="s">
        <v>44</v>
      </c>
      <c r="B26" s="591">
        <v>0</v>
      </c>
      <c r="C26" s="591">
        <v>0</v>
      </c>
      <c r="D26" s="591">
        <v>0</v>
      </c>
      <c r="E26" s="591">
        <v>0</v>
      </c>
      <c r="F26" s="591">
        <v>0</v>
      </c>
      <c r="G26" s="591">
        <v>0</v>
      </c>
      <c r="H26" s="591">
        <v>0</v>
      </c>
      <c r="I26" s="591">
        <v>0</v>
      </c>
      <c r="J26" s="591">
        <v>0</v>
      </c>
      <c r="K26" s="591">
        <v>0</v>
      </c>
      <c r="L26" s="591">
        <v>0</v>
      </c>
      <c r="M26" s="591">
        <v>0</v>
      </c>
      <c r="N26" s="591">
        <v>0</v>
      </c>
      <c r="O26" s="591">
        <v>50</v>
      </c>
      <c r="P26" s="591">
        <v>0</v>
      </c>
      <c r="Q26" s="591">
        <v>0</v>
      </c>
      <c r="R26" s="591">
        <v>0</v>
      </c>
      <c r="S26" s="591">
        <v>0</v>
      </c>
      <c r="T26" s="591">
        <v>0</v>
      </c>
      <c r="U26" s="591">
        <v>0</v>
      </c>
      <c r="V26" s="591">
        <v>130</v>
      </c>
      <c r="W26" s="591">
        <v>130</v>
      </c>
      <c r="X26" s="591">
        <v>30</v>
      </c>
      <c r="Y26" s="591">
        <v>0</v>
      </c>
      <c r="Z26" s="591">
        <v>0</v>
      </c>
      <c r="AA26" s="591">
        <v>280</v>
      </c>
      <c r="AB26" s="591">
        <v>450</v>
      </c>
      <c r="AC26" s="591">
        <v>120</v>
      </c>
      <c r="AD26" s="591">
        <v>0</v>
      </c>
      <c r="AE26" s="591">
        <v>130</v>
      </c>
      <c r="AF26" s="591">
        <v>0</v>
      </c>
      <c r="AG26" s="526"/>
      <c r="AH26" s="595">
        <f>SUM(B26:AG26)</f>
        <v>1320</v>
      </c>
      <c r="AI26" s="1">
        <v>412.85714285714283</v>
      </c>
      <c r="AJ26" s="1">
        <v>301.14285714285717</v>
      </c>
      <c r="AK26" s="1">
        <v>82.571428571428569</v>
      </c>
      <c r="AL26" s="1">
        <v>24.285714285714285</v>
      </c>
      <c r="AM26" s="1">
        <v>0</v>
      </c>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row>
    <row r="27" spans="1:135" s="514" customFormat="1" ht="33.9" customHeight="1" x14ac:dyDescent="0.25">
      <c r="A27" s="592" t="s">
        <v>14</v>
      </c>
      <c r="B27" s="593">
        <v>4900</v>
      </c>
      <c r="C27" s="593">
        <v>0</v>
      </c>
      <c r="D27" s="593">
        <v>0</v>
      </c>
      <c r="E27" s="593">
        <v>0</v>
      </c>
      <c r="F27" s="593">
        <v>0</v>
      </c>
      <c r="G27" s="593">
        <v>0</v>
      </c>
      <c r="H27" s="593">
        <v>2850</v>
      </c>
      <c r="I27" s="593">
        <v>2800</v>
      </c>
      <c r="J27" s="593">
        <v>0</v>
      </c>
      <c r="K27" s="593">
        <v>0</v>
      </c>
      <c r="L27" s="593">
        <v>0</v>
      </c>
      <c r="M27" s="593">
        <v>0</v>
      </c>
      <c r="N27" s="593">
        <v>0</v>
      </c>
      <c r="O27" s="593">
        <v>1900</v>
      </c>
      <c r="P27" s="593">
        <v>900</v>
      </c>
      <c r="Q27" s="593">
        <v>0</v>
      </c>
      <c r="R27" s="593">
        <v>0</v>
      </c>
      <c r="S27" s="593">
        <v>0</v>
      </c>
      <c r="T27" s="593">
        <v>0</v>
      </c>
      <c r="U27" s="593">
        <v>0</v>
      </c>
      <c r="V27" s="593">
        <v>3030</v>
      </c>
      <c r="W27" s="593">
        <v>580</v>
      </c>
      <c r="X27" s="593">
        <v>50</v>
      </c>
      <c r="Y27" s="593">
        <v>0</v>
      </c>
      <c r="Z27" s="593">
        <v>0</v>
      </c>
      <c r="AA27" s="593">
        <v>300</v>
      </c>
      <c r="AB27" s="593">
        <v>450</v>
      </c>
      <c r="AC27" s="593">
        <v>450</v>
      </c>
      <c r="AD27" s="593">
        <v>150</v>
      </c>
      <c r="AE27" s="593">
        <v>170</v>
      </c>
      <c r="AF27" s="593">
        <v>0</v>
      </c>
      <c r="AG27" s="518"/>
      <c r="AH27" s="596">
        <f>SUM(B27:AG27)</f>
        <v>18530</v>
      </c>
      <c r="AI27" s="514">
        <v>680</v>
      </c>
      <c r="AJ27" s="514">
        <v>582.85714285714289</v>
      </c>
      <c r="AK27" s="514">
        <v>548.85714285714278</v>
      </c>
      <c r="AL27" s="514">
        <v>442</v>
      </c>
      <c r="AM27" s="514">
        <v>208.85714285714283</v>
      </c>
    </row>
    <row r="28" spans="1:135" s="1" customFormat="1" ht="33.9" customHeight="1" x14ac:dyDescent="0.25">
      <c r="A28" s="588" t="s">
        <v>23</v>
      </c>
      <c r="B28" s="589">
        <v>0</v>
      </c>
      <c r="C28" s="589">
        <v>0</v>
      </c>
      <c r="D28" s="589">
        <v>0</v>
      </c>
      <c r="E28" s="589">
        <v>0</v>
      </c>
      <c r="F28" s="589">
        <v>0</v>
      </c>
      <c r="G28" s="589">
        <v>0</v>
      </c>
      <c r="H28" s="589">
        <v>20</v>
      </c>
      <c r="I28" s="589">
        <v>0</v>
      </c>
      <c r="J28" s="589">
        <v>0</v>
      </c>
      <c r="K28" s="589">
        <v>0</v>
      </c>
      <c r="L28" s="589">
        <v>0</v>
      </c>
      <c r="M28" s="589">
        <v>0</v>
      </c>
      <c r="N28" s="589">
        <v>0</v>
      </c>
      <c r="O28" s="589">
        <v>20</v>
      </c>
      <c r="P28" s="589">
        <v>0</v>
      </c>
      <c r="Q28" s="589">
        <v>0</v>
      </c>
      <c r="R28" s="589">
        <v>0</v>
      </c>
      <c r="S28" s="589">
        <v>0</v>
      </c>
      <c r="T28" s="589">
        <v>0</v>
      </c>
      <c r="U28" s="589">
        <v>0</v>
      </c>
      <c r="V28" s="589">
        <v>30</v>
      </c>
      <c r="W28" s="589">
        <v>40</v>
      </c>
      <c r="X28" s="589">
        <v>50</v>
      </c>
      <c r="Y28" s="589">
        <v>40</v>
      </c>
      <c r="Z28" s="589">
        <v>40</v>
      </c>
      <c r="AA28" s="589">
        <v>40</v>
      </c>
      <c r="AB28" s="589">
        <v>40</v>
      </c>
      <c r="AC28" s="589">
        <v>80</v>
      </c>
      <c r="AD28" s="589">
        <v>80</v>
      </c>
      <c r="AE28" s="589">
        <v>80</v>
      </c>
      <c r="AF28" s="589">
        <v>80</v>
      </c>
      <c r="AG28" s="526"/>
      <c r="AH28" s="594">
        <f>SUM(B28:AG28)</f>
        <v>640</v>
      </c>
      <c r="AI28" s="1">
        <v>53.428571428571431</v>
      </c>
      <c r="AJ28" s="1">
        <v>87.428571428571431</v>
      </c>
      <c r="AK28" s="1">
        <v>82.571428571428569</v>
      </c>
      <c r="AL28" s="1">
        <v>68</v>
      </c>
      <c r="AM28" s="1">
        <v>38.857142857142847</v>
      </c>
    </row>
    <row r="29" spans="1:135" s="1" customFormat="1" ht="33" customHeight="1" x14ac:dyDescent="0.25">
      <c r="A29" s="590" t="s">
        <v>26</v>
      </c>
      <c r="B29" s="591">
        <v>100</v>
      </c>
      <c r="C29" s="591">
        <v>0</v>
      </c>
      <c r="D29" s="591">
        <v>0</v>
      </c>
      <c r="E29" s="591">
        <v>0</v>
      </c>
      <c r="F29" s="591">
        <v>0</v>
      </c>
      <c r="G29" s="591">
        <v>0</v>
      </c>
      <c r="H29" s="591">
        <v>110</v>
      </c>
      <c r="I29" s="591">
        <v>100</v>
      </c>
      <c r="J29" s="591">
        <v>0</v>
      </c>
      <c r="K29" s="591">
        <v>0</v>
      </c>
      <c r="L29" s="591">
        <v>0</v>
      </c>
      <c r="M29" s="591">
        <v>0</v>
      </c>
      <c r="N29" s="591">
        <v>0</v>
      </c>
      <c r="O29" s="591">
        <v>130</v>
      </c>
      <c r="P29" s="591">
        <v>120</v>
      </c>
      <c r="Q29" s="591">
        <v>0</v>
      </c>
      <c r="R29" s="591">
        <v>0</v>
      </c>
      <c r="S29" s="591">
        <v>0</v>
      </c>
      <c r="T29" s="591">
        <v>0</v>
      </c>
      <c r="U29" s="591">
        <v>0</v>
      </c>
      <c r="V29" s="591">
        <v>40</v>
      </c>
      <c r="W29" s="591">
        <v>130</v>
      </c>
      <c r="X29" s="591">
        <v>150</v>
      </c>
      <c r="Y29" s="591">
        <v>100</v>
      </c>
      <c r="Z29" s="591">
        <v>70</v>
      </c>
      <c r="AA29" s="591">
        <v>120</v>
      </c>
      <c r="AB29" s="591">
        <v>130</v>
      </c>
      <c r="AC29" s="591">
        <v>100</v>
      </c>
      <c r="AD29" s="591">
        <v>190</v>
      </c>
      <c r="AE29" s="591">
        <v>120</v>
      </c>
      <c r="AF29" s="591">
        <v>120</v>
      </c>
      <c r="AG29" s="526"/>
      <c r="AH29" s="595">
        <f>SUM(B29:AG29)</f>
        <v>1830</v>
      </c>
      <c r="AI29" s="1">
        <v>72.857142857142861</v>
      </c>
      <c r="AJ29" s="1">
        <v>72.857142857142861</v>
      </c>
      <c r="AK29" s="1">
        <v>63.142857142857139</v>
      </c>
      <c r="AL29" s="1">
        <v>72.857142857142861</v>
      </c>
      <c r="AM29" s="1">
        <v>43.714285714285708</v>
      </c>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row>
    <row r="30" spans="1:135" s="1" customFormat="1" ht="33.9" customHeight="1" x14ac:dyDescent="0.25">
      <c r="A30" s="588" t="s">
        <v>24</v>
      </c>
      <c r="B30" s="589">
        <v>0</v>
      </c>
      <c r="C30" s="589">
        <v>0</v>
      </c>
      <c r="D30" s="589">
        <v>0</v>
      </c>
      <c r="E30" s="589">
        <v>0</v>
      </c>
      <c r="F30" s="589">
        <v>450</v>
      </c>
      <c r="G30" s="589">
        <v>0</v>
      </c>
      <c r="H30" s="589">
        <v>0</v>
      </c>
      <c r="I30" s="589">
        <v>0</v>
      </c>
      <c r="J30" s="589">
        <v>0</v>
      </c>
      <c r="K30" s="589">
        <v>270</v>
      </c>
      <c r="L30" s="589">
        <v>0</v>
      </c>
      <c r="M30" s="589">
        <v>50</v>
      </c>
      <c r="N30" s="589">
        <v>0</v>
      </c>
      <c r="O30" s="589">
        <v>0</v>
      </c>
      <c r="P30" s="589">
        <v>0</v>
      </c>
      <c r="Q30" s="589">
        <v>0</v>
      </c>
      <c r="R30" s="589">
        <v>0</v>
      </c>
      <c r="S30" s="589">
        <v>0</v>
      </c>
      <c r="T30" s="589">
        <v>210</v>
      </c>
      <c r="U30" s="589">
        <v>0</v>
      </c>
      <c r="V30" s="589">
        <v>0</v>
      </c>
      <c r="W30" s="589">
        <v>0</v>
      </c>
      <c r="X30" s="589">
        <v>0</v>
      </c>
      <c r="Y30" s="589">
        <v>0</v>
      </c>
      <c r="Z30" s="589">
        <v>0</v>
      </c>
      <c r="AA30" s="589">
        <v>0</v>
      </c>
      <c r="AB30" s="589">
        <v>0</v>
      </c>
      <c r="AC30" s="589">
        <v>0</v>
      </c>
      <c r="AD30" s="589">
        <v>0</v>
      </c>
      <c r="AE30" s="589">
        <v>0</v>
      </c>
      <c r="AF30" s="589">
        <v>0</v>
      </c>
      <c r="AG30" s="526"/>
      <c r="AH30" s="594">
        <f>SUM(B30:AG30)</f>
        <v>980</v>
      </c>
      <c r="AI30" s="1">
        <v>0</v>
      </c>
      <c r="AJ30" s="1">
        <v>0</v>
      </c>
      <c r="AK30" s="1">
        <v>0</v>
      </c>
      <c r="AL30" s="1">
        <v>0</v>
      </c>
      <c r="AM30" s="1">
        <v>0</v>
      </c>
    </row>
    <row r="31" spans="1:135" s="3" customFormat="1" ht="33" customHeight="1" x14ac:dyDescent="0.25">
      <c r="A31" s="590" t="s">
        <v>25</v>
      </c>
      <c r="B31" s="591">
        <v>200</v>
      </c>
      <c r="C31" s="591">
        <v>0</v>
      </c>
      <c r="D31" s="591">
        <v>0</v>
      </c>
      <c r="E31" s="591">
        <v>0</v>
      </c>
      <c r="F31" s="591">
        <v>0</v>
      </c>
      <c r="G31" s="591">
        <v>0</v>
      </c>
      <c r="H31" s="591">
        <v>300</v>
      </c>
      <c r="I31" s="591">
        <v>200</v>
      </c>
      <c r="J31" s="591">
        <v>0</v>
      </c>
      <c r="K31" s="591">
        <v>0</v>
      </c>
      <c r="L31" s="591">
        <v>0</v>
      </c>
      <c r="M31" s="591">
        <v>0</v>
      </c>
      <c r="N31" s="591">
        <v>0</v>
      </c>
      <c r="O31" s="591">
        <v>300</v>
      </c>
      <c r="P31" s="591">
        <v>200</v>
      </c>
      <c r="Q31" s="591">
        <v>0</v>
      </c>
      <c r="R31" s="591">
        <v>0</v>
      </c>
      <c r="S31" s="591">
        <v>0</v>
      </c>
      <c r="T31" s="591">
        <v>0</v>
      </c>
      <c r="U31" s="591">
        <v>0</v>
      </c>
      <c r="V31" s="591">
        <v>230</v>
      </c>
      <c r="W31" s="591">
        <v>300</v>
      </c>
      <c r="X31" s="591">
        <v>350</v>
      </c>
      <c r="Y31" s="591">
        <v>140</v>
      </c>
      <c r="Z31" s="591">
        <v>120</v>
      </c>
      <c r="AA31" s="591">
        <v>410</v>
      </c>
      <c r="AB31" s="591">
        <v>100</v>
      </c>
      <c r="AC31" s="591">
        <v>100</v>
      </c>
      <c r="AD31" s="591">
        <v>100</v>
      </c>
      <c r="AE31" s="591">
        <v>100</v>
      </c>
      <c r="AF31" s="591">
        <v>100</v>
      </c>
      <c r="AG31" s="526"/>
      <c r="AH31" s="595">
        <f>SUM(B31:AG31)</f>
        <v>3250</v>
      </c>
      <c r="AI31" s="3">
        <v>252.57142857142856</v>
      </c>
      <c r="AJ31" s="3">
        <v>306</v>
      </c>
      <c r="AK31" s="3">
        <v>825.71428571428578</v>
      </c>
      <c r="AL31" s="3">
        <v>519.71428571428567</v>
      </c>
      <c r="AM31" s="3">
        <v>131.14285714285714</v>
      </c>
    </row>
    <row r="32" spans="1:135" s="514" customFormat="1" ht="33.9" customHeight="1" x14ac:dyDescent="0.25">
      <c r="A32" s="592" t="s">
        <v>30</v>
      </c>
      <c r="B32" s="593">
        <v>300</v>
      </c>
      <c r="C32" s="593">
        <v>0</v>
      </c>
      <c r="D32" s="593">
        <v>0</v>
      </c>
      <c r="E32" s="593">
        <v>0</v>
      </c>
      <c r="F32" s="593">
        <v>450</v>
      </c>
      <c r="G32" s="593">
        <v>0</v>
      </c>
      <c r="H32" s="593">
        <v>430</v>
      </c>
      <c r="I32" s="593">
        <v>300</v>
      </c>
      <c r="J32" s="593">
        <v>0</v>
      </c>
      <c r="K32" s="593">
        <v>270</v>
      </c>
      <c r="L32" s="593">
        <v>0</v>
      </c>
      <c r="M32" s="593">
        <v>50</v>
      </c>
      <c r="N32" s="593">
        <v>0</v>
      </c>
      <c r="O32" s="593">
        <v>450</v>
      </c>
      <c r="P32" s="593">
        <v>320</v>
      </c>
      <c r="Q32" s="593">
        <v>0</v>
      </c>
      <c r="R32" s="593">
        <v>0</v>
      </c>
      <c r="S32" s="593">
        <v>0</v>
      </c>
      <c r="T32" s="593">
        <v>210</v>
      </c>
      <c r="U32" s="593">
        <v>0</v>
      </c>
      <c r="V32" s="593">
        <v>300</v>
      </c>
      <c r="W32" s="593">
        <v>470</v>
      </c>
      <c r="X32" s="593">
        <v>550</v>
      </c>
      <c r="Y32" s="593">
        <v>280</v>
      </c>
      <c r="Z32" s="593">
        <v>230</v>
      </c>
      <c r="AA32" s="593">
        <v>570</v>
      </c>
      <c r="AB32" s="593">
        <v>270</v>
      </c>
      <c r="AC32" s="593">
        <v>280</v>
      </c>
      <c r="AD32" s="593">
        <v>370</v>
      </c>
      <c r="AE32" s="593">
        <v>300</v>
      </c>
      <c r="AF32" s="593">
        <v>300</v>
      </c>
      <c r="AG32" s="518"/>
      <c r="AH32" s="596">
        <f>SUM(B32:AG32)</f>
        <v>6700</v>
      </c>
      <c r="AI32" s="514">
        <v>378.85714285714283</v>
      </c>
      <c r="AJ32" s="514">
        <v>466.28571428571428</v>
      </c>
      <c r="AK32" s="514">
        <v>971.42857142857156</v>
      </c>
      <c r="AL32" s="514">
        <v>660.57142857142856</v>
      </c>
      <c r="AM32" s="514">
        <v>213.71428571428569</v>
      </c>
    </row>
    <row r="33" spans="1:256" s="3" customFormat="1" ht="9" customHeight="1" x14ac:dyDescent="0.25">
      <c r="A33" s="29"/>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30"/>
      <c r="AH33" s="16"/>
    </row>
    <row r="34" spans="1:256" s="587" customFormat="1" ht="66.75" customHeight="1" x14ac:dyDescent="0.4">
      <c r="A34" s="598" t="s">
        <v>16</v>
      </c>
      <c r="B34" s="599">
        <f>+B32+B27+B24</f>
        <v>6900</v>
      </c>
      <c r="C34" s="599">
        <f>+C32+C27+C24</f>
        <v>0</v>
      </c>
      <c r="D34" s="599">
        <f>+D32+D27+D24</f>
        <v>0</v>
      </c>
      <c r="E34" s="599">
        <f>+E32+E27+E24</f>
        <v>0</v>
      </c>
      <c r="F34" s="599">
        <f>+F32+F27+F24</f>
        <v>450</v>
      </c>
      <c r="G34" s="599">
        <f>+G32+G27+G24</f>
        <v>0</v>
      </c>
      <c r="H34" s="599">
        <f>+H32+H27+H24</f>
        <v>9880</v>
      </c>
      <c r="I34" s="599">
        <f>+I32+I27+I24</f>
        <v>5500</v>
      </c>
      <c r="J34" s="599">
        <f>+J32+J27+J24</f>
        <v>0</v>
      </c>
      <c r="K34" s="599">
        <f>+K32+K27+K24</f>
        <v>270</v>
      </c>
      <c r="L34" s="599">
        <f>+L32+L27+L24</f>
        <v>0</v>
      </c>
      <c r="M34" s="599">
        <f>+M32+M27+M24</f>
        <v>50</v>
      </c>
      <c r="N34" s="599">
        <f>+N32+N27+N24</f>
        <v>0</v>
      </c>
      <c r="O34" s="599">
        <f>+O32+O27+O24</f>
        <v>5950</v>
      </c>
      <c r="P34" s="599">
        <f>+P32+P27+P24</f>
        <v>3720</v>
      </c>
      <c r="Q34" s="599">
        <f>+Q32+Q27+Q24</f>
        <v>0</v>
      </c>
      <c r="R34" s="599">
        <f>+R32+R27+R24</f>
        <v>0</v>
      </c>
      <c r="S34" s="599">
        <f>+S32+S27+S24</f>
        <v>0</v>
      </c>
      <c r="T34" s="599">
        <f>+T32+T27+T24</f>
        <v>210</v>
      </c>
      <c r="U34" s="599">
        <f>+U32+U27+U24</f>
        <v>0</v>
      </c>
      <c r="V34" s="599">
        <f>+V32+V27+V24</f>
        <v>7530</v>
      </c>
      <c r="W34" s="599">
        <f>+W32+W27+W24</f>
        <v>7450</v>
      </c>
      <c r="X34" s="599">
        <f>+X32+X27+X24</f>
        <v>6700</v>
      </c>
      <c r="Y34" s="599">
        <f>+Y32+Y27+Y24</f>
        <v>5680</v>
      </c>
      <c r="Z34" s="599">
        <f>+Z32+Z27+Z24</f>
        <v>6130</v>
      </c>
      <c r="AA34" s="599">
        <f>+AA32+AA27+AA24</f>
        <v>8270</v>
      </c>
      <c r="AB34" s="599">
        <f>+AB32+AB27+AB24</f>
        <v>11320</v>
      </c>
      <c r="AC34" s="599">
        <f>+AC32+AC27+AC24</f>
        <v>11530</v>
      </c>
      <c r="AD34" s="599">
        <f>+AD32+AD27+AD24</f>
        <v>10520</v>
      </c>
      <c r="AE34" s="599">
        <f>+AE32+AE27+AE24</f>
        <v>10170</v>
      </c>
      <c r="AF34" s="599">
        <f>+AF32+AF27+AF24</f>
        <v>10500</v>
      </c>
      <c r="AG34" s="586"/>
      <c r="AH34" s="597">
        <f>SUM(B34:AF34)</f>
        <v>128730</v>
      </c>
    </row>
    <row r="35" spans="1:256" s="32" customFormat="1" ht="24.75" customHeight="1" x14ac:dyDescent="0.25">
      <c r="A35" s="28"/>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7"/>
      <c r="AE35" s="37"/>
      <c r="AF35" s="37"/>
      <c r="AG35" s="30"/>
      <c r="AH35" s="38"/>
    </row>
    <row r="36" spans="1:256" s="43" customFormat="1" ht="3" customHeight="1" x14ac:dyDescent="0.4">
      <c r="A36" s="534"/>
      <c r="B36" s="535"/>
      <c r="C36" s="535"/>
      <c r="D36" s="535"/>
      <c r="E36" s="535"/>
      <c r="F36" s="535"/>
      <c r="G36" s="535"/>
      <c r="H36" s="535"/>
      <c r="I36" s="535"/>
      <c r="J36" s="535"/>
      <c r="K36" s="535"/>
      <c r="L36" s="535"/>
      <c r="M36" s="535"/>
      <c r="N36" s="535"/>
      <c r="O36" s="535"/>
      <c r="P36" s="535"/>
      <c r="Q36" s="535"/>
      <c r="R36" s="535"/>
      <c r="S36" s="535"/>
      <c r="T36" s="535"/>
      <c r="U36" s="535"/>
      <c r="V36" s="535"/>
      <c r="W36" s="535"/>
      <c r="X36" s="535"/>
      <c r="Y36" s="535"/>
      <c r="Z36" s="535"/>
      <c r="AA36" s="535"/>
      <c r="AB36" s="535"/>
      <c r="AC36" s="535"/>
      <c r="AD36" s="535"/>
      <c r="AE36" s="535"/>
      <c r="AF36" s="535"/>
      <c r="AG36" s="30"/>
      <c r="AH36" s="2"/>
    </row>
    <row r="37" spans="1:256" s="552" customFormat="1" ht="16.2" x14ac:dyDescent="0.25">
      <c r="A37" s="540" t="s">
        <v>17</v>
      </c>
      <c r="B37" s="550">
        <v>0.74097222222222225</v>
      </c>
      <c r="C37" s="550">
        <v>0.73958333333333337</v>
      </c>
      <c r="D37" s="550">
        <v>0.7402777777777777</v>
      </c>
      <c r="E37" s="550">
        <v>0.7402777777777777</v>
      </c>
      <c r="F37" s="550">
        <v>0.7402777777777777</v>
      </c>
      <c r="G37" s="550">
        <v>0.7402777777777777</v>
      </c>
      <c r="H37" s="550">
        <v>0.73958333333333337</v>
      </c>
      <c r="I37" s="550">
        <v>0.73958333333333337</v>
      </c>
      <c r="J37" s="550">
        <v>0.73958333333333337</v>
      </c>
      <c r="K37" s="550">
        <v>0.73958333333333337</v>
      </c>
      <c r="L37" s="550">
        <v>0.73958333333333337</v>
      </c>
      <c r="M37" s="550">
        <v>0.7402777777777777</v>
      </c>
      <c r="N37" s="550">
        <v>0.7402777777777777</v>
      </c>
      <c r="O37" s="550">
        <v>0.7402777777777777</v>
      </c>
      <c r="P37" s="550">
        <v>0.7402777777777777</v>
      </c>
      <c r="Q37" s="550">
        <v>0.7402777777777777</v>
      </c>
      <c r="R37" s="550">
        <v>0.74097222222222225</v>
      </c>
      <c r="S37" s="550">
        <v>0.74097222222222225</v>
      </c>
      <c r="T37" s="550">
        <v>0.7416666666666667</v>
      </c>
      <c r="U37" s="550">
        <v>0.7416666666666667</v>
      </c>
      <c r="V37" s="550">
        <v>0.7416666666666667</v>
      </c>
      <c r="W37" s="550">
        <v>0.74236111111111114</v>
      </c>
      <c r="X37" s="550">
        <v>0.74305555555555547</v>
      </c>
      <c r="Y37" s="550">
        <v>0.74305555555555547</v>
      </c>
      <c r="Z37" s="550">
        <v>0.74375000000000002</v>
      </c>
      <c r="AA37" s="550">
        <v>0.74375000000000002</v>
      </c>
      <c r="AB37" s="550">
        <v>0.74444444444444446</v>
      </c>
      <c r="AC37" s="550">
        <v>0.74513888888888891</v>
      </c>
      <c r="AD37" s="550">
        <v>0.74583333333333324</v>
      </c>
      <c r="AE37" s="550">
        <v>0.74583333333333324</v>
      </c>
      <c r="AF37" s="550">
        <v>0.74652777777777779</v>
      </c>
      <c r="AG37" s="551"/>
      <c r="AH37" s="543"/>
      <c r="BL37" s="553"/>
      <c r="BM37" s="553"/>
      <c r="BN37" s="553"/>
      <c r="BO37" s="553"/>
      <c r="BP37" s="553"/>
      <c r="BQ37" s="553"/>
      <c r="BR37" s="553"/>
      <c r="BS37" s="553"/>
      <c r="BT37" s="553"/>
      <c r="BU37" s="553"/>
      <c r="BV37" s="553"/>
      <c r="BW37" s="553"/>
      <c r="BX37" s="553"/>
      <c r="BY37" s="553"/>
      <c r="BZ37" s="553"/>
      <c r="CA37" s="553"/>
      <c r="CB37" s="553"/>
      <c r="CC37" s="553"/>
      <c r="CD37" s="553"/>
      <c r="CE37" s="553"/>
      <c r="CF37" s="553"/>
      <c r="CG37" s="553"/>
      <c r="CH37" s="553"/>
      <c r="CI37" s="553"/>
      <c r="CJ37" s="553"/>
      <c r="CK37" s="553"/>
      <c r="CL37" s="553"/>
      <c r="CM37" s="553"/>
      <c r="CN37" s="553"/>
      <c r="CO37" s="553"/>
      <c r="CP37" s="553"/>
      <c r="CQ37" s="553"/>
      <c r="CR37" s="553"/>
      <c r="CS37" s="553"/>
      <c r="CT37" s="553"/>
      <c r="CU37" s="553"/>
      <c r="CV37" s="553"/>
      <c r="CW37" s="553"/>
      <c r="CX37" s="553"/>
      <c r="CY37" s="553"/>
      <c r="CZ37" s="553"/>
      <c r="DA37" s="553"/>
      <c r="DB37" s="553"/>
      <c r="DC37" s="553"/>
      <c r="DD37" s="553"/>
      <c r="DE37" s="553"/>
      <c r="DF37" s="553"/>
      <c r="DG37" s="553"/>
      <c r="DH37" s="553"/>
      <c r="DI37" s="553"/>
      <c r="DJ37" s="553"/>
      <c r="DK37" s="553"/>
      <c r="DL37" s="553"/>
      <c r="DM37" s="553"/>
      <c r="DN37" s="553"/>
      <c r="DO37" s="553"/>
      <c r="DP37" s="553"/>
      <c r="DQ37" s="553"/>
      <c r="DR37" s="553"/>
      <c r="DS37" s="553"/>
      <c r="DT37" s="553"/>
      <c r="DU37" s="553"/>
      <c r="DV37" s="553"/>
      <c r="DW37" s="553"/>
      <c r="DX37" s="553"/>
      <c r="DY37" s="553"/>
      <c r="DZ37" s="553"/>
      <c r="EA37" s="553"/>
      <c r="EB37" s="553"/>
      <c r="EC37" s="553"/>
      <c r="ED37" s="553"/>
      <c r="EE37" s="553"/>
    </row>
    <row r="38" spans="1:256" s="552" customFormat="1" ht="20.100000000000001" customHeight="1" x14ac:dyDescent="0.25">
      <c r="A38" s="545" t="s">
        <v>18</v>
      </c>
      <c r="B38" s="546" t="str">
        <f>+IF(B34&lt;=2500,"BF",IF(AND(B34&gt;2500,B34&lt;=6000),"MF",IF(AND(B34&gt;6000,B34&lt;12000),"HF","THF")))</f>
        <v>HF</v>
      </c>
      <c r="C38" s="546" t="str">
        <f>+IF(C34&lt;=2500,"BF",IF(AND(C34&gt;2500,C34&lt;=6000),"MF",IF(AND(C34&gt;6000,C34&lt;12000),"HF","THF")))</f>
        <v>BF</v>
      </c>
      <c r="D38" s="546" t="str">
        <f>+IF(D34&lt;=2500,"BF",IF(AND(D34&gt;2500,D34&lt;=6000),"MF",IF(AND(D34&gt;6000,D34&lt;12000),"HF","THF")))</f>
        <v>BF</v>
      </c>
      <c r="E38" s="546" t="str">
        <f>+IF(E34&lt;=2500,"BF",IF(AND(E34&gt;2500,E34&lt;=6000),"MF",IF(AND(E34&gt;6000,E34&lt;12000),"HF","THF")))</f>
        <v>BF</v>
      </c>
      <c r="F38" s="546" t="str">
        <f>+IF(F34&lt;=2500,"BF",IF(AND(F34&gt;2500,F34&lt;=6000),"MF",IF(AND(F34&gt;6000,F34&lt;12000),"HF","THF")))</f>
        <v>BF</v>
      </c>
      <c r="G38" s="546" t="str">
        <f>+IF(G34&lt;=2500,"BF",IF(AND(G34&gt;2500,G34&lt;=6000),"MF",IF(AND(G34&gt;6000,G34&lt;12000),"HF","THF")))</f>
        <v>BF</v>
      </c>
      <c r="H38" s="546" t="str">
        <f>+IF(H34&lt;=2500,"BF",IF(AND(H34&gt;2500,H34&lt;=6000),"MF",IF(AND(H34&gt;6000,H34&lt;12000),"HF","THF")))</f>
        <v>HF</v>
      </c>
      <c r="I38" s="546" t="str">
        <f>+IF(I34&lt;=2500,"BF",IF(AND(I34&gt;2500,I34&lt;=6000),"MF",IF(AND(I34&gt;6000,I34&lt;12000),"HF","THF")))</f>
        <v>MF</v>
      </c>
      <c r="J38" s="546" t="str">
        <f>+IF(J34&lt;=2500,"BF",IF(AND(J34&gt;2500,J34&lt;=6000),"MF",IF(AND(J34&gt;6000,J34&lt;12000),"HF","THF")))</f>
        <v>BF</v>
      </c>
      <c r="K38" s="546" t="str">
        <f>+IF(K34&lt;=2500,"BF",IF(AND(K34&gt;2500,K34&lt;=6000),"MF",IF(AND(K34&gt;6000,K34&lt;12000),"HF","THF")))</f>
        <v>BF</v>
      </c>
      <c r="L38" s="546" t="str">
        <f>+IF(L34&lt;=2500,"BF",IF(AND(L34&gt;2500,L34&lt;=6000),"MF",IF(AND(L34&gt;6000,L34&lt;12000),"HF","THF")))</f>
        <v>BF</v>
      </c>
      <c r="M38" s="546" t="str">
        <f>+IF(M34&lt;=2500,"BF",IF(AND(M34&gt;2500,M34&lt;=6000),"MF",IF(AND(M34&gt;6000,M34&lt;12000),"HF","THF")))</f>
        <v>BF</v>
      </c>
      <c r="N38" s="546" t="str">
        <f>+IF(N34&lt;=2500,"BF",IF(AND(N34&gt;2500,N34&lt;=6000),"MF",IF(AND(N34&gt;6000,N34&lt;12000),"HF","THF")))</f>
        <v>BF</v>
      </c>
      <c r="O38" s="546" t="str">
        <f>+IF(O34&lt;=2500,"BF",IF(AND(O34&gt;2500,O34&lt;=6000),"MF",IF(AND(O34&gt;6000,O34&lt;12000),"HF","THF")))</f>
        <v>MF</v>
      </c>
      <c r="P38" s="546" t="str">
        <f>+IF(P34&lt;=2500,"BF",IF(AND(P34&gt;2500,P34&lt;=6000),"MF",IF(AND(P34&gt;6000,P34&lt;12000),"HF","THF")))</f>
        <v>MF</v>
      </c>
      <c r="Q38" s="546" t="str">
        <f>+IF(Q34&lt;=2500,"BF",IF(AND(Q34&gt;2500,Q34&lt;=6000),"MF",IF(AND(Q34&gt;6000,Q34&lt;12000),"HF","THF")))</f>
        <v>BF</v>
      </c>
      <c r="R38" s="546" t="str">
        <f>+IF(R34&lt;=2500,"BF",IF(AND(R34&gt;2500,R34&lt;=6000),"MF",IF(AND(R34&gt;6000,R34&lt;12000),"HF","THF")))</f>
        <v>BF</v>
      </c>
      <c r="S38" s="546" t="str">
        <f>+IF(S34&lt;=2500,"BF",IF(AND(S34&gt;2500,S34&lt;=6000),"MF",IF(AND(S34&gt;6000,S34&lt;12000),"HF","THF")))</f>
        <v>BF</v>
      </c>
      <c r="T38" s="546" t="str">
        <f>+IF(T34&lt;=2500,"BF",IF(AND(T34&gt;2500,T34&lt;=6000),"MF",IF(AND(T34&gt;6000,T34&lt;12000),"HF","THF")))</f>
        <v>BF</v>
      </c>
      <c r="U38" s="546" t="str">
        <f>+IF(U34&lt;=2500,"BF",IF(AND(U34&gt;2500,U34&lt;=6000),"MF",IF(AND(U34&gt;6000,U34&lt;12000),"HF","THF")))</f>
        <v>BF</v>
      </c>
      <c r="V38" s="546" t="str">
        <f>+IF(V34&lt;=2500,"BF",IF(AND(V34&gt;2500,V34&lt;=6000),"MF",IF(AND(V34&gt;6000,V34&lt;12000),"HF","THF")))</f>
        <v>HF</v>
      </c>
      <c r="W38" s="546" t="str">
        <f>+IF(W34&lt;=2500,"BF",IF(AND(W34&gt;2500,W34&lt;=6000),"MF",IF(AND(W34&gt;6000,W34&lt;12000),"HF","THF")))</f>
        <v>HF</v>
      </c>
      <c r="X38" s="546" t="str">
        <f>+IF(X34&lt;=2500,"BF",IF(AND(X34&gt;2500,X34&lt;=6000),"MF",IF(AND(X34&gt;6000,X34&lt;12000),"HF","THF")))</f>
        <v>HF</v>
      </c>
      <c r="Y38" s="546" t="str">
        <f>+IF(Y34&lt;=2500,"BF",IF(AND(Y34&gt;2500,Y34&lt;=6000),"MF",IF(AND(Y34&gt;6000,Y34&lt;12000),"HF","THF")))</f>
        <v>MF</v>
      </c>
      <c r="Z38" s="546" t="str">
        <f>+IF(Z34&lt;=2500,"BF",IF(AND(Z34&gt;2500,Z34&lt;=6000),"MF",IF(AND(Z34&gt;6000,Z34&lt;12000),"HF","THF")))</f>
        <v>HF</v>
      </c>
      <c r="AA38" s="546" t="str">
        <f>+IF(AA34&lt;=2500,"BF",IF(AND(AA34&gt;2500,AA34&lt;=6000),"MF",IF(AND(AA34&gt;6000,AA34&lt;12000),"HF","THF")))</f>
        <v>HF</v>
      </c>
      <c r="AB38" s="546" t="str">
        <f>+IF(AB34&lt;=2500,"BF",IF(AND(AB34&gt;2500,AB34&lt;=6000),"MF",IF(AND(AB34&gt;6000,AB34&lt;12000),"HF","THF")))</f>
        <v>HF</v>
      </c>
      <c r="AC38" s="546" t="str">
        <f>+IF(AC34&lt;=2500,"BF",IF(AND(AC34&gt;2500,AC34&lt;=6000),"MF",IF(AND(AC34&gt;6000,AC34&lt;12000),"HF","THF")))</f>
        <v>HF</v>
      </c>
      <c r="AD38" s="546" t="str">
        <f>+IF(AD34&lt;=2500,"BF",IF(AND(AD34&gt;2500,AD34&lt;=6000),"MF",IF(AND(AD34&gt;6000,AD34&lt;12000),"HF","THF")))</f>
        <v>HF</v>
      </c>
      <c r="AE38" s="546" t="str">
        <f>+IF(AE34&lt;=2500,"BF",IF(AND(AE34&gt;2500,AE34&lt;=6000),"MF",IF(AND(AE34&gt;6000,AE34&lt;12000),"HF","THF")))</f>
        <v>HF</v>
      </c>
      <c r="AF38" s="546" t="str">
        <f>+IF(AF34&lt;=2500,"BF",IF(AND(AF34&gt;2500,AF34&lt;=6000),"MF",IF(AND(AF34&gt;6000,AF34&lt;12000),"HF","THF")))</f>
        <v>HF</v>
      </c>
      <c r="AG38" s="551"/>
      <c r="AH38" s="543"/>
      <c r="BL38" s="553"/>
      <c r="BM38" s="553"/>
      <c r="BN38" s="553"/>
      <c r="BO38" s="553"/>
      <c r="BP38" s="553"/>
      <c r="BQ38" s="553"/>
      <c r="BR38" s="553"/>
      <c r="BS38" s="553"/>
      <c r="BT38" s="553"/>
      <c r="BU38" s="553"/>
      <c r="BV38" s="553"/>
      <c r="BW38" s="553"/>
      <c r="BX38" s="553"/>
      <c r="BY38" s="553"/>
      <c r="BZ38" s="553"/>
      <c r="CA38" s="553"/>
      <c r="CB38" s="553"/>
      <c r="CC38" s="553"/>
      <c r="CD38" s="553"/>
      <c r="CE38" s="553"/>
      <c r="CF38" s="553"/>
      <c r="CG38" s="553"/>
      <c r="CH38" s="553"/>
      <c r="CI38" s="553"/>
      <c r="CJ38" s="553"/>
      <c r="CK38" s="553"/>
      <c r="CL38" s="553"/>
      <c r="CM38" s="553"/>
      <c r="CN38" s="553"/>
      <c r="CO38" s="553"/>
      <c r="CP38" s="553"/>
      <c r="CQ38" s="553"/>
      <c r="CR38" s="553"/>
      <c r="CS38" s="553"/>
      <c r="CT38" s="553"/>
      <c r="CU38" s="553"/>
      <c r="CV38" s="553"/>
      <c r="CW38" s="553"/>
      <c r="CX38" s="553"/>
      <c r="CY38" s="553"/>
      <c r="CZ38" s="553"/>
      <c r="DA38" s="553"/>
      <c r="DB38" s="553"/>
      <c r="DC38" s="553"/>
      <c r="DD38" s="553"/>
      <c r="DE38" s="553"/>
      <c r="DF38" s="553"/>
      <c r="DG38" s="553"/>
      <c r="DH38" s="553"/>
      <c r="DI38" s="553"/>
      <c r="DJ38" s="553"/>
      <c r="DK38" s="553"/>
      <c r="DL38" s="553"/>
      <c r="DM38" s="553"/>
      <c r="DN38" s="553"/>
      <c r="DO38" s="553"/>
      <c r="DP38" s="553"/>
      <c r="DQ38" s="553"/>
      <c r="DR38" s="553"/>
      <c r="DS38" s="553"/>
      <c r="DT38" s="553"/>
      <c r="DU38" s="553"/>
      <c r="DV38" s="553"/>
      <c r="DW38" s="553"/>
      <c r="DX38" s="553"/>
      <c r="DY38" s="553"/>
      <c r="DZ38" s="553"/>
      <c r="EA38" s="553"/>
      <c r="EB38" s="553"/>
      <c r="EC38" s="553"/>
      <c r="ED38" s="553"/>
      <c r="EE38" s="553"/>
    </row>
    <row r="39" spans="1:256" s="43" customFormat="1" ht="3" customHeight="1" x14ac:dyDescent="0.4">
      <c r="A39" s="534"/>
      <c r="B39" s="535"/>
      <c r="C39" s="535"/>
      <c r="D39" s="535"/>
      <c r="E39" s="535"/>
      <c r="F39" s="535"/>
      <c r="G39" s="535"/>
      <c r="H39" s="535"/>
      <c r="I39" s="535"/>
      <c r="J39" s="535"/>
      <c r="K39" s="535"/>
      <c r="L39" s="535"/>
      <c r="M39" s="535"/>
      <c r="N39" s="535"/>
      <c r="O39" s="535"/>
      <c r="P39" s="535"/>
      <c r="Q39" s="535"/>
      <c r="R39" s="535"/>
      <c r="S39" s="535"/>
      <c r="T39" s="535"/>
      <c r="U39" s="535"/>
      <c r="V39" s="535"/>
      <c r="W39" s="535"/>
      <c r="X39" s="535"/>
      <c r="Y39" s="535"/>
      <c r="Z39" s="535"/>
      <c r="AA39" s="535"/>
      <c r="AB39" s="535"/>
      <c r="AC39" s="535"/>
      <c r="AD39" s="535"/>
      <c r="AE39" s="535"/>
      <c r="AF39" s="535"/>
      <c r="AG39" s="30"/>
      <c r="AH39" s="2"/>
    </row>
    <row r="40" spans="1:256" s="1" customFormat="1" ht="12.75" customHeight="1" x14ac:dyDescent="0.25">
      <c r="A40" s="6"/>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30"/>
      <c r="AH40" s="2"/>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row>
    <row r="41" spans="1:256" s="1" customFormat="1" ht="12.75" customHeight="1" x14ac:dyDescent="0.25">
      <c r="A41" s="13"/>
      <c r="B41" s="482">
        <f>+B34-B30</f>
        <v>6900</v>
      </c>
      <c r="C41" s="482">
        <f>+C34-C30</f>
        <v>0</v>
      </c>
      <c r="D41" s="482">
        <f>+D34-D30</f>
        <v>0</v>
      </c>
      <c r="E41" s="482">
        <f>+E34-E30</f>
        <v>0</v>
      </c>
      <c r="F41" s="482">
        <f>+F34-F30</f>
        <v>0</v>
      </c>
      <c r="G41" s="482">
        <f>+G34-G30</f>
        <v>0</v>
      </c>
      <c r="H41" s="482">
        <f>+H34-H30</f>
        <v>9880</v>
      </c>
      <c r="I41" s="482">
        <f>+I34-I30</f>
        <v>5500</v>
      </c>
      <c r="J41" s="482">
        <f>+J34-J30</f>
        <v>0</v>
      </c>
      <c r="K41" s="482">
        <f>+K34-K30</f>
        <v>0</v>
      </c>
      <c r="L41" s="482">
        <f>+L34-L30</f>
        <v>0</v>
      </c>
      <c r="M41" s="482">
        <f>+M34-M30</f>
        <v>0</v>
      </c>
      <c r="N41" s="482">
        <f>+N34-N30</f>
        <v>0</v>
      </c>
      <c r="O41" s="482">
        <f>+O34-O30</f>
        <v>5950</v>
      </c>
      <c r="P41" s="482">
        <f>+P34-P30</f>
        <v>3720</v>
      </c>
      <c r="Q41" s="482">
        <f>+Q34-Q30</f>
        <v>0</v>
      </c>
      <c r="R41" s="482">
        <f>+R34-R30</f>
        <v>0</v>
      </c>
      <c r="S41" s="482">
        <f>+S34-S30</f>
        <v>0</v>
      </c>
      <c r="T41" s="482">
        <f>+T34-T30</f>
        <v>0</v>
      </c>
      <c r="U41" s="482">
        <f>+U34-U30</f>
        <v>0</v>
      </c>
      <c r="V41" s="482">
        <f>+V34-V30</f>
        <v>7530</v>
      </c>
      <c r="W41" s="482">
        <f>+W34-W30</f>
        <v>7450</v>
      </c>
      <c r="X41" s="482">
        <f>+X34-X30</f>
        <v>6700</v>
      </c>
      <c r="Y41" s="482">
        <f>+Y34-Y30</f>
        <v>5680</v>
      </c>
      <c r="Z41" s="482">
        <f>+Z34-Z30</f>
        <v>6130</v>
      </c>
      <c r="AA41" s="482">
        <f>+AA34-AA30</f>
        <v>8270</v>
      </c>
      <c r="AB41" s="482">
        <f>+AB34-AB30</f>
        <v>11320</v>
      </c>
      <c r="AC41" s="482">
        <f>+AC34-AC30</f>
        <v>11530</v>
      </c>
      <c r="AD41" s="482">
        <f>+AD34-AD30</f>
        <v>10520</v>
      </c>
      <c r="AE41" s="482">
        <f>+AE34-AE30</f>
        <v>10170</v>
      </c>
      <c r="AF41" s="482">
        <f>+AF34-AF30</f>
        <v>10500</v>
      </c>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row>
    <row r="42" spans="1:256" s="3" customFormat="1" ht="12.75" customHeight="1" x14ac:dyDescent="0.25">
      <c r="A42" s="13"/>
      <c r="B42" s="21"/>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459"/>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c r="EU42" s="13"/>
      <c r="EV42" s="13"/>
      <c r="EW42" s="13"/>
      <c r="EX42" s="13"/>
      <c r="EY42" s="13"/>
      <c r="EZ42" s="13"/>
      <c r="FA42" s="13"/>
      <c r="FB42" s="13"/>
      <c r="FC42" s="13"/>
      <c r="FD42" s="13"/>
      <c r="FE42" s="13"/>
      <c r="FF42" s="13"/>
      <c r="FG42" s="13"/>
      <c r="FH42" s="13"/>
      <c r="FI42" s="13"/>
      <c r="FJ42" s="13"/>
      <c r="FK42" s="13"/>
      <c r="FL42" s="13"/>
      <c r="FM42" s="13"/>
      <c r="FN42" s="13"/>
      <c r="FO42" s="13"/>
      <c r="FP42" s="13"/>
      <c r="FQ42" s="13"/>
      <c r="FR42" s="13"/>
      <c r="FS42" s="13"/>
      <c r="FT42" s="13"/>
      <c r="FU42" s="13"/>
      <c r="FV42" s="13"/>
      <c r="FW42" s="13"/>
      <c r="FX42" s="13"/>
      <c r="FY42" s="13"/>
      <c r="FZ42" s="13"/>
      <c r="GA42" s="13"/>
      <c r="GB42" s="13"/>
      <c r="GC42" s="13"/>
      <c r="GD42" s="13"/>
      <c r="GE42" s="13"/>
      <c r="GF42" s="13"/>
      <c r="GG42" s="13"/>
      <c r="GH42" s="13"/>
      <c r="GI42" s="13"/>
      <c r="GJ42" s="13"/>
      <c r="GK42" s="13"/>
      <c r="GL42" s="13"/>
      <c r="GM42" s="13"/>
      <c r="GN42" s="13"/>
      <c r="GO42" s="13"/>
      <c r="GP42" s="13"/>
      <c r="GQ42" s="13"/>
      <c r="GR42" s="13"/>
      <c r="GS42" s="13"/>
      <c r="GT42" s="13"/>
      <c r="GU42" s="13"/>
      <c r="GV42" s="13"/>
      <c r="GW42" s="13"/>
      <c r="GX42" s="13"/>
      <c r="GY42" s="13"/>
      <c r="GZ42" s="13"/>
      <c r="HA42" s="13"/>
      <c r="HB42" s="13"/>
      <c r="HC42" s="13"/>
      <c r="HD42" s="13"/>
      <c r="HE42" s="13"/>
      <c r="HF42" s="13"/>
      <c r="HG42" s="13"/>
      <c r="HH42" s="13"/>
      <c r="HI42" s="13"/>
      <c r="HJ42" s="13"/>
      <c r="HK42" s="13"/>
      <c r="HL42" s="13"/>
      <c r="HM42" s="13"/>
      <c r="HN42" s="13"/>
      <c r="HO42" s="13"/>
      <c r="HP42" s="13"/>
      <c r="HQ42" s="13"/>
      <c r="HR42" s="13"/>
      <c r="HS42" s="13"/>
      <c r="HT42" s="13"/>
      <c r="HU42" s="13"/>
      <c r="HV42" s="13"/>
      <c r="HW42" s="13"/>
      <c r="HX42" s="13"/>
      <c r="HY42" s="13"/>
      <c r="HZ42" s="13"/>
      <c r="IA42" s="13"/>
      <c r="IB42" s="13"/>
      <c r="IC42" s="13"/>
      <c r="ID42" s="13"/>
      <c r="IE42" s="13"/>
      <c r="IF42" s="13"/>
      <c r="IG42" s="13"/>
      <c r="IH42" s="13"/>
      <c r="II42" s="13"/>
      <c r="IJ42" s="13"/>
      <c r="IK42" s="13"/>
      <c r="IL42" s="13"/>
      <c r="IM42" s="13"/>
      <c r="IN42" s="13"/>
      <c r="IO42" s="13"/>
      <c r="IP42" s="13"/>
      <c r="IQ42" s="13"/>
      <c r="IR42" s="13"/>
      <c r="IS42" s="13"/>
      <c r="IT42" s="13"/>
      <c r="IU42" s="13"/>
      <c r="IV42" s="13"/>
    </row>
    <row r="43" spans="1:256" s="3" customFormat="1" ht="12.75" customHeight="1" x14ac:dyDescent="0.25">
      <c r="A43" s="13"/>
      <c r="B43" s="21"/>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2"/>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c r="EU43" s="13"/>
      <c r="EV43" s="13"/>
      <c r="EW43" s="13"/>
      <c r="EX43" s="13"/>
      <c r="EY43" s="13"/>
      <c r="EZ43" s="13"/>
      <c r="FA43" s="13"/>
      <c r="FB43" s="13"/>
      <c r="FC43" s="13"/>
      <c r="FD43" s="13"/>
      <c r="FE43" s="13"/>
      <c r="FF43" s="13"/>
      <c r="FG43" s="13"/>
      <c r="FH43" s="13"/>
      <c r="FI43" s="13"/>
      <c r="FJ43" s="13"/>
      <c r="FK43" s="13"/>
      <c r="FL43" s="13"/>
      <c r="FM43" s="13"/>
      <c r="FN43" s="13"/>
      <c r="FO43" s="13"/>
      <c r="FP43" s="13"/>
      <c r="FQ43" s="13"/>
      <c r="FR43" s="13"/>
      <c r="FS43" s="13"/>
      <c r="FT43" s="13"/>
      <c r="FU43" s="13"/>
      <c r="FV43" s="13"/>
      <c r="FW43" s="13"/>
      <c r="FX43" s="13"/>
      <c r="FY43" s="13"/>
      <c r="FZ43" s="13"/>
      <c r="GA43" s="13"/>
      <c r="GB43" s="13"/>
      <c r="GC43" s="13"/>
      <c r="GD43" s="13"/>
      <c r="GE43" s="13"/>
      <c r="GF43" s="13"/>
      <c r="GG43" s="13"/>
      <c r="GH43" s="13"/>
      <c r="GI43" s="13"/>
      <c r="GJ43" s="13"/>
      <c r="GK43" s="13"/>
      <c r="GL43" s="13"/>
      <c r="GM43" s="13"/>
      <c r="GN43" s="13"/>
      <c r="GO43" s="13"/>
      <c r="GP43" s="13"/>
      <c r="GQ43" s="13"/>
      <c r="GR43" s="13"/>
      <c r="GS43" s="13"/>
      <c r="GT43" s="13"/>
      <c r="GU43" s="13"/>
      <c r="GV43" s="13"/>
      <c r="GW43" s="13"/>
      <c r="GX43" s="13"/>
      <c r="GY43" s="13"/>
      <c r="GZ43" s="13"/>
      <c r="HA43" s="13"/>
      <c r="HB43" s="13"/>
      <c r="HC43" s="13"/>
      <c r="HD43" s="13"/>
      <c r="HE43" s="13"/>
      <c r="HF43" s="13"/>
      <c r="HG43" s="13"/>
      <c r="HH43" s="13"/>
      <c r="HI43" s="13"/>
      <c r="HJ43" s="13"/>
      <c r="HK43" s="13"/>
      <c r="HL43" s="13"/>
      <c r="HM43" s="13"/>
      <c r="HN43" s="13"/>
      <c r="HO43" s="13"/>
      <c r="HP43" s="13"/>
      <c r="HQ43" s="13"/>
      <c r="HR43" s="13"/>
      <c r="HS43" s="13"/>
      <c r="HT43" s="13"/>
      <c r="HU43" s="13"/>
      <c r="HV43" s="13"/>
      <c r="HW43" s="13"/>
      <c r="HX43" s="13"/>
      <c r="HY43" s="13"/>
      <c r="HZ43" s="13"/>
      <c r="IA43" s="13"/>
      <c r="IB43" s="13"/>
      <c r="IC43" s="13"/>
      <c r="ID43" s="13"/>
      <c r="IE43" s="13"/>
      <c r="IF43" s="13"/>
      <c r="IG43" s="13"/>
      <c r="IH43" s="13"/>
      <c r="II43" s="13"/>
      <c r="IJ43" s="13"/>
      <c r="IK43" s="13"/>
      <c r="IL43" s="13"/>
      <c r="IM43" s="13"/>
      <c r="IN43" s="13"/>
      <c r="IO43" s="13"/>
      <c r="IP43" s="13"/>
      <c r="IQ43" s="13"/>
      <c r="IR43" s="13"/>
      <c r="IS43" s="13"/>
      <c r="IT43" s="13"/>
      <c r="IU43" s="13"/>
      <c r="IV43" s="13"/>
    </row>
    <row r="44" spans="1:256" s="3" customFormat="1" ht="12.75" customHeight="1" x14ac:dyDescent="0.25">
      <c r="A44" s="22"/>
      <c r="B44" s="454">
        <f>IF(B9="",0,1)</f>
        <v>1</v>
      </c>
      <c r="C44" s="454">
        <f>IF(C9="",0,1)</f>
        <v>0</v>
      </c>
      <c r="D44" s="454">
        <f>IF(D9="",0,1)</f>
        <v>0</v>
      </c>
      <c r="E44" s="454">
        <f>IF(E9="",0,1)</f>
        <v>0</v>
      </c>
      <c r="F44" s="454">
        <f>IF(F9="",0,1)</f>
        <v>0</v>
      </c>
      <c r="G44" s="454">
        <f>IF(G9="",0,1)</f>
        <v>0</v>
      </c>
      <c r="H44" s="454">
        <f>IF(H9="",0,1)</f>
        <v>1</v>
      </c>
      <c r="I44" s="454">
        <f>IF(I9="",0,1)</f>
        <v>1</v>
      </c>
      <c r="J44" s="454">
        <f>IF(J9="",0,1)</f>
        <v>0</v>
      </c>
      <c r="K44" s="454">
        <f>IF(K9="",0,1)</f>
        <v>0</v>
      </c>
      <c r="L44" s="454">
        <f>IF(L9="",0,1)</f>
        <v>0</v>
      </c>
      <c r="M44" s="454">
        <f>IF(M9="",0,1)</f>
        <v>0</v>
      </c>
      <c r="N44" s="454">
        <f>IF(N9="",0,1)</f>
        <v>0</v>
      </c>
      <c r="O44" s="454">
        <f>IF(O9="",0,1)</f>
        <v>1</v>
      </c>
      <c r="P44" s="454">
        <f>IF(P9="",0,1)</f>
        <v>1</v>
      </c>
      <c r="Q44" s="454">
        <f>IF(Q9="",0,1)</f>
        <v>0</v>
      </c>
      <c r="R44" s="454">
        <f>IF(R9="",0,1)</f>
        <v>0</v>
      </c>
      <c r="S44" s="454">
        <f>IF(S9="",0,1)</f>
        <v>0</v>
      </c>
      <c r="T44" s="454">
        <f>IF(T9="",0,1)</f>
        <v>0</v>
      </c>
      <c r="U44" s="454">
        <f>IF(U9="",0,1)</f>
        <v>0</v>
      </c>
      <c r="V44" s="454">
        <f>IF(V9="",0,1)</f>
        <v>1</v>
      </c>
      <c r="W44" s="454">
        <f>IF(W9="",0,1)</f>
        <v>1</v>
      </c>
      <c r="X44" s="454">
        <f>IF(X9="",0,1)</f>
        <v>1</v>
      </c>
      <c r="Y44" s="454">
        <f>IF(Y9="",0,1)</f>
        <v>1</v>
      </c>
      <c r="Z44" s="454">
        <f>IF(Z9="",0,1)</f>
        <v>1</v>
      </c>
      <c r="AA44" s="454">
        <f>IF(AA9="",0,1)</f>
        <v>1</v>
      </c>
      <c r="AB44" s="454">
        <f>IF(AB9="",0,1)</f>
        <v>1</v>
      </c>
      <c r="AC44" s="454">
        <f>IF(AC9="",0,1)</f>
        <v>1</v>
      </c>
      <c r="AD44" s="454">
        <f>IF(AD9="",0,1)</f>
        <v>1</v>
      </c>
      <c r="AE44" s="454">
        <f>IF(AE9="",0,1)</f>
        <v>1</v>
      </c>
      <c r="AF44" s="454">
        <f>IF(AF9="",0,1)</f>
        <v>1</v>
      </c>
      <c r="AG44" s="1"/>
      <c r="AH44" s="563">
        <f>SUM(B44:AF44)</f>
        <v>16</v>
      </c>
    </row>
    <row r="45" spans="1:256" s="561" customFormat="1" ht="12.75" customHeight="1" x14ac:dyDescent="0.3">
      <c r="A45" s="559" t="s">
        <v>139</v>
      </c>
      <c r="B45" s="562"/>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c r="AA45" s="562"/>
      <c r="AB45" s="562"/>
      <c r="AC45" s="562"/>
      <c r="AD45" s="562"/>
      <c r="AE45" s="562"/>
      <c r="AF45" s="562"/>
      <c r="AG45" s="560"/>
      <c r="AH45" s="562"/>
    </row>
    <row r="46" spans="1:256" ht="19.8" x14ac:dyDescent="0.4">
      <c r="A46" s="13"/>
      <c r="B46" s="2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c r="EU46" s="13"/>
      <c r="EV46" s="13"/>
      <c r="EW46" s="13"/>
      <c r="EX46" s="13"/>
      <c r="EY46" s="13"/>
      <c r="EZ46" s="13"/>
      <c r="FA46" s="13"/>
      <c r="FB46" s="13"/>
      <c r="FC46" s="13"/>
      <c r="FD46" s="13"/>
      <c r="FE46" s="13"/>
      <c r="FF46" s="13"/>
      <c r="FG46" s="13"/>
      <c r="FH46" s="13"/>
      <c r="FI46" s="13"/>
      <c r="FJ46" s="13"/>
      <c r="FK46" s="13"/>
      <c r="FL46" s="13"/>
      <c r="FM46" s="13"/>
      <c r="FN46" s="13"/>
      <c r="FO46" s="13"/>
      <c r="FP46" s="13"/>
      <c r="FQ46" s="13"/>
      <c r="FR46" s="13"/>
      <c r="FS46" s="13"/>
      <c r="FT46" s="13"/>
      <c r="FU46" s="13"/>
      <c r="FV46" s="13"/>
      <c r="FW46" s="13"/>
      <c r="FX46" s="13"/>
      <c r="FY46" s="13"/>
      <c r="FZ46" s="13"/>
      <c r="GA46" s="13"/>
      <c r="GB46" s="13"/>
      <c r="GC46" s="13"/>
      <c r="GD46" s="13"/>
      <c r="GE46" s="13"/>
      <c r="GF46" s="13"/>
      <c r="GG46" s="13"/>
      <c r="GH46" s="13"/>
      <c r="GI46" s="13"/>
      <c r="GJ46" s="13"/>
      <c r="GK46" s="13"/>
      <c r="GL46" s="13"/>
      <c r="GM46" s="13"/>
      <c r="GN46" s="13"/>
      <c r="GO46" s="13"/>
      <c r="GP46" s="13"/>
      <c r="GQ46" s="13"/>
      <c r="GR46" s="13"/>
      <c r="GS46" s="13"/>
      <c r="GT46" s="13"/>
      <c r="GU46" s="13"/>
      <c r="GV46" s="13"/>
      <c r="GW46" s="13"/>
      <c r="GX46" s="13"/>
      <c r="GY46" s="13"/>
      <c r="GZ46" s="13"/>
      <c r="HA46" s="13"/>
      <c r="HB46" s="13"/>
      <c r="HC46" s="13"/>
      <c r="HD46" s="13"/>
      <c r="HE46" s="13"/>
      <c r="HF46" s="13"/>
      <c r="HG46" s="13"/>
      <c r="HH46" s="13"/>
      <c r="HI46" s="13"/>
      <c r="HJ46" s="13"/>
      <c r="HK46" s="13"/>
      <c r="HL46" s="13"/>
      <c r="HM46" s="13"/>
      <c r="HN46" s="13"/>
      <c r="HO46" s="13"/>
      <c r="HP46" s="13"/>
      <c r="HQ46" s="13"/>
      <c r="HR46" s="13"/>
      <c r="HS46" s="13"/>
      <c r="HT46" s="13"/>
      <c r="HU46" s="13"/>
      <c r="HV46" s="13"/>
      <c r="HW46" s="13"/>
      <c r="HX46" s="13"/>
      <c r="HY46" s="13"/>
      <c r="HZ46" s="13"/>
      <c r="IA46" s="13"/>
      <c r="IB46" s="13"/>
      <c r="IC46" s="13"/>
      <c r="ID46" s="13"/>
      <c r="IE46" s="13"/>
      <c r="IF46" s="13"/>
      <c r="IG46" s="13"/>
      <c r="IH46" s="13"/>
      <c r="II46" s="13"/>
      <c r="IJ46" s="13"/>
      <c r="IK46" s="13"/>
      <c r="IL46" s="13"/>
      <c r="IM46" s="13"/>
      <c r="IN46" s="13"/>
      <c r="IO46" s="13"/>
      <c r="IP46" s="13"/>
      <c r="IQ46" s="13"/>
      <c r="IR46" s="13"/>
      <c r="IS46" s="13"/>
      <c r="IT46" s="13"/>
      <c r="IU46" s="13"/>
      <c r="IV46" s="13"/>
    </row>
    <row r="47" spans="1:256" ht="19.8" x14ac:dyDescent="0.4">
      <c r="A47" s="13"/>
      <c r="B47" s="21"/>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c r="EU47" s="13"/>
      <c r="EV47" s="13"/>
      <c r="EW47" s="13"/>
      <c r="EX47" s="13"/>
      <c r="EY47" s="13"/>
      <c r="EZ47" s="13"/>
      <c r="FA47" s="13"/>
      <c r="FB47" s="13"/>
      <c r="FC47" s="13"/>
      <c r="FD47" s="13"/>
      <c r="FE47" s="13"/>
      <c r="FF47" s="13"/>
      <c r="FG47" s="13"/>
      <c r="FH47" s="13"/>
      <c r="FI47" s="13"/>
      <c r="FJ47" s="13"/>
      <c r="FK47" s="13"/>
      <c r="FL47" s="13"/>
      <c r="FM47" s="13"/>
      <c r="FN47" s="13"/>
      <c r="FO47" s="13"/>
      <c r="FP47" s="13"/>
      <c r="FQ47" s="13"/>
      <c r="FR47" s="13"/>
      <c r="FS47" s="13"/>
      <c r="FT47" s="13"/>
      <c r="FU47" s="13"/>
      <c r="FV47" s="13"/>
      <c r="FW47" s="13"/>
      <c r="FX47" s="13"/>
      <c r="FY47" s="13"/>
      <c r="FZ47" s="13"/>
      <c r="GA47" s="13"/>
      <c r="GB47" s="13"/>
      <c r="GC47" s="13"/>
      <c r="GD47" s="13"/>
      <c r="GE47" s="13"/>
      <c r="GF47" s="13"/>
      <c r="GG47" s="13"/>
      <c r="GH47" s="13"/>
      <c r="GI47" s="13"/>
      <c r="GJ47" s="13"/>
      <c r="GK47" s="13"/>
      <c r="GL47" s="13"/>
      <c r="GM47" s="13"/>
      <c r="GN47" s="13"/>
      <c r="GO47" s="13"/>
      <c r="GP47" s="13"/>
      <c r="GQ47" s="13"/>
      <c r="GR47" s="13"/>
      <c r="GS47" s="13"/>
      <c r="GT47" s="13"/>
      <c r="GU47" s="13"/>
      <c r="GV47" s="13"/>
      <c r="GW47" s="13"/>
      <c r="GX47" s="13"/>
      <c r="GY47" s="13"/>
      <c r="GZ47" s="13"/>
      <c r="HA47" s="13"/>
      <c r="HB47" s="13"/>
      <c r="HC47" s="13"/>
      <c r="HD47" s="13"/>
      <c r="HE47" s="13"/>
      <c r="HF47" s="13"/>
      <c r="HG47" s="13"/>
      <c r="HH47" s="13"/>
      <c r="HI47" s="13"/>
      <c r="HJ47" s="13"/>
      <c r="HK47" s="13"/>
      <c r="HL47" s="13"/>
      <c r="HM47" s="13"/>
      <c r="HN47" s="13"/>
      <c r="HO47" s="13"/>
      <c r="HP47" s="13"/>
      <c r="HQ47" s="13"/>
      <c r="HR47" s="13"/>
      <c r="HS47" s="13"/>
      <c r="HT47" s="13"/>
      <c r="HU47" s="13"/>
      <c r="HV47" s="13"/>
      <c r="HW47" s="13"/>
      <c r="HX47" s="13"/>
      <c r="HY47" s="13"/>
      <c r="HZ47" s="13"/>
      <c r="IA47" s="13"/>
      <c r="IB47" s="13"/>
      <c r="IC47" s="13"/>
      <c r="ID47" s="13"/>
      <c r="IE47" s="13"/>
      <c r="IF47" s="13"/>
      <c r="IG47" s="13"/>
      <c r="IH47" s="13"/>
      <c r="II47" s="13"/>
      <c r="IJ47" s="13"/>
      <c r="IK47" s="13"/>
      <c r="IL47" s="13"/>
      <c r="IM47" s="13"/>
      <c r="IN47" s="13"/>
      <c r="IO47" s="13"/>
      <c r="IP47" s="13"/>
      <c r="IQ47" s="13"/>
      <c r="IR47" s="13"/>
      <c r="IS47" s="13"/>
      <c r="IT47" s="13"/>
      <c r="IU47" s="13"/>
      <c r="IV47" s="13"/>
    </row>
    <row r="48" spans="1:256" ht="19.8" x14ac:dyDescent="0.4">
      <c r="A48" s="23"/>
      <c r="B48" s="2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c r="EU48" s="13"/>
      <c r="EV48" s="13"/>
      <c r="EW48" s="13"/>
      <c r="EX48" s="13"/>
      <c r="EY48" s="13"/>
      <c r="EZ48" s="13"/>
      <c r="FA48" s="13"/>
      <c r="FB48" s="13"/>
      <c r="FC48" s="13"/>
      <c r="FD48" s="13"/>
      <c r="FE48" s="13"/>
      <c r="FF48" s="13"/>
      <c r="FG48" s="13"/>
      <c r="FH48" s="13"/>
      <c r="FI48" s="13"/>
      <c r="FJ48" s="13"/>
      <c r="FK48" s="13"/>
      <c r="FL48" s="13"/>
      <c r="FM48" s="13"/>
      <c r="FN48" s="13"/>
      <c r="FO48" s="13"/>
      <c r="FP48" s="13"/>
      <c r="FQ48" s="13"/>
      <c r="FR48" s="13"/>
      <c r="FS48" s="13"/>
      <c r="FT48" s="13"/>
      <c r="FU48" s="13"/>
      <c r="FV48" s="13"/>
      <c r="FW48" s="13"/>
      <c r="FX48" s="13"/>
      <c r="FY48" s="13"/>
      <c r="FZ48" s="13"/>
      <c r="GA48" s="13"/>
      <c r="GB48" s="13"/>
      <c r="GC48" s="13"/>
      <c r="GD48" s="13"/>
      <c r="GE48" s="13"/>
      <c r="GF48" s="13"/>
      <c r="GG48" s="13"/>
      <c r="GH48" s="13"/>
      <c r="GI48" s="13"/>
      <c r="GJ48" s="13"/>
      <c r="GK48" s="13"/>
      <c r="GL48" s="13"/>
      <c r="GM48" s="13"/>
      <c r="GN48" s="13"/>
      <c r="GO48" s="13"/>
      <c r="GP48" s="13"/>
      <c r="GQ48" s="13"/>
      <c r="GR48" s="13"/>
      <c r="GS48" s="13"/>
      <c r="GT48" s="13"/>
      <c r="GU48" s="13"/>
      <c r="GV48" s="13"/>
      <c r="GW48" s="13"/>
      <c r="GX48" s="13"/>
      <c r="GY48" s="13"/>
      <c r="GZ48" s="13"/>
      <c r="HA48" s="13"/>
      <c r="HB48" s="13"/>
      <c r="HC48" s="13"/>
      <c r="HD48" s="13"/>
      <c r="HE48" s="13"/>
      <c r="HF48" s="13"/>
      <c r="HG48" s="13"/>
      <c r="HH48" s="13"/>
      <c r="HI48" s="13"/>
      <c r="HJ48" s="13"/>
      <c r="HK48" s="13"/>
      <c r="HL48" s="13"/>
      <c r="HM48" s="13"/>
      <c r="HN48" s="13"/>
      <c r="HO48" s="13"/>
      <c r="HP48" s="13"/>
      <c r="HQ48" s="13"/>
      <c r="HR48" s="13"/>
      <c r="HS48" s="13"/>
      <c r="HT48" s="13"/>
      <c r="HU48" s="13"/>
      <c r="HV48" s="13"/>
      <c r="HW48" s="13"/>
      <c r="HX48" s="13"/>
      <c r="HY48" s="13"/>
      <c r="HZ48" s="13"/>
      <c r="IA48" s="13"/>
      <c r="IB48" s="13"/>
      <c r="IC48" s="13"/>
      <c r="ID48" s="13"/>
      <c r="IE48" s="13"/>
      <c r="IF48" s="13"/>
      <c r="IG48" s="13"/>
      <c r="IH48" s="13"/>
      <c r="II48" s="13"/>
      <c r="IJ48" s="13"/>
      <c r="IK48" s="13"/>
      <c r="IL48" s="13"/>
      <c r="IM48" s="13"/>
      <c r="IN48" s="13"/>
      <c r="IO48" s="13"/>
      <c r="IP48" s="13"/>
      <c r="IQ48" s="13"/>
      <c r="IR48" s="13"/>
      <c r="IS48" s="13"/>
      <c r="IT48" s="13"/>
      <c r="IU48" s="13"/>
      <c r="IV48" s="13"/>
    </row>
    <row r="49" spans="1:2" ht="18.600000000000001" x14ac:dyDescent="0.4">
      <c r="A49" s="23"/>
      <c r="B49" s="21"/>
    </row>
    <row r="50" spans="1:2" ht="18.600000000000001" x14ac:dyDescent="0.4">
      <c r="A50" s="23"/>
      <c r="B50" s="21"/>
    </row>
    <row r="51" spans="1:2" ht="18.600000000000001" x14ac:dyDescent="0.4">
      <c r="A51" s="23"/>
      <c r="B51" s="21"/>
    </row>
    <row r="52" spans="1:2" ht="18.600000000000001" x14ac:dyDescent="0.4">
      <c r="A52" s="23"/>
      <c r="B52" s="21"/>
    </row>
    <row r="53" spans="1:2" ht="18.600000000000001" x14ac:dyDescent="0.4">
      <c r="A53" s="23"/>
      <c r="B53" s="21"/>
    </row>
    <row r="55" spans="1:2" ht="18.600000000000001" x14ac:dyDescent="0.4">
      <c r="A55" s="23"/>
      <c r="B55" s="21"/>
    </row>
    <row r="56" spans="1:2" ht="18.600000000000001" x14ac:dyDescent="0.4">
      <c r="A56" s="23"/>
      <c r="B56" s="21"/>
    </row>
    <row r="57" spans="1:2" ht="18.600000000000001" x14ac:dyDescent="0.4">
      <c r="A57" s="23"/>
      <c r="B57" s="21"/>
    </row>
    <row r="58" spans="1:2" ht="18.600000000000001" x14ac:dyDescent="0.4">
      <c r="A58" s="23"/>
      <c r="B58" s="21"/>
    </row>
    <row r="59" spans="1:2" ht="18.600000000000001" x14ac:dyDescent="0.4">
      <c r="A59" s="23"/>
      <c r="B59" s="21"/>
    </row>
    <row r="60" spans="1:2" ht="18.600000000000001" x14ac:dyDescent="0.4">
      <c r="A60" s="23"/>
      <c r="B60" s="21"/>
    </row>
    <row r="61" spans="1:2" ht="18.600000000000001" x14ac:dyDescent="0.4">
      <c r="A61" s="23"/>
      <c r="B61" s="21"/>
    </row>
    <row r="62" spans="1:2" ht="18.600000000000001" x14ac:dyDescent="0.4">
      <c r="A62" s="23"/>
      <c r="B62" s="21"/>
    </row>
    <row r="63" spans="1:2" ht="18.600000000000001" x14ac:dyDescent="0.4">
      <c r="A63" s="23"/>
      <c r="B63" s="21"/>
    </row>
    <row r="64" spans="1:2" ht="18.600000000000001" x14ac:dyDescent="0.4">
      <c r="A64" s="23"/>
      <c r="B64" s="21"/>
    </row>
    <row r="65" spans="1:2" ht="18.600000000000001" x14ac:dyDescent="0.4">
      <c r="A65" s="23"/>
      <c r="B65" s="21"/>
    </row>
    <row r="66" spans="1:2" ht="18.600000000000001" x14ac:dyDescent="0.4">
      <c r="A66" s="23"/>
      <c r="B66" s="21"/>
    </row>
    <row r="67" spans="1:2" ht="18.600000000000001" x14ac:dyDescent="0.4">
      <c r="A67" s="23"/>
      <c r="B67" s="21"/>
    </row>
    <row r="68" spans="1:2" ht="18.600000000000001" x14ac:dyDescent="0.4">
      <c r="A68" s="23"/>
      <c r="B68" s="21"/>
    </row>
    <row r="69" spans="1:2" ht="18.600000000000001" x14ac:dyDescent="0.4">
      <c r="A69" s="23"/>
      <c r="B69" s="21"/>
    </row>
    <row r="70" spans="1:2" ht="18.600000000000001" x14ac:dyDescent="0.4">
      <c r="A70" s="23"/>
      <c r="B70" s="21"/>
    </row>
    <row r="71" spans="1:2" ht="18.600000000000001" x14ac:dyDescent="0.4">
      <c r="A71" s="23"/>
      <c r="B71" s="21"/>
    </row>
    <row r="72" spans="1:2" ht="18.600000000000001" x14ac:dyDescent="0.4">
      <c r="A72" s="23"/>
    </row>
    <row r="73" spans="1:2" ht="18.600000000000001" x14ac:dyDescent="0.4">
      <c r="A73" s="23"/>
    </row>
    <row r="74" spans="1:2" ht="18.600000000000001" x14ac:dyDescent="0.4">
      <c r="A74" s="23"/>
    </row>
    <row r="75" spans="1:2" ht="18.600000000000001" x14ac:dyDescent="0.4">
      <c r="A75" s="23"/>
    </row>
    <row r="76" spans="1:2" ht="18.600000000000001" x14ac:dyDescent="0.4">
      <c r="A76" s="23"/>
    </row>
    <row r="77" spans="1:2" ht="18.600000000000001" x14ac:dyDescent="0.4">
      <c r="A77" s="23"/>
    </row>
    <row r="78" spans="1:2" ht="18.600000000000001" x14ac:dyDescent="0.4">
      <c r="A78" s="23"/>
    </row>
  </sheetData>
  <mergeCells count="1">
    <mergeCell ref="B1:U1"/>
  </mergeCells>
  <conditionalFormatting sqref="A14:A34">
    <cfRule type="expression" dxfId="47" priority="2" stopIfTrue="1">
      <formula>$P14="ALERTE"</formula>
    </cfRule>
  </conditionalFormatting>
  <conditionalFormatting sqref="A45">
    <cfRule type="expression" dxfId="46" priority="5" stopIfTrue="1">
      <formula>$P45="ALERTE"</formula>
    </cfRule>
  </conditionalFormatting>
  <conditionalFormatting sqref="B8:D8">
    <cfRule type="expression" dxfId="45" priority="17" stopIfTrue="1">
      <formula>$BH8="ALERTE"</formula>
    </cfRule>
  </conditionalFormatting>
  <conditionalFormatting sqref="B9:D9">
    <cfRule type="expression" dxfId="44" priority="15" stopIfTrue="1">
      <formula>$BJ9="ALERTE"</formula>
    </cfRule>
  </conditionalFormatting>
  <conditionalFormatting sqref="B10:D10">
    <cfRule type="expression" dxfId="43" priority="16" stopIfTrue="1">
      <formula>$BS10="ALERTE"</formula>
    </cfRule>
  </conditionalFormatting>
  <conditionalFormatting sqref="B3:AD5 AE3:AF6 A3:A10 B35:AF35 B42:B43 B46:B53 B55:B71">
    <cfRule type="expression" dxfId="42" priority="44" stopIfTrue="1">
      <formula>$P3="ALERTE"</formula>
    </cfRule>
  </conditionalFormatting>
  <conditionalFormatting sqref="B6:AD6 B7:U7">
    <cfRule type="expression" dxfId="41" priority="45" stopIfTrue="1">
      <formula>$BI6="ALERTE"</formula>
    </cfRule>
  </conditionalFormatting>
  <conditionalFormatting sqref="B14:AF14">
    <cfRule type="expression" dxfId="40" priority="14" stopIfTrue="1">
      <formula>$BI14="ALERTE"</formula>
    </cfRule>
  </conditionalFormatting>
  <conditionalFormatting sqref="B15:AF21">
    <cfRule type="expression" dxfId="39" priority="1" stopIfTrue="1">
      <formula>$P15="ALERTE"</formula>
    </cfRule>
  </conditionalFormatting>
  <conditionalFormatting sqref="B37:AF38">
    <cfRule type="cellIs" dxfId="38" priority="34" stopIfTrue="1" operator="equal">
      <formula>"THF"</formula>
    </cfRule>
    <cfRule type="cellIs" dxfId="37" priority="35" stopIfTrue="1" operator="equal">
      <formula>"HF"</formula>
    </cfRule>
    <cfRule type="cellIs" dxfId="36" priority="36" stopIfTrue="1" operator="equal">
      <formula>"MF"</formula>
    </cfRule>
  </conditionalFormatting>
  <conditionalFormatting sqref="B40:AF40">
    <cfRule type="cellIs" dxfId="35" priority="46" stopIfTrue="1" operator="equal">
      <formula>"THF"</formula>
    </cfRule>
    <cfRule type="cellIs" dxfId="34" priority="47" stopIfTrue="1" operator="equal">
      <formula>"HF"</formula>
    </cfRule>
    <cfRule type="cellIs" dxfId="33" priority="48" stopIfTrue="1" operator="equal">
      <formula>"MF"</formula>
    </cfRule>
  </conditionalFormatting>
  <conditionalFormatting sqref="B44:AF44">
    <cfRule type="expression" dxfId="32" priority="37" stopIfTrue="1">
      <formula>$P44="ALERTE"</formula>
    </cfRule>
  </conditionalFormatting>
  <conditionalFormatting sqref="B45:AF45">
    <cfRule type="expression" dxfId="31" priority="3" stopIfTrue="1">
      <formula>$BI45="ALERTE"</formula>
    </cfRule>
  </conditionalFormatting>
  <conditionalFormatting sqref="E8:F9">
    <cfRule type="expression" dxfId="30" priority="23" stopIfTrue="1">
      <formula>$BI8="ALERTE"</formula>
    </cfRule>
  </conditionalFormatting>
  <conditionalFormatting sqref="E10:M10">
    <cfRule type="expression" dxfId="29" priority="22" stopIfTrue="1">
      <formula>$BJ10="ALERTE"</formula>
    </cfRule>
  </conditionalFormatting>
  <conditionalFormatting sqref="F20">
    <cfRule type="expression" dxfId="28" priority="25" stopIfTrue="1">
      <formula>$P20="ALERTE"</formula>
    </cfRule>
  </conditionalFormatting>
  <conditionalFormatting sqref="G9">
    <cfRule type="expression" dxfId="27" priority="27" stopIfTrue="1">
      <formula>$BI9="ALERTE"</formula>
    </cfRule>
  </conditionalFormatting>
  <conditionalFormatting sqref="G8:I8">
    <cfRule type="expression" dxfId="26" priority="28" stopIfTrue="1">
      <formula>$BI8="ALERTE"</formula>
    </cfRule>
  </conditionalFormatting>
  <conditionalFormatting sqref="G10:I10">
    <cfRule type="expression" dxfId="25" priority="32" stopIfTrue="1">
      <formula>$BJ10="ALERTE"</formula>
    </cfRule>
  </conditionalFormatting>
  <conditionalFormatting sqref="H10">
    <cfRule type="expression" dxfId="24" priority="29" stopIfTrue="1">
      <formula>$BI10="ALERTE"</formula>
    </cfRule>
  </conditionalFormatting>
  <conditionalFormatting sqref="H15">
    <cfRule type="expression" dxfId="23" priority="41" stopIfTrue="1">
      <formula>$P15="ALERTE"</formula>
    </cfRule>
  </conditionalFormatting>
  <conditionalFormatting sqref="H8:I9">
    <cfRule type="expression" dxfId="22" priority="31" stopIfTrue="1">
      <formula>$BI8="ALERTE"</formula>
    </cfRule>
  </conditionalFormatting>
  <conditionalFormatting sqref="H8:K8">
    <cfRule type="expression" dxfId="21" priority="20" stopIfTrue="1">
      <formula>$BH8="ALERTE"</formula>
    </cfRule>
  </conditionalFormatting>
  <conditionalFormatting sqref="H9:K9">
    <cfRule type="expression" dxfId="20" priority="18" stopIfTrue="1">
      <formula>$BJ9="ALERTE"</formula>
    </cfRule>
  </conditionalFormatting>
  <conditionalFormatting sqref="H10:K10">
    <cfRule type="expression" dxfId="19" priority="19" stopIfTrue="1">
      <formula>$BS10="ALERTE"</formula>
    </cfRule>
  </conditionalFormatting>
  <conditionalFormatting sqref="J8:K9">
    <cfRule type="expression" dxfId="18" priority="10" stopIfTrue="1">
      <formula>$BI8="ALERTE"</formula>
    </cfRule>
  </conditionalFormatting>
  <conditionalFormatting sqref="J10:M10">
    <cfRule type="expression" dxfId="17" priority="24" stopIfTrue="1">
      <formula>$BI10="ALERTE"</formula>
    </cfRule>
  </conditionalFormatting>
  <conditionalFormatting sqref="J10:U10">
    <cfRule type="expression" dxfId="16" priority="26" stopIfTrue="1">
      <formula>$BJ10="ALERTE"</formula>
    </cfRule>
  </conditionalFormatting>
  <conditionalFormatting sqref="L8:P9">
    <cfRule type="expression" dxfId="15" priority="21" stopIfTrue="1">
      <formula>$BI8="ALERTE"</formula>
    </cfRule>
  </conditionalFormatting>
  <conditionalFormatting sqref="N10:P10">
    <cfRule type="expression" dxfId="14" priority="43" stopIfTrue="1">
      <formula>$BI10="ALERTE"</formula>
    </cfRule>
  </conditionalFormatting>
  <conditionalFormatting sqref="O8:R8">
    <cfRule type="expression" dxfId="13" priority="13" stopIfTrue="1">
      <formula>$BH8="ALERTE"</formula>
    </cfRule>
  </conditionalFormatting>
  <conditionalFormatting sqref="O9:R9">
    <cfRule type="expression" dxfId="12" priority="11" stopIfTrue="1">
      <formula>$BJ9="ALERTE"</formula>
    </cfRule>
  </conditionalFormatting>
  <conditionalFormatting sqref="O10:R10">
    <cfRule type="expression" dxfId="11" priority="12" stopIfTrue="1">
      <formula>$BS10="ALERTE"</formula>
    </cfRule>
  </conditionalFormatting>
  <conditionalFormatting sqref="P15">
    <cfRule type="expression" dxfId="10" priority="33" stopIfTrue="1">
      <formula>$P15="ALERTE"</formula>
    </cfRule>
  </conditionalFormatting>
  <conditionalFormatting sqref="Q8:R10">
    <cfRule type="expression" dxfId="9" priority="9" stopIfTrue="1">
      <formula>$BI8="ALERTE"</formula>
    </cfRule>
  </conditionalFormatting>
  <conditionalFormatting sqref="S8:U10">
    <cfRule type="expression" dxfId="8" priority="30" stopIfTrue="1">
      <formula>$BI8="ALERTE"</formula>
    </cfRule>
  </conditionalFormatting>
  <conditionalFormatting sqref="V7:AF7">
    <cfRule type="expression" dxfId="7" priority="42" stopIfTrue="1">
      <formula>$AY7="ALERTE"</formula>
    </cfRule>
  </conditionalFormatting>
  <conditionalFormatting sqref="V8:AF8">
    <cfRule type="expression" dxfId="6" priority="8" stopIfTrue="1">
      <formula>$BI8="ALERTE"</formula>
    </cfRule>
  </conditionalFormatting>
  <conditionalFormatting sqref="V9:AF9">
    <cfRule type="expression" dxfId="5" priority="7" stopIfTrue="1">
      <formula>$BF9="ALERTE"</formula>
    </cfRule>
  </conditionalFormatting>
  <conditionalFormatting sqref="V10:AF10">
    <cfRule type="expression" dxfId="4" priority="6" stopIfTrue="1">
      <formula>$BS10="ALERTE"</formula>
    </cfRule>
  </conditionalFormatting>
  <conditionalFormatting sqref="AH6:AH10">
    <cfRule type="expression" dxfId="3" priority="38" stopIfTrue="1">
      <formula>$BI6="ALERTE"</formula>
    </cfRule>
  </conditionalFormatting>
  <conditionalFormatting sqref="AH14">
    <cfRule type="expression" dxfId="2" priority="39" stopIfTrue="1">
      <formula>$BI14="ALERTE"</formula>
    </cfRule>
  </conditionalFormatting>
  <conditionalFormatting sqref="AH15:AH16">
    <cfRule type="expression" dxfId="1" priority="40" stopIfTrue="1">
      <formula>$P15="ALERTE"</formula>
    </cfRule>
  </conditionalFormatting>
  <conditionalFormatting sqref="AH45">
    <cfRule type="expression" dxfId="0" priority="4" stopIfTrue="1">
      <formula>$BI45="ALERTE"</formula>
    </cfRule>
  </conditionalFormatting>
  <printOptions horizontalCentered="1" verticalCentered="1"/>
  <pageMargins left="0" right="0" top="0" bottom="0" header="0.51181102362204722" footer="0.51181102362204722"/>
  <pageSetup paperSize="45" scale="49" orientation="landscape" r:id="rId1"/>
  <headerFooter alignWithMargins="0">
    <oddFooter xml:space="preserve">&amp;Rimprimé le &amp;D à &amp;T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1">
    <pageSetUpPr autoPageBreaks="0" fitToPage="1"/>
  </sheetPr>
  <dimension ref="A1:O995"/>
  <sheetViews>
    <sheetView zoomScale="85" zoomScaleNormal="75" zoomScaleSheetLayoutView="75" workbookViewId="0">
      <selection activeCell="F10" sqref="F10"/>
    </sheetView>
  </sheetViews>
  <sheetFormatPr baseColWidth="10" defaultColWidth="11.44140625" defaultRowHeight="13.2" x14ac:dyDescent="0.25"/>
  <cols>
    <col min="1" max="1" width="28.44140625" style="20" customWidth="1"/>
    <col min="2" max="14" width="18.33203125" customWidth="1"/>
    <col min="15" max="15" width="11.44140625" style="27" customWidth="1"/>
    <col min="16" max="16384" width="11.44140625" style="583"/>
  </cols>
  <sheetData>
    <row r="1" spans="1:15" s="582" customFormat="1" ht="63" customHeight="1" x14ac:dyDescent="0.25">
      <c r="A1" s="584" t="s">
        <v>138</v>
      </c>
      <c r="B1" s="693" t="s">
        <v>48</v>
      </c>
      <c r="C1" s="693"/>
      <c r="D1" s="693"/>
      <c r="E1" s="693"/>
      <c r="F1" s="693"/>
      <c r="G1" s="693"/>
      <c r="H1" s="693"/>
      <c r="I1" s="693"/>
      <c r="J1" s="693"/>
      <c r="K1" s="693"/>
      <c r="L1" s="693"/>
      <c r="M1" s="693"/>
      <c r="N1" s="693"/>
      <c r="O1" s="3"/>
    </row>
    <row r="2" spans="1:15" s="582" customFormat="1" ht="19.5" customHeight="1" x14ac:dyDescent="0.25">
      <c r="A2" s="50"/>
      <c r="B2" s="49"/>
      <c r="C2" s="49"/>
      <c r="D2" s="49"/>
      <c r="E2" s="49"/>
      <c r="F2" s="49"/>
      <c r="G2" s="49"/>
      <c r="H2" s="49"/>
      <c r="I2" s="49"/>
      <c r="J2" s="49"/>
      <c r="K2" s="49"/>
      <c r="L2" s="49"/>
      <c r="M2" s="49"/>
      <c r="N2" s="49"/>
      <c r="O2" s="49"/>
    </row>
    <row r="3" spans="1:15" ht="19.8" x14ac:dyDescent="0.25">
      <c r="A3" s="52" t="s">
        <v>27</v>
      </c>
      <c r="B3" s="53">
        <v>45200</v>
      </c>
      <c r="C3" s="53">
        <v>45231</v>
      </c>
      <c r="D3" s="53">
        <v>45261</v>
      </c>
      <c r="E3" s="53">
        <v>45292</v>
      </c>
      <c r="F3" s="53">
        <v>45323</v>
      </c>
      <c r="G3" s="53">
        <v>45352</v>
      </c>
      <c r="H3" s="53">
        <v>45383</v>
      </c>
      <c r="I3" s="53">
        <v>45413</v>
      </c>
      <c r="J3" s="53">
        <v>45444</v>
      </c>
      <c r="K3" s="53">
        <v>45474</v>
      </c>
      <c r="L3" s="53">
        <v>45505</v>
      </c>
      <c r="M3" s="53">
        <v>45536</v>
      </c>
      <c r="N3" s="54" t="str">
        <f>"TOTAL"&amp;A1</f>
        <v>TOTAL 2023  2024</v>
      </c>
      <c r="O3" s="15"/>
    </row>
    <row r="4" spans="1:15" ht="11.25" customHeight="1" x14ac:dyDescent="0.25">
      <c r="A4" s="46"/>
      <c r="B4" s="51"/>
      <c r="C4" s="51"/>
      <c r="D4" s="51"/>
      <c r="E4" s="47"/>
      <c r="F4" s="47"/>
      <c r="G4" s="51"/>
      <c r="H4" s="51"/>
      <c r="I4" s="51"/>
      <c r="J4" s="51"/>
      <c r="K4" s="51"/>
      <c r="L4" s="47"/>
      <c r="M4" s="47"/>
      <c r="N4" s="51"/>
      <c r="O4" s="15"/>
    </row>
    <row r="5" spans="1:15" ht="19.8" x14ac:dyDescent="0.25">
      <c r="A5" s="44" t="s">
        <v>28</v>
      </c>
      <c r="B5" s="45">
        <f>[1]Octobre!AH12</f>
        <v>10.645833333333334</v>
      </c>
      <c r="C5" s="45">
        <f>[1]Novembre!AH12</f>
        <v>5.0104166666666661</v>
      </c>
      <c r="D5" s="45">
        <f>[1]Décembre!AH12</f>
        <v>7.0625000000000036</v>
      </c>
      <c r="E5" s="45">
        <f>Janvier!AH12</f>
        <v>3.5000000000000009</v>
      </c>
      <c r="F5" s="45">
        <f>Fevrier!AF12</f>
        <v>9.7916666666666679</v>
      </c>
      <c r="G5" s="45">
        <f>Mars!AH12</f>
        <v>14.937500000000005</v>
      </c>
      <c r="H5" s="45">
        <f>Avril!AG12</f>
        <v>16.291666666666671</v>
      </c>
      <c r="I5" s="45">
        <f>Mai!AH12</f>
        <v>17.229166666666661</v>
      </c>
      <c r="J5" s="45">
        <f>Juin!AH12</f>
        <v>16.770833333333336</v>
      </c>
      <c r="K5" s="45">
        <f>Juillet!AH12</f>
        <v>17.385416666666664</v>
      </c>
      <c r="L5" s="45">
        <f>Aout!AH12</f>
        <v>18.156249999999993</v>
      </c>
      <c r="M5" s="45">
        <f>Septembre!AH12</f>
        <v>11.07291666666667</v>
      </c>
      <c r="N5" s="45">
        <f>SUM(B5:M5)</f>
        <v>147.85416666666666</v>
      </c>
      <c r="O5" s="15"/>
    </row>
    <row r="6" spans="1:15" ht="19.8" x14ac:dyDescent="0.25">
      <c r="A6" s="48"/>
      <c r="B6" s="4"/>
      <c r="C6" s="4"/>
      <c r="D6" s="4"/>
      <c r="E6" s="4"/>
      <c r="F6" s="4"/>
      <c r="G6" s="4"/>
      <c r="H6" s="4"/>
      <c r="I6" s="4"/>
      <c r="J6" s="4"/>
      <c r="K6" s="4"/>
      <c r="L6" s="4"/>
      <c r="M6" s="4"/>
      <c r="N6" s="4"/>
      <c r="O6" s="15"/>
    </row>
    <row r="7" spans="1:15" ht="18.600000000000001" x14ac:dyDescent="0.25">
      <c r="A7" s="456" t="s">
        <v>128</v>
      </c>
      <c r="B7" s="457">
        <f>[1]Octobre!AH44</f>
        <v>22</v>
      </c>
      <c r="C7" s="457">
        <f>[1]Novembre!AH44</f>
        <v>11</v>
      </c>
      <c r="D7" s="457">
        <f>[1]Décembre!AH44</f>
        <v>15</v>
      </c>
      <c r="E7" s="457">
        <f>Janvier!AH44</f>
        <v>7</v>
      </c>
      <c r="F7" s="457">
        <f>Fevrier!AF44</f>
        <v>20</v>
      </c>
      <c r="G7" s="457">
        <f>Mars!AH44</f>
        <v>31</v>
      </c>
      <c r="H7" s="457">
        <f>Avril!AG44</f>
        <v>30</v>
      </c>
      <c r="I7" s="457">
        <f>Mai!AH44</f>
        <v>31</v>
      </c>
      <c r="J7" s="457">
        <f>Juin!AH44</f>
        <v>30</v>
      </c>
      <c r="K7" s="457">
        <f>Juillet!AH44</f>
        <v>31</v>
      </c>
      <c r="L7" s="457">
        <f>Aout!AH44</f>
        <v>31</v>
      </c>
      <c r="M7" s="457">
        <f>Septembre!AH44</f>
        <v>23</v>
      </c>
      <c r="N7" s="457">
        <f>SUM(B7:M7)</f>
        <v>282</v>
      </c>
      <c r="O7" s="15"/>
    </row>
    <row r="8" spans="1:15" ht="19.8" x14ac:dyDescent="0.25">
      <c r="A8" s="26" t="s">
        <v>129</v>
      </c>
      <c r="B8" s="25">
        <f>[1]Octobre!AH20</f>
        <v>22</v>
      </c>
      <c r="C8" s="25">
        <f>[1]Novembre!AH20</f>
        <v>11</v>
      </c>
      <c r="D8" s="25">
        <f>[1]Décembre!AH20</f>
        <v>16</v>
      </c>
      <c r="E8" s="25">
        <f>Janvier!AH20</f>
        <v>11</v>
      </c>
      <c r="F8" s="25">
        <f>Fevrier!AF20</f>
        <v>20</v>
      </c>
      <c r="G8" s="25">
        <f>Mars!AH20</f>
        <v>34</v>
      </c>
      <c r="H8" s="25">
        <f>Avril!AG20</f>
        <v>30</v>
      </c>
      <c r="I8" s="25">
        <f>Mai!AH20</f>
        <v>37</v>
      </c>
      <c r="J8" s="25">
        <f>Juin!AH20</f>
        <v>30</v>
      </c>
      <c r="K8" s="25">
        <f>Juillet!AH20</f>
        <v>31</v>
      </c>
      <c r="L8" s="25">
        <f>Aout!AH20</f>
        <v>55</v>
      </c>
      <c r="M8" s="25">
        <f>Septembre!AH20</f>
        <v>23</v>
      </c>
      <c r="N8" s="25">
        <f>SUM(B8:M8)</f>
        <v>320</v>
      </c>
      <c r="O8" s="15"/>
    </row>
    <row r="9" spans="1:15" ht="19.8" x14ac:dyDescent="0.25">
      <c r="A9" s="48"/>
      <c r="B9" s="4"/>
      <c r="C9" s="4"/>
      <c r="D9" s="4"/>
      <c r="E9" s="4"/>
      <c r="F9" s="4"/>
      <c r="G9" s="4"/>
      <c r="H9" s="4"/>
      <c r="I9" s="4"/>
      <c r="J9" s="4"/>
      <c r="K9" s="4"/>
      <c r="L9" s="4"/>
      <c r="M9" s="4"/>
      <c r="N9" s="4"/>
      <c r="O9" s="15"/>
    </row>
    <row r="10" spans="1:15" s="582" customFormat="1" ht="21" customHeight="1" x14ac:dyDescent="0.25">
      <c r="A10" s="493" t="s">
        <v>21</v>
      </c>
      <c r="B10" s="477">
        <f>[1]Octobre!AH22</f>
        <v>50280</v>
      </c>
      <c r="C10" s="477">
        <f>[1]Novembre!AH22</f>
        <v>21250</v>
      </c>
      <c r="D10" s="477">
        <f>[1]Décembre!AH22</f>
        <v>23300</v>
      </c>
      <c r="E10" s="477">
        <f>Janvier!AH22</f>
        <v>10400</v>
      </c>
      <c r="F10" s="477">
        <f>Fevrier!AF22</f>
        <v>21400</v>
      </c>
      <c r="G10" s="477">
        <f>Mars!AH22</f>
        <v>26200</v>
      </c>
      <c r="H10" s="477">
        <f>Avril!AG22</f>
        <v>54300</v>
      </c>
      <c r="I10" s="477">
        <f>Mai!AH22</f>
        <v>49450</v>
      </c>
      <c r="J10" s="477">
        <f>Juin!AH22</f>
        <v>24900</v>
      </c>
      <c r="K10" s="477">
        <f>Juillet!AH22</f>
        <v>66400</v>
      </c>
      <c r="L10" s="477">
        <f>Aout!AH22</f>
        <v>112000</v>
      </c>
      <c r="M10" s="477">
        <f>Septembre!AH22</f>
        <v>22600</v>
      </c>
      <c r="N10" s="477">
        <f>SUM(B10:M10)</f>
        <v>482480</v>
      </c>
      <c r="O10" s="15"/>
    </row>
    <row r="11" spans="1:15" s="582" customFormat="1" ht="21" customHeight="1" x14ac:dyDescent="0.25">
      <c r="A11" s="494" t="s">
        <v>22</v>
      </c>
      <c r="B11" s="478">
        <f>[1]Octobre!AH23</f>
        <v>73150</v>
      </c>
      <c r="C11" s="478">
        <f>[1]Novembre!AH23</f>
        <v>35300</v>
      </c>
      <c r="D11" s="478">
        <f>[1]Décembre!AH23</f>
        <v>76800</v>
      </c>
      <c r="E11" s="478">
        <f>Janvier!AH23</f>
        <v>38200</v>
      </c>
      <c r="F11" s="478">
        <f>Fevrier!AF23</f>
        <v>84900</v>
      </c>
      <c r="G11" s="478">
        <f>Mars!AH23</f>
        <v>87300</v>
      </c>
      <c r="H11" s="478">
        <f>Avril!AG23</f>
        <v>100500</v>
      </c>
      <c r="I11" s="478">
        <f>Mai!AH23</f>
        <v>85100</v>
      </c>
      <c r="J11" s="478">
        <f>Juin!AH23</f>
        <v>47800</v>
      </c>
      <c r="K11" s="478">
        <f>Juillet!AH23</f>
        <v>131000</v>
      </c>
      <c r="L11" s="478">
        <f>Aout!AH23</f>
        <v>237600</v>
      </c>
      <c r="M11" s="478">
        <f>Septembre!AH23</f>
        <v>45000</v>
      </c>
      <c r="N11" s="478">
        <f t="shared" ref="N11:N19" si="0">SUM(B11:M11)</f>
        <v>1042650</v>
      </c>
      <c r="O11" s="15"/>
    </row>
    <row r="12" spans="1:15" s="582" customFormat="1" ht="21" customHeight="1" x14ac:dyDescent="0.25">
      <c r="A12" s="495" t="s">
        <v>13</v>
      </c>
      <c r="B12" s="479">
        <f>SUM(B10:B11)</f>
        <v>123430</v>
      </c>
      <c r="C12" s="479">
        <f>SUM(C10:C11)</f>
        <v>56550</v>
      </c>
      <c r="D12" s="479">
        <f>SUM(D10:D11)</f>
        <v>100100</v>
      </c>
      <c r="E12" s="479">
        <f t="shared" ref="E12:M12" si="1">SUM(E10:E11)</f>
        <v>48600</v>
      </c>
      <c r="F12" s="479">
        <f>SUM(F10:F11)</f>
        <v>106300</v>
      </c>
      <c r="G12" s="479">
        <f t="shared" si="1"/>
        <v>113500</v>
      </c>
      <c r="H12" s="479">
        <f t="shared" si="1"/>
        <v>154800</v>
      </c>
      <c r="I12" s="479">
        <f t="shared" si="1"/>
        <v>134550</v>
      </c>
      <c r="J12" s="479">
        <f t="shared" si="1"/>
        <v>72700</v>
      </c>
      <c r="K12" s="479">
        <f t="shared" si="1"/>
        <v>197400</v>
      </c>
      <c r="L12" s="479">
        <f t="shared" si="1"/>
        <v>349600</v>
      </c>
      <c r="M12" s="479">
        <f t="shared" si="1"/>
        <v>67600</v>
      </c>
      <c r="N12" s="479">
        <f t="shared" si="0"/>
        <v>1525130</v>
      </c>
      <c r="O12" s="15"/>
    </row>
    <row r="13" spans="1:15" s="582" customFormat="1" ht="21" customHeight="1" x14ac:dyDescent="0.25">
      <c r="A13" s="493" t="s">
        <v>43</v>
      </c>
      <c r="B13" s="477">
        <f>[1]Octobre!AH25</f>
        <v>14270</v>
      </c>
      <c r="C13" s="477">
        <f>[1]Novembre!AH25</f>
        <v>10190</v>
      </c>
      <c r="D13" s="477">
        <f>[1]Décembre!AH25</f>
        <v>9470</v>
      </c>
      <c r="E13" s="477">
        <f>Janvier!AH25</f>
        <v>90</v>
      </c>
      <c r="F13" s="477">
        <f>Fevrier!AF25</f>
        <v>2510</v>
      </c>
      <c r="G13" s="477">
        <f>Mars!AH25</f>
        <v>10080</v>
      </c>
      <c r="H13" s="477">
        <f>Avril!AG25</f>
        <v>5820</v>
      </c>
      <c r="I13" s="477">
        <f>Mai!AH25</f>
        <v>9805</v>
      </c>
      <c r="J13" s="477">
        <f>Juin!AH25</f>
        <v>19920</v>
      </c>
      <c r="K13" s="477">
        <f>Juillet!AH25</f>
        <v>3850</v>
      </c>
      <c r="L13" s="477">
        <f>Aout!AH25</f>
        <v>2810</v>
      </c>
      <c r="M13" s="477">
        <f>Septembre!AH25</f>
        <v>16230</v>
      </c>
      <c r="N13" s="477">
        <f t="shared" si="0"/>
        <v>105045</v>
      </c>
      <c r="O13" s="15"/>
    </row>
    <row r="14" spans="1:15" s="582" customFormat="1" ht="21" customHeight="1" x14ac:dyDescent="0.25">
      <c r="A14" s="494" t="s">
        <v>44</v>
      </c>
      <c r="B14" s="478">
        <f>[1]Octobre!AH26</f>
        <v>7880</v>
      </c>
      <c r="C14" s="478">
        <f>[1]Novembre!AH26</f>
        <v>1500</v>
      </c>
      <c r="D14" s="478">
        <f>[1]Décembre!AH26</f>
        <v>680</v>
      </c>
      <c r="E14" s="478">
        <f>Janvier!AH26</f>
        <v>420</v>
      </c>
      <c r="F14" s="478">
        <f>Fevrier!AF26</f>
        <v>4590</v>
      </c>
      <c r="G14" s="478">
        <f>Mars!AH26</f>
        <v>16200</v>
      </c>
      <c r="H14" s="478">
        <f>Avril!AG26</f>
        <v>22020</v>
      </c>
      <c r="I14" s="478">
        <f>Mai!AH26</f>
        <v>27690</v>
      </c>
      <c r="J14" s="478">
        <f>Juin!AH26</f>
        <v>38840</v>
      </c>
      <c r="K14" s="478">
        <f>Juillet!AH26</f>
        <v>16600</v>
      </c>
      <c r="L14" s="478">
        <f>Aout!AH26</f>
        <v>5810</v>
      </c>
      <c r="M14" s="478">
        <f>Septembre!AH26</f>
        <v>1800</v>
      </c>
      <c r="N14" s="478">
        <f t="shared" si="0"/>
        <v>144030</v>
      </c>
      <c r="O14" s="15"/>
    </row>
    <row r="15" spans="1:15" s="582" customFormat="1" ht="21" customHeight="1" x14ac:dyDescent="0.25">
      <c r="A15" s="495" t="s">
        <v>45</v>
      </c>
      <c r="B15" s="479">
        <f t="shared" ref="B15:M15" si="2">SUM(B13:B14)</f>
        <v>22150</v>
      </c>
      <c r="C15" s="479">
        <f t="shared" si="2"/>
        <v>11690</v>
      </c>
      <c r="D15" s="479">
        <f t="shared" si="2"/>
        <v>10150</v>
      </c>
      <c r="E15" s="479">
        <f t="shared" si="2"/>
        <v>510</v>
      </c>
      <c r="F15" s="479">
        <f t="shared" si="2"/>
        <v>7100</v>
      </c>
      <c r="G15" s="479">
        <f t="shared" si="2"/>
        <v>26280</v>
      </c>
      <c r="H15" s="479">
        <f t="shared" si="2"/>
        <v>27840</v>
      </c>
      <c r="I15" s="479">
        <f t="shared" si="2"/>
        <v>37495</v>
      </c>
      <c r="J15" s="479">
        <f t="shared" si="2"/>
        <v>58760</v>
      </c>
      <c r="K15" s="479">
        <f t="shared" si="2"/>
        <v>20450</v>
      </c>
      <c r="L15" s="479">
        <f t="shared" si="2"/>
        <v>8620</v>
      </c>
      <c r="M15" s="479">
        <f t="shared" si="2"/>
        <v>18030</v>
      </c>
      <c r="N15" s="479">
        <f t="shared" si="0"/>
        <v>249075</v>
      </c>
      <c r="O15" s="15"/>
    </row>
    <row r="16" spans="1:15" s="582" customFormat="1" ht="21" customHeight="1" x14ac:dyDescent="0.25">
      <c r="A16" s="493" t="s">
        <v>23</v>
      </c>
      <c r="B16" s="477">
        <f>[1]Octobre!AH28</f>
        <v>1710</v>
      </c>
      <c r="C16" s="477">
        <f>[1]Novembre!AH28</f>
        <v>600</v>
      </c>
      <c r="D16" s="477">
        <f>[1]Décembre!AH28</f>
        <v>660</v>
      </c>
      <c r="E16" s="477">
        <f>Janvier!AH28</f>
        <v>430</v>
      </c>
      <c r="F16" s="477">
        <f>Fevrier!AF28</f>
        <v>710</v>
      </c>
      <c r="G16" s="477">
        <f>Mars!AH28</f>
        <v>940</v>
      </c>
      <c r="H16" s="477">
        <f>Avril!AG28</f>
        <v>2370</v>
      </c>
      <c r="I16" s="477">
        <f>Mai!AH28</f>
        <v>3280</v>
      </c>
      <c r="J16" s="477">
        <f>Juin!AH28</f>
        <v>3500</v>
      </c>
      <c r="K16" s="477">
        <f>Juillet!AH28</f>
        <v>5720</v>
      </c>
      <c r="L16" s="477">
        <f>Aout!AH28</f>
        <v>7710</v>
      </c>
      <c r="M16" s="477">
        <f>Septembre!AH28</f>
        <v>1270</v>
      </c>
      <c r="N16" s="477">
        <f t="shared" si="0"/>
        <v>28900</v>
      </c>
      <c r="O16" s="15"/>
    </row>
    <row r="17" spans="1:15" s="582" customFormat="1" ht="21" customHeight="1" x14ac:dyDescent="0.25">
      <c r="A17" s="494" t="s">
        <v>26</v>
      </c>
      <c r="B17" s="478">
        <f>[1]Octobre!AH29</f>
        <v>3010</v>
      </c>
      <c r="C17" s="478">
        <f>[1]Novembre!AH29</f>
        <v>1320</v>
      </c>
      <c r="D17" s="478">
        <f>[1]Décembre!AH29</f>
        <v>1410</v>
      </c>
      <c r="E17" s="478">
        <f>Janvier!AH29</f>
        <v>800</v>
      </c>
      <c r="F17" s="478">
        <f>Fevrier!AF29</f>
        <v>2400</v>
      </c>
      <c r="G17" s="478">
        <f>Mars!AH29</f>
        <v>2240</v>
      </c>
      <c r="H17" s="478">
        <f>Avril!AG29</f>
        <v>2940</v>
      </c>
      <c r="I17" s="478">
        <f>Mai!AH29</f>
        <v>2520</v>
      </c>
      <c r="J17" s="478">
        <f>Juin!AH29</f>
        <v>2410</v>
      </c>
      <c r="K17" s="478">
        <f>Juillet!AH29</f>
        <v>4430</v>
      </c>
      <c r="L17" s="478">
        <f>Aout!AH29</f>
        <v>5930</v>
      </c>
      <c r="M17" s="478">
        <f>Septembre!AH29</f>
        <v>1250</v>
      </c>
      <c r="N17" s="478">
        <f t="shared" si="0"/>
        <v>30660</v>
      </c>
      <c r="O17" s="15"/>
    </row>
    <row r="18" spans="1:15" s="582" customFormat="1" ht="21" customHeight="1" x14ac:dyDescent="0.25">
      <c r="A18" s="493" t="s">
        <v>24</v>
      </c>
      <c r="B18" s="477">
        <f>[1]Octobre!AH30</f>
        <v>4858</v>
      </c>
      <c r="C18" s="477">
        <f>[1]Novembre!AH30</f>
        <v>1050</v>
      </c>
      <c r="D18" s="477">
        <f>[1]Décembre!AH30</f>
        <v>935</v>
      </c>
      <c r="E18" s="477">
        <f>Janvier!AH30</f>
        <v>1620</v>
      </c>
      <c r="F18" s="477">
        <f>Fevrier!AF30</f>
        <v>730</v>
      </c>
      <c r="G18" s="477">
        <f>Mars!AH30</f>
        <v>1288</v>
      </c>
      <c r="H18" s="477">
        <f>Avril!AG30</f>
        <v>1710</v>
      </c>
      <c r="I18" s="477">
        <f>Mai!AH30</f>
        <v>2228</v>
      </c>
      <c r="J18" s="477">
        <f>Juin!AH30</f>
        <v>8210</v>
      </c>
      <c r="K18" s="477">
        <f>Juillet!AH30</f>
        <v>790</v>
      </c>
      <c r="L18" s="477">
        <f>Aout!AH30</f>
        <v>1335</v>
      </c>
      <c r="M18" s="477">
        <f>Septembre!AH30</f>
        <v>4360</v>
      </c>
      <c r="N18" s="477">
        <f t="shared" si="0"/>
        <v>29114</v>
      </c>
      <c r="O18" s="15"/>
    </row>
    <row r="19" spans="1:15" s="582" customFormat="1" ht="21" customHeight="1" x14ac:dyDescent="0.25">
      <c r="A19" s="494" t="s">
        <v>25</v>
      </c>
      <c r="B19" s="478">
        <f>[1]Octobre!AH31</f>
        <v>7590</v>
      </c>
      <c r="C19" s="478">
        <f>[1]Novembre!AH31</f>
        <v>2660</v>
      </c>
      <c r="D19" s="478">
        <f>[1]Décembre!AH31</f>
        <v>5225</v>
      </c>
      <c r="E19" s="478">
        <f>Janvier!AH31</f>
        <v>3100</v>
      </c>
      <c r="F19" s="478">
        <f>Fevrier!AF31</f>
        <v>4570</v>
      </c>
      <c r="G19" s="478">
        <f>Mars!AH31</f>
        <v>4610</v>
      </c>
      <c r="H19" s="478">
        <f>Avril!AG31</f>
        <v>5350</v>
      </c>
      <c r="I19" s="478">
        <f>Mai!AH31</f>
        <v>5250</v>
      </c>
      <c r="J19" s="478">
        <f>Juin!AH31</f>
        <v>7660</v>
      </c>
      <c r="K19" s="478">
        <f>Juillet!AH31</f>
        <v>7480</v>
      </c>
      <c r="L19" s="478">
        <f>Aout!AH31</f>
        <v>8360</v>
      </c>
      <c r="M19" s="478">
        <f>Septembre!AH31</f>
        <v>6090</v>
      </c>
      <c r="N19" s="478">
        <f t="shared" si="0"/>
        <v>67945</v>
      </c>
      <c r="O19" s="15"/>
    </row>
    <row r="20" spans="1:15" s="582" customFormat="1" ht="21" customHeight="1" x14ac:dyDescent="0.25">
      <c r="A20" s="495" t="s">
        <v>15</v>
      </c>
      <c r="B20" s="479">
        <f t="shared" ref="B20:M20" si="3">SUM(B16:B19)</f>
        <v>17168</v>
      </c>
      <c r="C20" s="479">
        <f t="shared" si="3"/>
        <v>5630</v>
      </c>
      <c r="D20" s="479">
        <f t="shared" si="3"/>
        <v>8230</v>
      </c>
      <c r="E20" s="479">
        <f t="shared" si="3"/>
        <v>5950</v>
      </c>
      <c r="F20" s="479">
        <f t="shared" si="3"/>
        <v>8410</v>
      </c>
      <c r="G20" s="479">
        <f t="shared" si="3"/>
        <v>9078</v>
      </c>
      <c r="H20" s="479">
        <f t="shared" si="3"/>
        <v>12370</v>
      </c>
      <c r="I20" s="479">
        <f t="shared" si="3"/>
        <v>13278</v>
      </c>
      <c r="J20" s="479">
        <f t="shared" si="3"/>
        <v>21780</v>
      </c>
      <c r="K20" s="479">
        <f t="shared" si="3"/>
        <v>18420</v>
      </c>
      <c r="L20" s="479">
        <f t="shared" si="3"/>
        <v>23335</v>
      </c>
      <c r="M20" s="479">
        <f t="shared" si="3"/>
        <v>12970</v>
      </c>
      <c r="N20" s="479">
        <f>SUM(B20:M20)</f>
        <v>156619</v>
      </c>
      <c r="O20" s="15"/>
    </row>
    <row r="21" spans="1:15" ht="15" customHeight="1" x14ac:dyDescent="0.25">
      <c r="A21" s="55"/>
      <c r="B21" s="56"/>
      <c r="C21" s="56"/>
      <c r="D21" s="56"/>
      <c r="E21" s="56"/>
      <c r="F21" s="56"/>
      <c r="G21" s="56"/>
      <c r="H21" s="56"/>
      <c r="I21" s="56"/>
      <c r="J21" s="56"/>
      <c r="K21" s="56"/>
      <c r="L21" s="56"/>
      <c r="M21" s="56"/>
      <c r="N21" s="56"/>
      <c r="O21" s="15"/>
    </row>
    <row r="22" spans="1:15" s="654" customFormat="1" ht="90" customHeight="1" x14ac:dyDescent="0.3">
      <c r="A22" s="651" t="s">
        <v>16</v>
      </c>
      <c r="B22" s="652">
        <f>+B12+B15+B20</f>
        <v>162748</v>
      </c>
      <c r="C22" s="652">
        <f t="shared" ref="C22:N22" si="4">+C12+C15+C20</f>
        <v>73870</v>
      </c>
      <c r="D22" s="652">
        <f t="shared" si="4"/>
        <v>118480</v>
      </c>
      <c r="E22" s="652">
        <f t="shared" si="4"/>
        <v>55060</v>
      </c>
      <c r="F22" s="652">
        <f t="shared" si="4"/>
        <v>121810</v>
      </c>
      <c r="G22" s="652">
        <f t="shared" si="4"/>
        <v>148858</v>
      </c>
      <c r="H22" s="652">
        <f t="shared" si="4"/>
        <v>195010</v>
      </c>
      <c r="I22" s="652">
        <f t="shared" si="4"/>
        <v>185323</v>
      </c>
      <c r="J22" s="652">
        <f t="shared" si="4"/>
        <v>153240</v>
      </c>
      <c r="K22" s="652">
        <f t="shared" si="4"/>
        <v>236270</v>
      </c>
      <c r="L22" s="652">
        <f t="shared" si="4"/>
        <v>381555</v>
      </c>
      <c r="M22" s="652">
        <f t="shared" si="4"/>
        <v>98600</v>
      </c>
      <c r="N22" s="652">
        <f t="shared" si="4"/>
        <v>1930824</v>
      </c>
      <c r="O22" s="653"/>
    </row>
    <row r="23" spans="1:15" ht="15" customHeight="1" x14ac:dyDescent="0.25">
      <c r="A23" s="57"/>
      <c r="B23" s="15"/>
      <c r="C23" s="15"/>
      <c r="D23" s="15"/>
      <c r="E23" s="15"/>
      <c r="F23" s="15"/>
      <c r="G23" s="15"/>
      <c r="H23" s="15"/>
      <c r="I23" s="15"/>
      <c r="J23" s="15"/>
      <c r="K23" s="15"/>
      <c r="L23" s="15"/>
      <c r="M23" s="15"/>
      <c r="N23" s="15"/>
      <c r="O23" s="15"/>
    </row>
    <row r="24" spans="1:15" ht="15" customHeight="1" x14ac:dyDescent="0.25">
      <c r="A24" s="57"/>
      <c r="B24" s="15"/>
      <c r="C24" s="15"/>
      <c r="D24" s="15"/>
      <c r="E24" s="15"/>
      <c r="F24" s="15"/>
      <c r="G24" s="15"/>
      <c r="H24" s="15"/>
      <c r="I24" s="15"/>
      <c r="J24" s="15"/>
      <c r="K24" s="15"/>
      <c r="L24" s="15"/>
      <c r="M24" s="15"/>
      <c r="N24" s="15"/>
      <c r="O24" s="15"/>
    </row>
    <row r="25" spans="1:15" ht="15" customHeight="1" x14ac:dyDescent="0.25">
      <c r="A25" s="57"/>
      <c r="B25" s="15"/>
      <c r="C25" s="15"/>
      <c r="D25" s="15"/>
      <c r="E25" s="15"/>
      <c r="F25" s="15"/>
      <c r="G25" s="15"/>
      <c r="H25" s="15"/>
      <c r="I25" s="15"/>
      <c r="J25" s="15"/>
      <c r="K25" s="15"/>
      <c r="L25" s="15"/>
      <c r="M25" s="15"/>
      <c r="N25" s="15"/>
      <c r="O25" s="15"/>
    </row>
    <row r="26" spans="1:15" ht="15" customHeight="1" x14ac:dyDescent="0.25">
      <c r="A26" s="57"/>
      <c r="B26" s="15"/>
      <c r="C26" s="15"/>
      <c r="D26" s="15"/>
      <c r="E26" s="15"/>
      <c r="F26" s="15"/>
      <c r="G26" s="15"/>
      <c r="H26" s="15"/>
      <c r="I26" s="15"/>
      <c r="J26" s="15"/>
      <c r="K26" s="15"/>
      <c r="L26" s="15"/>
      <c r="M26" s="15"/>
      <c r="N26" s="15"/>
      <c r="O26" s="15"/>
    </row>
    <row r="27" spans="1:15" ht="15" customHeight="1" x14ac:dyDescent="0.25">
      <c r="A27" s="57"/>
      <c r="B27" s="15"/>
      <c r="C27" s="15"/>
      <c r="D27" s="15"/>
      <c r="E27" s="15"/>
      <c r="F27" s="15"/>
      <c r="G27" s="15"/>
      <c r="H27" s="15"/>
      <c r="I27" s="15"/>
      <c r="J27" s="15"/>
      <c r="K27" s="15"/>
      <c r="L27" s="15"/>
      <c r="M27" s="15"/>
      <c r="N27" s="15"/>
      <c r="O27" s="15"/>
    </row>
    <row r="28" spans="1:15" ht="15" customHeight="1" x14ac:dyDescent="0.5">
      <c r="A28" s="58"/>
      <c r="B28" s="15"/>
      <c r="C28" s="15"/>
      <c r="D28" s="15"/>
      <c r="E28" s="15"/>
      <c r="F28" s="15"/>
      <c r="G28" s="15"/>
      <c r="H28" s="15"/>
      <c r="I28" s="15"/>
      <c r="J28" s="15"/>
      <c r="K28" s="15"/>
      <c r="L28" s="15"/>
      <c r="M28" s="15"/>
      <c r="N28" s="15"/>
      <c r="O28" s="15"/>
    </row>
    <row r="29" spans="1:15" ht="15" customHeight="1" x14ac:dyDescent="0.5">
      <c r="A29" s="58"/>
      <c r="B29" s="15"/>
      <c r="C29" s="15"/>
      <c r="D29" s="15"/>
      <c r="E29" s="15"/>
      <c r="F29" s="15"/>
      <c r="G29" s="15"/>
      <c r="H29" s="15"/>
      <c r="I29" s="15"/>
      <c r="J29" s="15"/>
      <c r="K29" s="15"/>
      <c r="L29" s="15"/>
      <c r="M29" s="15"/>
      <c r="N29" s="15"/>
      <c r="O29" s="15"/>
    </row>
    <row r="30" spans="1:15" ht="15" customHeight="1" x14ac:dyDescent="0.5">
      <c r="A30" s="58"/>
      <c r="B30" s="15"/>
      <c r="C30" s="15"/>
      <c r="D30" s="15"/>
      <c r="E30" s="15"/>
      <c r="F30" s="15"/>
      <c r="G30" s="15"/>
      <c r="H30" s="15"/>
      <c r="I30" s="15"/>
      <c r="J30" s="15"/>
      <c r="K30" s="15"/>
      <c r="L30" s="15"/>
      <c r="M30" s="15"/>
      <c r="N30" s="15"/>
      <c r="O30" s="15"/>
    </row>
    <row r="31" spans="1:15" ht="15" customHeight="1" x14ac:dyDescent="0.5">
      <c r="A31" s="58"/>
      <c r="B31" s="15"/>
      <c r="C31" s="15"/>
      <c r="D31" s="15"/>
      <c r="E31" s="15"/>
      <c r="F31" s="15"/>
      <c r="G31" s="15"/>
      <c r="H31" s="15"/>
      <c r="I31" s="15"/>
      <c r="J31" s="15"/>
      <c r="K31" s="15"/>
      <c r="L31" s="15"/>
      <c r="M31" s="15"/>
      <c r="N31" s="15"/>
      <c r="O31" s="15"/>
    </row>
    <row r="32" spans="1:15" ht="15" customHeight="1" x14ac:dyDescent="0.5">
      <c r="A32" s="58"/>
      <c r="B32" s="15"/>
      <c r="C32" s="15"/>
      <c r="D32" s="15"/>
      <c r="E32" s="15"/>
      <c r="F32" s="15"/>
      <c r="G32" s="15"/>
      <c r="H32" s="15"/>
      <c r="I32" s="15"/>
      <c r="J32" s="15"/>
      <c r="K32" s="15"/>
      <c r="L32" s="15"/>
      <c r="M32" s="15"/>
      <c r="N32" s="15"/>
      <c r="O32" s="15"/>
    </row>
    <row r="33" spans="1:15" ht="15" customHeight="1" x14ac:dyDescent="0.5">
      <c r="A33" s="58"/>
      <c r="B33" s="15"/>
      <c r="C33" s="15"/>
      <c r="D33" s="15"/>
      <c r="E33" s="15"/>
      <c r="F33" s="15"/>
      <c r="G33" s="15"/>
      <c r="H33" s="15"/>
      <c r="I33" s="15"/>
      <c r="J33" s="15"/>
      <c r="K33" s="15"/>
      <c r="L33" s="15"/>
      <c r="M33" s="15"/>
      <c r="N33" s="15"/>
      <c r="O33" s="15"/>
    </row>
    <row r="34" spans="1:15" ht="15" customHeight="1" x14ac:dyDescent="0.5">
      <c r="A34" s="58"/>
      <c r="B34" s="15"/>
      <c r="C34" s="15"/>
      <c r="D34" s="15"/>
      <c r="E34" s="15"/>
      <c r="F34" s="15"/>
      <c r="G34" s="15"/>
      <c r="H34" s="15"/>
      <c r="I34" s="15"/>
      <c r="J34" s="15"/>
      <c r="K34" s="15"/>
      <c r="L34" s="15"/>
      <c r="M34" s="15"/>
      <c r="N34" s="15"/>
      <c r="O34" s="15"/>
    </row>
    <row r="35" spans="1:15" ht="15" customHeight="1" x14ac:dyDescent="0.5">
      <c r="A35" s="58"/>
      <c r="B35" s="15"/>
      <c r="C35" s="15"/>
      <c r="D35" s="15"/>
      <c r="E35" s="15"/>
      <c r="F35" s="15"/>
      <c r="G35" s="15"/>
      <c r="H35" s="15"/>
      <c r="I35" s="15"/>
      <c r="J35" s="15"/>
      <c r="K35" s="15"/>
      <c r="L35" s="15"/>
      <c r="M35" s="15"/>
      <c r="N35" s="15"/>
      <c r="O35" s="15"/>
    </row>
    <row r="36" spans="1:15" ht="15" customHeight="1" x14ac:dyDescent="0.5">
      <c r="A36" s="58"/>
      <c r="B36" s="15"/>
      <c r="C36" s="15"/>
      <c r="D36" s="15"/>
      <c r="E36" s="15"/>
      <c r="F36" s="15"/>
      <c r="G36" s="15"/>
      <c r="H36" s="15"/>
      <c r="I36" s="15"/>
      <c r="J36" s="15"/>
      <c r="K36" s="15"/>
      <c r="L36" s="15"/>
      <c r="M36" s="15"/>
      <c r="N36" s="15"/>
      <c r="O36" s="15"/>
    </row>
    <row r="37" spans="1:15" ht="15" customHeight="1" x14ac:dyDescent="0.5">
      <c r="A37" s="58"/>
      <c r="B37" s="15"/>
      <c r="C37" s="15"/>
      <c r="D37" s="15"/>
      <c r="E37" s="15"/>
      <c r="F37" s="15"/>
      <c r="G37" s="15"/>
      <c r="H37" s="15"/>
      <c r="I37" s="15"/>
      <c r="J37" s="15"/>
      <c r="K37" s="15"/>
      <c r="L37" s="15"/>
      <c r="M37" s="15"/>
      <c r="N37" s="15"/>
      <c r="O37" s="15"/>
    </row>
    <row r="38" spans="1:15" ht="15" customHeight="1" x14ac:dyDescent="0.5">
      <c r="A38" s="58"/>
      <c r="B38" s="15"/>
      <c r="C38" s="15"/>
      <c r="D38" s="15"/>
      <c r="E38" s="15"/>
      <c r="F38" s="15"/>
      <c r="G38" s="15"/>
      <c r="H38" s="15"/>
      <c r="I38" s="15"/>
      <c r="J38" s="15"/>
      <c r="K38" s="15"/>
      <c r="L38" s="15"/>
      <c r="M38" s="15"/>
      <c r="N38" s="15"/>
      <c r="O38" s="15"/>
    </row>
    <row r="39" spans="1:15" ht="19.8" x14ac:dyDescent="0.5">
      <c r="A39" s="58"/>
      <c r="B39" s="15"/>
      <c r="C39" s="15"/>
      <c r="D39" s="15"/>
      <c r="E39" s="15"/>
      <c r="F39" s="15"/>
      <c r="G39" s="15"/>
      <c r="H39" s="15"/>
      <c r="I39" s="15"/>
      <c r="J39" s="15"/>
      <c r="K39" s="15"/>
      <c r="L39" s="15"/>
      <c r="M39" s="15"/>
      <c r="N39" s="15"/>
      <c r="O39" s="15"/>
    </row>
    <row r="40" spans="1:15" ht="19.8" x14ac:dyDescent="0.5">
      <c r="A40" s="58"/>
      <c r="B40" s="15"/>
      <c r="C40" s="15"/>
      <c r="D40" s="15"/>
      <c r="E40" s="15"/>
      <c r="F40" s="15"/>
      <c r="G40" s="15"/>
      <c r="H40" s="15"/>
      <c r="I40" s="15"/>
      <c r="J40" s="15"/>
      <c r="K40" s="15"/>
      <c r="L40" s="15"/>
      <c r="M40" s="15"/>
      <c r="N40" s="15"/>
      <c r="O40" s="15"/>
    </row>
    <row r="41" spans="1:15" ht="19.8" x14ac:dyDescent="0.5">
      <c r="A41" s="58"/>
      <c r="B41" s="15"/>
      <c r="C41" s="15"/>
      <c r="D41" s="15"/>
      <c r="E41" s="15"/>
      <c r="F41" s="15"/>
      <c r="G41" s="15"/>
      <c r="H41" s="15"/>
      <c r="I41" s="15"/>
      <c r="J41" s="15"/>
      <c r="K41" s="15"/>
      <c r="L41" s="15"/>
      <c r="M41" s="15"/>
      <c r="N41" s="15"/>
      <c r="O41" s="15"/>
    </row>
    <row r="42" spans="1:15" ht="19.8" x14ac:dyDescent="0.5">
      <c r="A42" s="58"/>
      <c r="B42" s="15"/>
      <c r="C42" s="15"/>
      <c r="D42" s="15"/>
      <c r="E42" s="15"/>
      <c r="F42" s="15"/>
      <c r="G42" s="15"/>
      <c r="H42" s="15"/>
      <c r="I42" s="15"/>
      <c r="J42" s="15"/>
      <c r="K42" s="15"/>
      <c r="L42" s="15"/>
      <c r="M42" s="15"/>
      <c r="N42" s="15"/>
      <c r="O42" s="15"/>
    </row>
    <row r="43" spans="1:15" ht="19.8" x14ac:dyDescent="0.5">
      <c r="A43" s="58"/>
      <c r="B43" s="15"/>
      <c r="C43" s="15"/>
      <c r="D43" s="15"/>
      <c r="E43" s="15"/>
      <c r="F43" s="15"/>
      <c r="G43" s="15"/>
      <c r="H43" s="15"/>
      <c r="I43" s="15"/>
      <c r="J43" s="15"/>
      <c r="K43" s="15"/>
      <c r="L43" s="15"/>
      <c r="M43" s="15"/>
      <c r="N43" s="15"/>
      <c r="O43" s="15"/>
    </row>
    <row r="44" spans="1:15" ht="19.8" x14ac:dyDescent="0.5">
      <c r="A44" s="58"/>
      <c r="B44" s="15"/>
      <c r="C44" s="15"/>
      <c r="D44" s="15"/>
      <c r="E44" s="15"/>
      <c r="F44" s="15"/>
      <c r="G44" s="15"/>
      <c r="H44" s="15"/>
      <c r="I44" s="15"/>
      <c r="J44" s="15"/>
      <c r="K44" s="15"/>
      <c r="L44" s="15"/>
      <c r="M44" s="15"/>
      <c r="N44" s="15"/>
      <c r="O44" s="15"/>
    </row>
    <row r="45" spans="1:15" ht="19.8" x14ac:dyDescent="0.5">
      <c r="A45" s="58"/>
      <c r="B45" s="15"/>
      <c r="C45" s="15"/>
      <c r="D45" s="15"/>
      <c r="E45" s="15"/>
      <c r="F45" s="15"/>
      <c r="G45" s="15"/>
      <c r="H45" s="15"/>
      <c r="I45" s="15"/>
      <c r="J45" s="15"/>
      <c r="K45" s="15"/>
      <c r="L45" s="15"/>
      <c r="M45" s="15"/>
      <c r="N45" s="15"/>
      <c r="O45" s="15"/>
    </row>
    <row r="46" spans="1:15" ht="19.8" x14ac:dyDescent="0.5">
      <c r="A46" s="58"/>
      <c r="B46" s="15"/>
      <c r="C46" s="15"/>
      <c r="D46" s="15"/>
      <c r="E46" s="15"/>
      <c r="F46" s="15"/>
      <c r="G46" s="15"/>
      <c r="H46" s="15"/>
      <c r="I46" s="15"/>
      <c r="J46" s="15"/>
      <c r="K46" s="15"/>
      <c r="L46" s="15"/>
      <c r="M46" s="15"/>
      <c r="N46" s="15"/>
      <c r="O46" s="15"/>
    </row>
    <row r="47" spans="1:15" ht="19.8" x14ac:dyDescent="0.5">
      <c r="A47" s="58"/>
      <c r="B47" s="15"/>
      <c r="C47" s="15"/>
      <c r="D47" s="15"/>
      <c r="E47" s="15"/>
      <c r="F47" s="15"/>
      <c r="G47" s="15"/>
      <c r="H47" s="15"/>
      <c r="I47" s="15"/>
      <c r="J47" s="15"/>
      <c r="K47" s="15"/>
      <c r="L47" s="15"/>
      <c r="M47" s="15"/>
      <c r="N47" s="15"/>
      <c r="O47" s="15"/>
    </row>
    <row r="48" spans="1:15" ht="19.8" x14ac:dyDescent="0.5">
      <c r="A48" s="58"/>
      <c r="B48" s="15"/>
      <c r="C48" s="15"/>
      <c r="D48" s="15"/>
      <c r="E48" s="15"/>
      <c r="F48" s="15"/>
      <c r="G48" s="15"/>
      <c r="H48" s="15"/>
      <c r="I48" s="15"/>
      <c r="J48" s="15"/>
      <c r="K48" s="15"/>
      <c r="L48" s="15"/>
      <c r="M48" s="15"/>
      <c r="N48" s="15"/>
      <c r="O48" s="15"/>
    </row>
    <row r="49" spans="1:15" ht="19.8" x14ac:dyDescent="0.5">
      <c r="A49" s="58"/>
      <c r="B49" s="15"/>
      <c r="C49" s="15"/>
      <c r="D49" s="15"/>
      <c r="E49" s="15"/>
      <c r="F49" s="15"/>
      <c r="G49" s="15"/>
      <c r="H49" s="15"/>
      <c r="I49" s="15"/>
      <c r="J49" s="15"/>
      <c r="K49" s="15"/>
      <c r="L49" s="15"/>
      <c r="M49" s="15"/>
      <c r="N49" s="15"/>
      <c r="O49" s="15"/>
    </row>
    <row r="50" spans="1:15" ht="19.8" x14ac:dyDescent="0.5">
      <c r="A50" s="58"/>
      <c r="B50" s="15"/>
      <c r="C50" s="15"/>
      <c r="D50" s="15"/>
      <c r="E50" s="15"/>
      <c r="F50" s="15"/>
      <c r="G50" s="15"/>
      <c r="H50" s="15"/>
      <c r="I50" s="15"/>
      <c r="J50" s="15"/>
      <c r="K50" s="15"/>
      <c r="L50" s="15"/>
      <c r="M50" s="15"/>
      <c r="N50" s="15"/>
      <c r="O50" s="15"/>
    </row>
    <row r="51" spans="1:15" ht="19.8" x14ac:dyDescent="0.5">
      <c r="A51" s="58"/>
      <c r="B51" s="15"/>
      <c r="C51" s="15"/>
      <c r="D51" s="15"/>
      <c r="E51" s="15"/>
      <c r="F51" s="15"/>
      <c r="G51" s="15"/>
      <c r="H51" s="15"/>
      <c r="I51" s="15"/>
      <c r="J51" s="15"/>
      <c r="K51" s="15"/>
      <c r="L51" s="15"/>
      <c r="M51" s="15"/>
      <c r="N51" s="15"/>
      <c r="O51" s="15"/>
    </row>
    <row r="52" spans="1:15" ht="19.8" x14ac:dyDescent="0.5">
      <c r="A52" s="58"/>
      <c r="B52" s="15"/>
      <c r="C52" s="15"/>
      <c r="D52" s="15"/>
      <c r="E52" s="15"/>
      <c r="F52" s="15"/>
      <c r="G52" s="15"/>
      <c r="H52" s="15"/>
      <c r="I52" s="15"/>
      <c r="J52" s="15"/>
      <c r="K52" s="15"/>
      <c r="L52" s="15"/>
      <c r="M52" s="15"/>
      <c r="N52" s="15"/>
      <c r="O52" s="15"/>
    </row>
    <row r="53" spans="1:15" ht="19.8" x14ac:dyDescent="0.5">
      <c r="A53" s="58"/>
      <c r="B53" s="15"/>
      <c r="C53" s="15"/>
      <c r="D53" s="15"/>
      <c r="E53" s="15"/>
      <c r="F53" s="15"/>
      <c r="G53" s="15"/>
      <c r="H53" s="15"/>
      <c r="I53" s="15"/>
      <c r="J53" s="15"/>
      <c r="K53" s="15"/>
      <c r="L53" s="15"/>
      <c r="M53" s="15"/>
      <c r="N53" s="15"/>
      <c r="O53" s="15"/>
    </row>
    <row r="54" spans="1:15" ht="19.8" x14ac:dyDescent="0.5">
      <c r="A54" s="58"/>
      <c r="B54" s="15"/>
      <c r="C54" s="15"/>
      <c r="D54" s="15"/>
      <c r="E54" s="15"/>
      <c r="F54" s="15"/>
      <c r="G54" s="15"/>
      <c r="H54" s="15"/>
      <c r="I54" s="15"/>
      <c r="J54" s="15"/>
      <c r="K54" s="15"/>
      <c r="L54" s="15"/>
      <c r="M54" s="15"/>
      <c r="N54" s="15"/>
      <c r="O54" s="15"/>
    </row>
    <row r="55" spans="1:15" ht="19.8" x14ac:dyDescent="0.5">
      <c r="A55" s="58"/>
      <c r="B55" s="15"/>
      <c r="C55" s="15"/>
      <c r="D55" s="15"/>
      <c r="E55" s="15"/>
      <c r="F55" s="15"/>
      <c r="G55" s="15"/>
      <c r="H55" s="15"/>
      <c r="I55" s="15"/>
      <c r="J55" s="15"/>
      <c r="K55" s="15"/>
      <c r="L55" s="15"/>
      <c r="M55" s="15"/>
      <c r="N55" s="15"/>
      <c r="O55" s="15"/>
    </row>
    <row r="56" spans="1:15" ht="19.8" x14ac:dyDescent="0.5">
      <c r="A56" s="58"/>
      <c r="B56" s="15"/>
      <c r="C56" s="15"/>
      <c r="D56" s="15"/>
      <c r="E56" s="15"/>
      <c r="F56" s="15"/>
      <c r="G56" s="15"/>
      <c r="H56" s="15"/>
      <c r="I56" s="15"/>
      <c r="J56" s="15"/>
      <c r="K56" s="15"/>
      <c r="L56" s="15"/>
      <c r="M56" s="15"/>
      <c r="N56" s="15"/>
      <c r="O56" s="15"/>
    </row>
    <row r="57" spans="1:15" ht="19.8" x14ac:dyDescent="0.5">
      <c r="A57" s="58"/>
      <c r="B57" s="15"/>
      <c r="C57" s="15"/>
      <c r="D57" s="15"/>
      <c r="E57" s="15"/>
      <c r="F57" s="15"/>
      <c r="G57" s="15"/>
      <c r="H57" s="15"/>
      <c r="I57" s="15"/>
      <c r="J57" s="15"/>
      <c r="K57" s="15"/>
      <c r="L57" s="15"/>
      <c r="M57" s="15"/>
      <c r="N57" s="15"/>
      <c r="O57" s="15"/>
    </row>
    <row r="58" spans="1:15" ht="19.8" x14ac:dyDescent="0.5">
      <c r="A58" s="58"/>
      <c r="B58" s="15"/>
      <c r="C58" s="15"/>
      <c r="D58" s="15"/>
      <c r="E58" s="15"/>
      <c r="F58" s="15"/>
      <c r="G58" s="15"/>
      <c r="H58" s="15"/>
      <c r="I58" s="15"/>
      <c r="J58" s="15"/>
      <c r="K58" s="15"/>
      <c r="L58" s="15"/>
      <c r="M58" s="15"/>
      <c r="N58" s="15"/>
      <c r="O58" s="15"/>
    </row>
    <row r="59" spans="1:15" ht="19.8" x14ac:dyDescent="0.5">
      <c r="A59" s="58"/>
      <c r="B59" s="15"/>
      <c r="C59" s="15"/>
      <c r="D59" s="15"/>
      <c r="E59" s="15"/>
      <c r="F59" s="15"/>
      <c r="G59" s="15"/>
      <c r="H59" s="15"/>
      <c r="I59" s="15"/>
      <c r="J59" s="15"/>
      <c r="K59" s="15"/>
      <c r="L59" s="15"/>
      <c r="M59" s="15"/>
      <c r="N59" s="15"/>
      <c r="O59" s="15"/>
    </row>
    <row r="60" spans="1:15" ht="19.8" x14ac:dyDescent="0.5">
      <c r="A60" s="58"/>
      <c r="B60" s="15"/>
      <c r="C60" s="15"/>
      <c r="D60" s="15"/>
      <c r="E60" s="15"/>
      <c r="F60" s="15"/>
      <c r="G60" s="15"/>
      <c r="H60" s="15"/>
      <c r="I60" s="15"/>
      <c r="J60" s="15"/>
      <c r="K60" s="15"/>
      <c r="L60" s="15"/>
      <c r="M60" s="15"/>
      <c r="N60" s="15"/>
      <c r="O60" s="15"/>
    </row>
    <row r="61" spans="1:15" ht="19.8" x14ac:dyDescent="0.5">
      <c r="A61" s="58"/>
      <c r="B61" s="15"/>
      <c r="C61" s="15"/>
      <c r="D61" s="15"/>
      <c r="E61" s="15"/>
      <c r="F61" s="15"/>
      <c r="G61" s="15"/>
      <c r="H61" s="15"/>
      <c r="I61" s="15"/>
      <c r="J61" s="15"/>
      <c r="K61" s="15"/>
      <c r="L61" s="15"/>
      <c r="M61" s="15"/>
      <c r="N61" s="15"/>
      <c r="O61" s="15"/>
    </row>
    <row r="62" spans="1:15" ht="19.8" x14ac:dyDescent="0.5">
      <c r="A62" s="58"/>
      <c r="B62" s="15"/>
      <c r="C62" s="15"/>
      <c r="D62" s="15"/>
      <c r="E62" s="15"/>
      <c r="F62" s="15"/>
      <c r="G62" s="15"/>
      <c r="H62" s="15"/>
      <c r="I62" s="15"/>
      <c r="J62" s="15"/>
      <c r="K62" s="15"/>
      <c r="L62" s="15"/>
      <c r="M62" s="15"/>
      <c r="N62" s="15"/>
      <c r="O62" s="15"/>
    </row>
    <row r="63" spans="1:15" ht="19.8" x14ac:dyDescent="0.5">
      <c r="A63" s="58"/>
      <c r="B63" s="15"/>
      <c r="C63" s="15"/>
      <c r="D63" s="15"/>
      <c r="E63" s="15"/>
      <c r="F63" s="15"/>
      <c r="G63" s="15"/>
      <c r="H63" s="15"/>
      <c r="I63" s="15"/>
      <c r="J63" s="15"/>
      <c r="K63" s="15"/>
      <c r="L63" s="15"/>
      <c r="M63" s="15"/>
      <c r="N63" s="15"/>
      <c r="O63" s="15"/>
    </row>
    <row r="64" spans="1:15" ht="19.8" x14ac:dyDescent="0.5">
      <c r="A64" s="58"/>
      <c r="B64" s="15"/>
      <c r="C64" s="15"/>
      <c r="D64" s="15"/>
      <c r="E64" s="15"/>
      <c r="F64" s="15"/>
      <c r="G64" s="15"/>
      <c r="H64" s="15"/>
      <c r="I64" s="15"/>
      <c r="J64" s="15"/>
      <c r="K64" s="15"/>
      <c r="L64" s="15"/>
      <c r="M64" s="15"/>
      <c r="N64" s="15"/>
      <c r="O64" s="15"/>
    </row>
    <row r="65" spans="1:15" ht="19.8" x14ac:dyDescent="0.5">
      <c r="A65" s="58"/>
      <c r="B65" s="15"/>
      <c r="C65" s="15"/>
      <c r="D65" s="15"/>
      <c r="E65" s="15"/>
      <c r="F65" s="15"/>
      <c r="G65" s="15"/>
      <c r="H65" s="15"/>
      <c r="I65" s="15"/>
      <c r="J65" s="15"/>
      <c r="K65" s="15"/>
      <c r="L65" s="15"/>
      <c r="M65" s="15"/>
      <c r="N65" s="15"/>
      <c r="O65" s="15"/>
    </row>
    <row r="66" spans="1:15" ht="19.8" x14ac:dyDescent="0.5">
      <c r="A66" s="58"/>
      <c r="B66" s="15"/>
      <c r="C66" s="15"/>
      <c r="D66" s="15"/>
      <c r="E66" s="15"/>
      <c r="F66" s="15"/>
      <c r="G66" s="15"/>
      <c r="H66" s="15"/>
      <c r="I66" s="15"/>
      <c r="J66" s="15"/>
      <c r="K66" s="15"/>
      <c r="L66" s="15"/>
      <c r="M66" s="15"/>
      <c r="N66" s="15"/>
      <c r="O66" s="15"/>
    </row>
    <row r="67" spans="1:15" ht="19.8" x14ac:dyDescent="0.5">
      <c r="A67" s="58"/>
      <c r="B67" s="15"/>
      <c r="C67" s="15"/>
      <c r="D67" s="15"/>
      <c r="E67" s="15"/>
      <c r="F67" s="15"/>
      <c r="G67" s="15"/>
      <c r="H67" s="15"/>
      <c r="I67" s="15"/>
      <c r="J67" s="15"/>
      <c r="K67" s="15"/>
      <c r="L67" s="15"/>
      <c r="M67" s="15"/>
      <c r="N67" s="15"/>
      <c r="O67" s="15"/>
    </row>
    <row r="68" spans="1:15" ht="19.8" x14ac:dyDescent="0.5">
      <c r="A68" s="58"/>
      <c r="B68" s="15"/>
      <c r="C68" s="15"/>
      <c r="D68" s="15"/>
      <c r="E68" s="15"/>
      <c r="F68" s="15"/>
      <c r="G68" s="15"/>
      <c r="H68" s="15"/>
      <c r="I68" s="15"/>
      <c r="J68" s="15"/>
      <c r="K68" s="15"/>
      <c r="L68" s="15"/>
      <c r="M68" s="15"/>
      <c r="N68" s="15"/>
      <c r="O68" s="15"/>
    </row>
    <row r="69" spans="1:15" ht="19.8" x14ac:dyDescent="0.5">
      <c r="A69" s="58"/>
      <c r="B69" s="15"/>
      <c r="C69" s="15"/>
      <c r="D69" s="15"/>
      <c r="E69" s="15"/>
      <c r="F69" s="15"/>
      <c r="G69" s="15"/>
      <c r="H69" s="15"/>
      <c r="I69" s="15"/>
      <c r="J69" s="15"/>
      <c r="K69" s="15"/>
      <c r="L69" s="15"/>
      <c r="M69" s="15"/>
      <c r="N69" s="15"/>
      <c r="O69" s="15"/>
    </row>
    <row r="70" spans="1:15" ht="19.8" x14ac:dyDescent="0.5">
      <c r="A70" s="58"/>
      <c r="B70" s="15"/>
      <c r="C70" s="15"/>
      <c r="D70" s="15"/>
      <c r="E70" s="15"/>
      <c r="F70" s="15"/>
      <c r="G70" s="15"/>
      <c r="H70" s="15"/>
      <c r="I70" s="15"/>
      <c r="J70" s="15"/>
      <c r="K70" s="15"/>
      <c r="L70" s="15"/>
      <c r="M70" s="15"/>
      <c r="N70" s="15"/>
      <c r="O70" s="15"/>
    </row>
    <row r="71" spans="1:15" ht="19.8" x14ac:dyDescent="0.5">
      <c r="A71" s="58"/>
      <c r="B71" s="15"/>
      <c r="C71" s="15"/>
      <c r="D71" s="15"/>
      <c r="E71" s="15"/>
      <c r="F71" s="15"/>
      <c r="G71" s="15"/>
      <c r="H71" s="15"/>
      <c r="I71" s="15"/>
      <c r="J71" s="15"/>
      <c r="K71" s="15"/>
      <c r="L71" s="15"/>
      <c r="M71" s="15"/>
      <c r="N71" s="15"/>
      <c r="O71" s="15"/>
    </row>
    <row r="72" spans="1:15" ht="19.8" x14ac:dyDescent="0.5">
      <c r="A72" s="58"/>
      <c r="B72" s="15"/>
      <c r="C72" s="15"/>
      <c r="D72" s="15"/>
      <c r="E72" s="15"/>
      <c r="F72" s="15"/>
      <c r="G72" s="15"/>
      <c r="H72" s="15"/>
      <c r="I72" s="15"/>
      <c r="J72" s="15"/>
      <c r="K72" s="15"/>
      <c r="L72" s="15"/>
      <c r="M72" s="15"/>
      <c r="N72" s="15"/>
      <c r="O72" s="15"/>
    </row>
    <row r="73" spans="1:15" ht="19.8" x14ac:dyDescent="0.5">
      <c r="A73" s="58"/>
      <c r="B73" s="15"/>
      <c r="C73" s="15"/>
      <c r="D73" s="15"/>
      <c r="E73" s="15"/>
      <c r="F73" s="15"/>
      <c r="G73" s="15"/>
      <c r="H73" s="15"/>
      <c r="I73" s="15"/>
      <c r="J73" s="15"/>
      <c r="K73" s="15"/>
      <c r="L73" s="15"/>
      <c r="M73" s="15"/>
      <c r="N73" s="15"/>
      <c r="O73" s="15"/>
    </row>
    <row r="74" spans="1:15" ht="19.8" x14ac:dyDescent="0.5">
      <c r="A74" s="58"/>
      <c r="B74" s="15"/>
      <c r="C74" s="15"/>
      <c r="D74" s="15"/>
      <c r="E74" s="15"/>
      <c r="F74" s="15"/>
      <c r="G74" s="15"/>
      <c r="H74" s="15"/>
      <c r="I74" s="15"/>
      <c r="J74" s="15"/>
      <c r="K74" s="15"/>
      <c r="L74" s="15"/>
      <c r="M74" s="15"/>
      <c r="N74" s="15"/>
      <c r="O74" s="15"/>
    </row>
    <row r="75" spans="1:15" ht="19.8" x14ac:dyDescent="0.5">
      <c r="A75" s="58"/>
      <c r="B75" s="15"/>
      <c r="C75" s="15"/>
      <c r="D75" s="15"/>
      <c r="E75" s="15"/>
      <c r="F75" s="15"/>
      <c r="G75" s="15"/>
      <c r="H75" s="15"/>
      <c r="I75" s="15"/>
      <c r="J75" s="15"/>
      <c r="K75" s="15"/>
      <c r="L75" s="15"/>
      <c r="M75" s="15"/>
      <c r="N75" s="15"/>
      <c r="O75" s="15"/>
    </row>
    <row r="76" spans="1:15" ht="19.8" x14ac:dyDescent="0.5">
      <c r="A76" s="58"/>
      <c r="B76" s="15"/>
      <c r="C76" s="15"/>
      <c r="D76" s="15"/>
      <c r="E76" s="15"/>
      <c r="F76" s="15"/>
      <c r="G76" s="15"/>
      <c r="H76" s="15"/>
      <c r="I76" s="15"/>
      <c r="J76" s="15"/>
      <c r="K76" s="15"/>
      <c r="L76" s="15"/>
      <c r="M76" s="15"/>
      <c r="N76" s="15"/>
      <c r="O76" s="15"/>
    </row>
    <row r="77" spans="1:15" ht="19.8" x14ac:dyDescent="0.5">
      <c r="A77" s="58"/>
      <c r="B77" s="15"/>
      <c r="C77" s="15"/>
      <c r="D77" s="15"/>
      <c r="E77" s="15"/>
      <c r="F77" s="15"/>
      <c r="G77" s="15"/>
      <c r="H77" s="15"/>
      <c r="I77" s="15"/>
      <c r="J77" s="15"/>
      <c r="K77" s="15"/>
      <c r="L77" s="15"/>
      <c r="M77" s="15"/>
      <c r="N77" s="15"/>
      <c r="O77" s="15"/>
    </row>
    <row r="78" spans="1:15" ht="19.8" x14ac:dyDescent="0.5">
      <c r="A78" s="58"/>
      <c r="B78" s="15"/>
      <c r="C78" s="15"/>
      <c r="D78" s="15"/>
      <c r="E78" s="15"/>
      <c r="F78" s="15"/>
      <c r="G78" s="15"/>
      <c r="H78" s="15"/>
      <c r="I78" s="15"/>
      <c r="J78" s="15"/>
      <c r="K78" s="15"/>
      <c r="L78" s="15"/>
      <c r="M78" s="15"/>
      <c r="N78" s="15"/>
      <c r="O78" s="15"/>
    </row>
    <row r="79" spans="1:15" ht="19.8" x14ac:dyDescent="0.5">
      <c r="A79" s="58"/>
      <c r="B79" s="15"/>
      <c r="C79" s="15"/>
      <c r="D79" s="15"/>
      <c r="E79" s="15"/>
      <c r="F79" s="15"/>
      <c r="G79" s="15"/>
      <c r="H79" s="15"/>
      <c r="I79" s="15"/>
      <c r="J79" s="15"/>
      <c r="K79" s="15"/>
      <c r="L79" s="15"/>
      <c r="M79" s="15"/>
      <c r="N79" s="15"/>
      <c r="O79" s="15"/>
    </row>
    <row r="80" spans="1:15" ht="19.8" x14ac:dyDescent="0.5">
      <c r="A80" s="58"/>
      <c r="B80" s="15"/>
      <c r="C80" s="15"/>
      <c r="D80" s="15"/>
      <c r="E80" s="15"/>
      <c r="F80" s="15"/>
      <c r="G80" s="15"/>
      <c r="H80" s="15"/>
      <c r="I80" s="15"/>
      <c r="J80" s="15"/>
      <c r="K80" s="15"/>
      <c r="L80" s="15"/>
      <c r="M80" s="15"/>
      <c r="N80" s="15"/>
      <c r="O80" s="15"/>
    </row>
    <row r="81" spans="1:15" ht="19.8" x14ac:dyDescent="0.5">
      <c r="A81" s="58"/>
      <c r="B81" s="15"/>
      <c r="C81" s="15"/>
      <c r="D81" s="15"/>
      <c r="E81" s="15"/>
      <c r="F81" s="15"/>
      <c r="G81" s="15"/>
      <c r="H81" s="15"/>
      <c r="I81" s="15"/>
      <c r="J81" s="15"/>
      <c r="K81" s="15"/>
      <c r="L81" s="15"/>
      <c r="M81" s="15"/>
      <c r="N81" s="15"/>
      <c r="O81" s="15"/>
    </row>
    <row r="82" spans="1:15" ht="19.8" x14ac:dyDescent="0.5">
      <c r="A82" s="58"/>
      <c r="B82" s="15"/>
      <c r="C82" s="15"/>
      <c r="D82" s="15"/>
      <c r="E82" s="15"/>
      <c r="F82" s="15"/>
      <c r="G82" s="15"/>
      <c r="H82" s="15"/>
      <c r="I82" s="15"/>
      <c r="J82" s="15"/>
      <c r="K82" s="15"/>
      <c r="L82" s="15"/>
      <c r="M82" s="15"/>
      <c r="N82" s="15"/>
      <c r="O82" s="15"/>
    </row>
    <row r="83" spans="1:15" ht="19.8" x14ac:dyDescent="0.5">
      <c r="A83" s="58"/>
      <c r="B83" s="15"/>
      <c r="C83" s="15"/>
      <c r="D83" s="15"/>
      <c r="E83" s="15"/>
      <c r="F83" s="15"/>
      <c r="G83" s="15"/>
      <c r="H83" s="15"/>
      <c r="I83" s="15"/>
      <c r="J83" s="15"/>
      <c r="K83" s="15"/>
      <c r="L83" s="15"/>
      <c r="M83" s="15"/>
      <c r="N83" s="15"/>
      <c r="O83" s="15"/>
    </row>
    <row r="84" spans="1:15" ht="19.8" x14ac:dyDescent="0.5">
      <c r="A84" s="58"/>
      <c r="B84" s="15"/>
      <c r="C84" s="15"/>
      <c r="D84" s="15"/>
      <c r="E84" s="15"/>
      <c r="F84" s="15"/>
      <c r="G84" s="15"/>
      <c r="H84" s="15"/>
      <c r="I84" s="15"/>
      <c r="J84" s="15"/>
      <c r="K84" s="15"/>
      <c r="L84" s="15"/>
      <c r="M84" s="15"/>
      <c r="N84" s="15"/>
      <c r="O84" s="15"/>
    </row>
    <row r="85" spans="1:15" ht="19.8" x14ac:dyDescent="0.5">
      <c r="A85" s="58"/>
      <c r="B85" s="15"/>
      <c r="C85" s="15"/>
      <c r="D85" s="15"/>
      <c r="E85" s="15"/>
      <c r="F85" s="15"/>
      <c r="G85" s="15"/>
      <c r="H85" s="15"/>
      <c r="I85" s="15"/>
      <c r="J85" s="15"/>
      <c r="K85" s="15"/>
      <c r="L85" s="15"/>
      <c r="M85" s="15"/>
      <c r="N85" s="15"/>
      <c r="O85" s="15"/>
    </row>
    <row r="86" spans="1:15" ht="19.8" x14ac:dyDescent="0.5">
      <c r="A86" s="58"/>
      <c r="B86" s="15"/>
      <c r="C86" s="15"/>
      <c r="D86" s="15"/>
      <c r="E86" s="15"/>
      <c r="F86" s="15"/>
      <c r="G86" s="15"/>
      <c r="H86" s="15"/>
      <c r="I86" s="15"/>
      <c r="J86" s="15"/>
      <c r="K86" s="15"/>
      <c r="L86" s="15"/>
      <c r="M86" s="15"/>
      <c r="N86" s="15"/>
      <c r="O86" s="15"/>
    </row>
    <row r="87" spans="1:15" ht="19.8" x14ac:dyDescent="0.5">
      <c r="A87" s="58"/>
      <c r="B87" s="15"/>
      <c r="C87" s="15"/>
      <c r="D87" s="15"/>
      <c r="E87" s="15"/>
      <c r="F87" s="15"/>
      <c r="G87" s="15"/>
      <c r="H87" s="15"/>
      <c r="I87" s="15"/>
      <c r="J87" s="15"/>
      <c r="K87" s="15"/>
      <c r="L87" s="15"/>
      <c r="M87" s="15"/>
      <c r="N87" s="15"/>
      <c r="O87" s="15"/>
    </row>
    <row r="88" spans="1:15" ht="19.8" x14ac:dyDescent="0.5">
      <c r="A88" s="58"/>
      <c r="B88" s="15"/>
      <c r="C88" s="15"/>
      <c r="D88" s="15"/>
      <c r="E88" s="15"/>
      <c r="F88" s="15"/>
      <c r="G88" s="15"/>
      <c r="H88" s="15"/>
      <c r="I88" s="15"/>
      <c r="J88" s="15"/>
      <c r="K88" s="15"/>
      <c r="L88" s="15"/>
      <c r="M88" s="15"/>
      <c r="N88" s="15"/>
      <c r="O88" s="15"/>
    </row>
    <row r="89" spans="1:15" ht="19.8" x14ac:dyDescent="0.5">
      <c r="A89" s="58"/>
      <c r="B89" s="15"/>
      <c r="C89" s="15"/>
      <c r="D89" s="15"/>
      <c r="E89" s="15"/>
      <c r="F89" s="15"/>
      <c r="G89" s="15"/>
      <c r="H89" s="15"/>
      <c r="I89" s="15"/>
      <c r="J89" s="15"/>
      <c r="K89" s="15"/>
      <c r="L89" s="15"/>
      <c r="M89" s="15"/>
      <c r="N89" s="15"/>
      <c r="O89" s="15"/>
    </row>
    <row r="90" spans="1:15" ht="19.8" x14ac:dyDescent="0.5">
      <c r="A90" s="58"/>
      <c r="B90" s="15"/>
      <c r="C90" s="15"/>
      <c r="D90" s="15"/>
      <c r="E90" s="15"/>
      <c r="F90" s="15"/>
      <c r="G90" s="15"/>
      <c r="H90" s="15"/>
      <c r="I90" s="15"/>
      <c r="J90" s="15"/>
      <c r="K90" s="15"/>
      <c r="L90" s="15"/>
      <c r="M90" s="15"/>
      <c r="N90" s="15"/>
      <c r="O90" s="15"/>
    </row>
    <row r="91" spans="1:15" ht="19.8" x14ac:dyDescent="0.5">
      <c r="A91" s="58"/>
      <c r="B91" s="15"/>
      <c r="C91" s="15"/>
      <c r="D91" s="15"/>
      <c r="E91" s="15"/>
      <c r="F91" s="15"/>
      <c r="G91" s="15"/>
      <c r="H91" s="15"/>
      <c r="I91" s="15"/>
      <c r="J91" s="15"/>
      <c r="K91" s="15"/>
      <c r="L91" s="15"/>
      <c r="M91" s="15"/>
      <c r="N91" s="15"/>
      <c r="O91" s="15"/>
    </row>
    <row r="92" spans="1:15" ht="19.8" x14ac:dyDescent="0.5">
      <c r="A92" s="58"/>
      <c r="B92" s="15"/>
      <c r="C92" s="15"/>
      <c r="D92" s="15"/>
      <c r="E92" s="15"/>
      <c r="F92" s="15"/>
      <c r="G92" s="15"/>
      <c r="H92" s="15"/>
      <c r="I92" s="15"/>
      <c r="J92" s="15"/>
      <c r="K92" s="15"/>
      <c r="L92" s="15"/>
      <c r="M92" s="15"/>
      <c r="N92" s="15"/>
      <c r="O92" s="15"/>
    </row>
    <row r="93" spans="1:15" ht="19.8" x14ac:dyDescent="0.5">
      <c r="A93" s="58"/>
      <c r="B93" s="15"/>
      <c r="C93" s="15"/>
      <c r="D93" s="15"/>
      <c r="E93" s="15"/>
      <c r="F93" s="15"/>
      <c r="G93" s="15"/>
      <c r="H93" s="15"/>
      <c r="I93" s="15"/>
      <c r="J93" s="15"/>
      <c r="K93" s="15"/>
      <c r="L93" s="15"/>
      <c r="M93" s="15"/>
      <c r="N93" s="15"/>
      <c r="O93" s="15"/>
    </row>
    <row r="94" spans="1:15" ht="19.8" x14ac:dyDescent="0.5">
      <c r="A94" s="58"/>
      <c r="B94" s="15"/>
      <c r="C94" s="15"/>
      <c r="D94" s="15"/>
      <c r="E94" s="15"/>
      <c r="F94" s="15"/>
      <c r="G94" s="15"/>
      <c r="H94" s="15"/>
      <c r="I94" s="15"/>
      <c r="J94" s="15"/>
      <c r="K94" s="15"/>
      <c r="L94" s="15"/>
      <c r="M94" s="15"/>
      <c r="N94" s="15"/>
      <c r="O94" s="15"/>
    </row>
    <row r="95" spans="1:15" ht="19.8" x14ac:dyDescent="0.5">
      <c r="A95" s="58"/>
      <c r="B95" s="15"/>
      <c r="C95" s="15"/>
      <c r="D95" s="15"/>
      <c r="E95" s="15"/>
      <c r="F95" s="15"/>
      <c r="G95" s="15"/>
      <c r="H95" s="15"/>
      <c r="I95" s="15"/>
      <c r="J95" s="15"/>
      <c r="K95" s="15"/>
      <c r="L95" s="15"/>
      <c r="M95" s="15"/>
      <c r="N95" s="15"/>
      <c r="O95" s="15"/>
    </row>
    <row r="96" spans="1:15" ht="19.8" x14ac:dyDescent="0.5">
      <c r="A96" s="58"/>
      <c r="B96" s="15"/>
      <c r="C96" s="15"/>
      <c r="D96" s="15"/>
      <c r="E96" s="15"/>
      <c r="F96" s="15"/>
      <c r="G96" s="15"/>
      <c r="H96" s="15"/>
      <c r="I96" s="15"/>
      <c r="J96" s="15"/>
      <c r="K96" s="15"/>
      <c r="L96" s="15"/>
      <c r="M96" s="15"/>
      <c r="N96" s="15"/>
      <c r="O96" s="15"/>
    </row>
    <row r="97" spans="1:15" ht="19.8" x14ac:dyDescent="0.5">
      <c r="A97" s="58"/>
      <c r="B97" s="15"/>
      <c r="C97" s="15"/>
      <c r="D97" s="15"/>
      <c r="E97" s="15"/>
      <c r="F97" s="15"/>
      <c r="G97" s="15"/>
      <c r="H97" s="15"/>
      <c r="I97" s="15"/>
      <c r="J97" s="15"/>
      <c r="K97" s="15"/>
      <c r="L97" s="15"/>
      <c r="M97" s="15"/>
      <c r="N97" s="15"/>
      <c r="O97" s="15"/>
    </row>
    <row r="98" spans="1:15" ht="19.8" x14ac:dyDescent="0.5">
      <c r="A98" s="58"/>
      <c r="B98" s="15"/>
      <c r="C98" s="15"/>
      <c r="D98" s="15"/>
      <c r="E98" s="15"/>
      <c r="F98" s="15"/>
      <c r="G98" s="15"/>
      <c r="H98" s="15"/>
      <c r="I98" s="15"/>
      <c r="J98" s="15"/>
      <c r="K98" s="15"/>
      <c r="L98" s="15"/>
      <c r="M98" s="15"/>
      <c r="N98" s="15"/>
      <c r="O98" s="15"/>
    </row>
    <row r="99" spans="1:15" ht="19.8" x14ac:dyDescent="0.5">
      <c r="A99" s="58"/>
      <c r="B99" s="15"/>
      <c r="C99" s="15"/>
      <c r="D99" s="15"/>
      <c r="E99" s="15"/>
      <c r="F99" s="15"/>
      <c r="G99" s="15"/>
      <c r="H99" s="15"/>
      <c r="I99" s="15"/>
      <c r="J99" s="15"/>
      <c r="K99" s="15"/>
      <c r="L99" s="15"/>
      <c r="M99" s="15"/>
      <c r="N99" s="15"/>
      <c r="O99" s="15"/>
    </row>
    <row r="100" spans="1:15" ht="19.8" x14ac:dyDescent="0.5">
      <c r="A100" s="58"/>
      <c r="B100" s="15"/>
      <c r="C100" s="15"/>
      <c r="D100" s="15"/>
      <c r="E100" s="15"/>
      <c r="F100" s="15"/>
      <c r="G100" s="15"/>
      <c r="H100" s="15"/>
      <c r="I100" s="15"/>
      <c r="J100" s="15"/>
      <c r="K100" s="15"/>
      <c r="L100" s="15"/>
      <c r="M100" s="15"/>
      <c r="N100" s="15"/>
      <c r="O100" s="15"/>
    </row>
    <row r="101" spans="1:15" ht="19.8" x14ac:dyDescent="0.5">
      <c r="A101" s="58"/>
      <c r="B101" s="15"/>
      <c r="C101" s="15"/>
      <c r="D101" s="15"/>
      <c r="E101" s="15"/>
      <c r="F101" s="15"/>
      <c r="G101" s="15"/>
      <c r="H101" s="15"/>
      <c r="I101" s="15"/>
      <c r="J101" s="15"/>
      <c r="K101" s="15"/>
      <c r="L101" s="15"/>
      <c r="M101" s="15"/>
      <c r="N101" s="15"/>
      <c r="O101" s="15"/>
    </row>
    <row r="102" spans="1:15" ht="19.8" x14ac:dyDescent="0.5">
      <c r="A102" s="58"/>
      <c r="B102" s="15"/>
      <c r="C102" s="15"/>
      <c r="D102" s="15"/>
      <c r="E102" s="15"/>
      <c r="F102" s="15"/>
      <c r="G102" s="15"/>
      <c r="H102" s="15"/>
      <c r="I102" s="15"/>
      <c r="J102" s="15"/>
      <c r="K102" s="15"/>
      <c r="L102" s="15"/>
      <c r="M102" s="15"/>
      <c r="N102" s="15"/>
      <c r="O102" s="15"/>
    </row>
    <row r="103" spans="1:15" ht="19.8" x14ac:dyDescent="0.5">
      <c r="A103" s="58"/>
      <c r="B103" s="15"/>
      <c r="C103" s="15"/>
      <c r="D103" s="15"/>
      <c r="E103" s="15"/>
      <c r="F103" s="15"/>
      <c r="G103" s="15"/>
      <c r="H103" s="15"/>
      <c r="I103" s="15"/>
      <c r="J103" s="15"/>
      <c r="K103" s="15"/>
      <c r="L103" s="15"/>
      <c r="M103" s="15"/>
      <c r="N103" s="15"/>
      <c r="O103" s="15"/>
    </row>
    <row r="104" spans="1:15" ht="19.8" x14ac:dyDescent="0.5">
      <c r="A104" s="58"/>
      <c r="B104" s="15"/>
      <c r="C104" s="15"/>
      <c r="D104" s="15"/>
      <c r="E104" s="15"/>
      <c r="F104" s="15"/>
      <c r="G104" s="15"/>
      <c r="H104" s="15"/>
      <c r="I104" s="15"/>
      <c r="J104" s="15"/>
      <c r="K104" s="15"/>
      <c r="L104" s="15"/>
      <c r="M104" s="15"/>
      <c r="N104" s="15"/>
      <c r="O104" s="15"/>
    </row>
    <row r="105" spans="1:15" ht="19.8" x14ac:dyDescent="0.5">
      <c r="A105" s="58"/>
      <c r="B105" s="15"/>
      <c r="C105" s="15"/>
      <c r="D105" s="15"/>
      <c r="E105" s="15"/>
      <c r="F105" s="15"/>
      <c r="G105" s="15"/>
      <c r="H105" s="15"/>
      <c r="I105" s="15"/>
      <c r="J105" s="15"/>
      <c r="K105" s="15"/>
      <c r="L105" s="15"/>
      <c r="M105" s="15"/>
      <c r="N105" s="15"/>
      <c r="O105" s="15"/>
    </row>
    <row r="106" spans="1:15" ht="19.8" x14ac:dyDescent="0.5">
      <c r="A106" s="58"/>
      <c r="B106" s="15"/>
      <c r="C106" s="15"/>
      <c r="D106" s="15"/>
      <c r="E106" s="15"/>
      <c r="F106" s="15"/>
      <c r="G106" s="15"/>
      <c r="H106" s="15"/>
      <c r="I106" s="15"/>
      <c r="J106" s="15"/>
      <c r="K106" s="15"/>
      <c r="L106" s="15"/>
      <c r="M106" s="15"/>
      <c r="N106" s="15"/>
      <c r="O106" s="15"/>
    </row>
    <row r="107" spans="1:15" ht="19.8" x14ac:dyDescent="0.5">
      <c r="A107" s="58"/>
      <c r="B107" s="15"/>
      <c r="C107" s="15"/>
      <c r="D107" s="15"/>
      <c r="E107" s="15"/>
      <c r="F107" s="15"/>
      <c r="G107" s="15"/>
      <c r="H107" s="15"/>
      <c r="I107" s="15"/>
      <c r="J107" s="15"/>
      <c r="K107" s="15"/>
      <c r="L107" s="15"/>
      <c r="M107" s="15"/>
      <c r="N107" s="15"/>
      <c r="O107" s="15"/>
    </row>
    <row r="108" spans="1:15" ht="19.8" x14ac:dyDescent="0.5">
      <c r="A108" s="58"/>
      <c r="B108" s="15"/>
      <c r="C108" s="15"/>
      <c r="D108" s="15"/>
      <c r="E108" s="15"/>
      <c r="F108" s="15"/>
      <c r="G108" s="15"/>
      <c r="H108" s="15"/>
      <c r="I108" s="15"/>
      <c r="J108" s="15"/>
      <c r="K108" s="15"/>
      <c r="L108" s="15"/>
      <c r="M108" s="15"/>
      <c r="N108" s="15"/>
      <c r="O108" s="15"/>
    </row>
    <row r="109" spans="1:15" ht="19.8" x14ac:dyDescent="0.5">
      <c r="A109" s="58"/>
      <c r="B109" s="15"/>
      <c r="C109" s="15"/>
      <c r="D109" s="15"/>
      <c r="E109" s="15"/>
      <c r="F109" s="15"/>
      <c r="G109" s="15"/>
      <c r="H109" s="15"/>
      <c r="I109" s="15"/>
      <c r="J109" s="15"/>
      <c r="K109" s="15"/>
      <c r="L109" s="15"/>
      <c r="M109" s="15"/>
      <c r="N109" s="15"/>
      <c r="O109" s="15"/>
    </row>
    <row r="110" spans="1:15" ht="19.8" x14ac:dyDescent="0.5">
      <c r="A110" s="58"/>
      <c r="B110" s="15"/>
      <c r="C110" s="15"/>
      <c r="D110" s="15"/>
      <c r="E110" s="15"/>
      <c r="F110" s="15"/>
      <c r="G110" s="15"/>
      <c r="H110" s="15"/>
      <c r="I110" s="15"/>
      <c r="J110" s="15"/>
      <c r="K110" s="15"/>
      <c r="L110" s="15"/>
      <c r="M110" s="15"/>
      <c r="N110" s="15"/>
      <c r="O110" s="15"/>
    </row>
    <row r="111" spans="1:15" ht="19.8" x14ac:dyDescent="0.5">
      <c r="A111" s="58"/>
      <c r="B111" s="15"/>
      <c r="C111" s="15"/>
      <c r="D111" s="15"/>
      <c r="E111" s="15"/>
      <c r="F111" s="15"/>
      <c r="G111" s="15"/>
      <c r="H111" s="15"/>
      <c r="I111" s="15"/>
      <c r="J111" s="15"/>
      <c r="K111" s="15"/>
      <c r="L111" s="15"/>
      <c r="M111" s="15"/>
      <c r="N111" s="15"/>
      <c r="O111" s="15"/>
    </row>
    <row r="112" spans="1:15" ht="19.8" x14ac:dyDescent="0.5">
      <c r="A112" s="58"/>
      <c r="B112" s="15"/>
      <c r="C112" s="15"/>
      <c r="D112" s="15"/>
      <c r="E112" s="15"/>
      <c r="F112" s="15"/>
      <c r="G112" s="15"/>
      <c r="H112" s="15"/>
      <c r="I112" s="15"/>
      <c r="J112" s="15"/>
      <c r="K112" s="15"/>
      <c r="L112" s="15"/>
      <c r="M112" s="15"/>
      <c r="N112" s="15"/>
      <c r="O112" s="15"/>
    </row>
    <row r="113" spans="1:15" ht="19.8" x14ac:dyDescent="0.5">
      <c r="A113" s="58"/>
      <c r="B113" s="15"/>
      <c r="C113" s="15"/>
      <c r="D113" s="15"/>
      <c r="E113" s="15"/>
      <c r="F113" s="15"/>
      <c r="G113" s="15"/>
      <c r="H113" s="15"/>
      <c r="I113" s="15"/>
      <c r="J113" s="15"/>
      <c r="K113" s="15"/>
      <c r="L113" s="15"/>
      <c r="M113" s="15"/>
      <c r="N113" s="15"/>
      <c r="O113" s="15"/>
    </row>
    <row r="114" spans="1:15" ht="19.8" x14ac:dyDescent="0.5">
      <c r="A114" s="58"/>
      <c r="B114" s="15"/>
      <c r="C114" s="15"/>
      <c r="D114" s="15"/>
      <c r="E114" s="15"/>
      <c r="F114" s="15"/>
      <c r="G114" s="15"/>
      <c r="H114" s="15"/>
      <c r="I114" s="15"/>
      <c r="J114" s="15"/>
      <c r="K114" s="15"/>
      <c r="L114" s="15"/>
      <c r="M114" s="15"/>
      <c r="N114" s="15"/>
      <c r="O114" s="15"/>
    </row>
    <row r="115" spans="1:15" ht="19.8" x14ac:dyDescent="0.5">
      <c r="A115" s="58"/>
      <c r="B115" s="15"/>
      <c r="C115" s="15"/>
      <c r="D115" s="15"/>
      <c r="E115" s="15"/>
      <c r="F115" s="15"/>
      <c r="G115" s="15"/>
      <c r="H115" s="15"/>
      <c r="I115" s="15"/>
      <c r="J115" s="15"/>
      <c r="K115" s="15"/>
      <c r="L115" s="15"/>
      <c r="M115" s="15"/>
      <c r="N115" s="15"/>
      <c r="O115" s="15"/>
    </row>
    <row r="116" spans="1:15" ht="19.8" x14ac:dyDescent="0.5">
      <c r="A116" s="58"/>
      <c r="B116" s="15"/>
      <c r="C116" s="15"/>
      <c r="D116" s="15"/>
      <c r="E116" s="15"/>
      <c r="F116" s="15"/>
      <c r="G116" s="15"/>
      <c r="H116" s="15"/>
      <c r="I116" s="15"/>
      <c r="J116" s="15"/>
      <c r="K116" s="15"/>
      <c r="L116" s="15"/>
      <c r="M116" s="15"/>
      <c r="N116" s="15"/>
      <c r="O116" s="15"/>
    </row>
    <row r="117" spans="1:15" ht="19.8" x14ac:dyDescent="0.5">
      <c r="A117" s="58"/>
      <c r="B117" s="15"/>
      <c r="C117" s="15"/>
      <c r="D117" s="15"/>
      <c r="E117" s="15"/>
      <c r="F117" s="15"/>
      <c r="G117" s="15"/>
      <c r="H117" s="15"/>
      <c r="I117" s="15"/>
      <c r="J117" s="15"/>
      <c r="K117" s="15"/>
      <c r="L117" s="15"/>
      <c r="M117" s="15"/>
      <c r="N117" s="15"/>
      <c r="O117" s="15"/>
    </row>
    <row r="118" spans="1:15" ht="19.8" x14ac:dyDescent="0.5">
      <c r="A118" s="58"/>
      <c r="B118" s="15"/>
      <c r="C118" s="15"/>
      <c r="D118" s="15"/>
      <c r="E118" s="15"/>
      <c r="F118" s="15"/>
      <c r="G118" s="15"/>
      <c r="H118" s="15"/>
      <c r="I118" s="15"/>
      <c r="J118" s="15"/>
      <c r="K118" s="15"/>
      <c r="L118" s="15"/>
      <c r="M118" s="15"/>
      <c r="N118" s="15"/>
      <c r="O118" s="15"/>
    </row>
    <row r="119" spans="1:15" ht="19.8" x14ac:dyDescent="0.5">
      <c r="A119" s="58"/>
      <c r="B119" s="15"/>
      <c r="C119" s="15"/>
      <c r="D119" s="15"/>
      <c r="E119" s="15"/>
      <c r="F119" s="15"/>
      <c r="G119" s="15"/>
      <c r="H119" s="15"/>
      <c r="I119" s="15"/>
      <c r="J119" s="15"/>
      <c r="K119" s="15"/>
      <c r="L119" s="15"/>
      <c r="M119" s="15"/>
      <c r="N119" s="15"/>
      <c r="O119" s="15"/>
    </row>
    <row r="120" spans="1:15" ht="19.8" x14ac:dyDescent="0.5">
      <c r="A120" s="58"/>
      <c r="B120" s="15"/>
      <c r="C120" s="15"/>
      <c r="D120" s="15"/>
      <c r="E120" s="15"/>
      <c r="F120" s="15"/>
      <c r="G120" s="15"/>
      <c r="H120" s="15"/>
      <c r="I120" s="15"/>
      <c r="J120" s="15"/>
      <c r="K120" s="15"/>
      <c r="L120" s="15"/>
      <c r="M120" s="15"/>
      <c r="N120" s="15"/>
      <c r="O120" s="15"/>
    </row>
    <row r="121" spans="1:15" ht="19.8" x14ac:dyDescent="0.5">
      <c r="A121" s="58"/>
      <c r="B121" s="15"/>
      <c r="C121" s="15"/>
      <c r="D121" s="15"/>
      <c r="E121" s="15"/>
      <c r="F121" s="15"/>
      <c r="G121" s="15"/>
      <c r="H121" s="15"/>
      <c r="I121" s="15"/>
      <c r="J121" s="15"/>
      <c r="K121" s="15"/>
      <c r="L121" s="15"/>
      <c r="M121" s="15"/>
      <c r="N121" s="15"/>
      <c r="O121" s="15"/>
    </row>
    <row r="122" spans="1:15" ht="19.8" x14ac:dyDescent="0.5">
      <c r="A122" s="58"/>
      <c r="B122" s="15"/>
      <c r="C122" s="15"/>
      <c r="D122" s="15"/>
      <c r="E122" s="15"/>
      <c r="F122" s="15"/>
      <c r="G122" s="15"/>
      <c r="H122" s="15"/>
      <c r="I122" s="15"/>
      <c r="J122" s="15"/>
      <c r="K122" s="15"/>
      <c r="L122" s="15"/>
      <c r="M122" s="15"/>
      <c r="N122" s="15"/>
      <c r="O122" s="15"/>
    </row>
    <row r="123" spans="1:15" ht="19.8" x14ac:dyDescent="0.5">
      <c r="A123" s="58"/>
      <c r="B123" s="15"/>
      <c r="C123" s="15"/>
      <c r="D123" s="15"/>
      <c r="E123" s="15"/>
      <c r="F123" s="15"/>
      <c r="G123" s="15"/>
      <c r="H123" s="15"/>
      <c r="I123" s="15"/>
      <c r="J123" s="15"/>
      <c r="K123" s="15"/>
      <c r="L123" s="15"/>
      <c r="M123" s="15"/>
      <c r="N123" s="15"/>
      <c r="O123" s="15"/>
    </row>
    <row r="124" spans="1:15" ht="19.8" x14ac:dyDescent="0.5">
      <c r="A124" s="58"/>
      <c r="B124" s="15"/>
      <c r="C124" s="15"/>
      <c r="D124" s="15"/>
      <c r="E124" s="15"/>
      <c r="F124" s="15"/>
      <c r="G124" s="15"/>
      <c r="H124" s="15"/>
      <c r="I124" s="15"/>
      <c r="J124" s="15"/>
      <c r="K124" s="15"/>
      <c r="L124" s="15"/>
      <c r="M124" s="15"/>
      <c r="N124" s="15"/>
      <c r="O124" s="15"/>
    </row>
    <row r="125" spans="1:15" ht="19.8" x14ac:dyDescent="0.5">
      <c r="A125" s="58"/>
      <c r="B125" s="15"/>
      <c r="C125" s="15"/>
      <c r="D125" s="15"/>
      <c r="E125" s="15"/>
      <c r="F125" s="15"/>
      <c r="G125" s="15"/>
      <c r="H125" s="15"/>
      <c r="I125" s="15"/>
      <c r="J125" s="15"/>
      <c r="K125" s="15"/>
      <c r="L125" s="15"/>
      <c r="M125" s="15"/>
      <c r="N125" s="15"/>
      <c r="O125" s="15"/>
    </row>
    <row r="126" spans="1:15" ht="19.8" x14ac:dyDescent="0.5">
      <c r="A126" s="58"/>
      <c r="B126" s="15"/>
      <c r="C126" s="15"/>
      <c r="D126" s="15"/>
      <c r="E126" s="15"/>
      <c r="F126" s="15"/>
      <c r="G126" s="15"/>
      <c r="H126" s="15"/>
      <c r="I126" s="15"/>
      <c r="J126" s="15"/>
      <c r="K126" s="15"/>
      <c r="L126" s="15"/>
      <c r="M126" s="15"/>
      <c r="N126" s="15"/>
      <c r="O126" s="15"/>
    </row>
    <row r="127" spans="1:15" ht="19.8" x14ac:dyDescent="0.5">
      <c r="A127" s="58"/>
      <c r="B127" s="15"/>
      <c r="C127" s="15"/>
      <c r="D127" s="15"/>
      <c r="E127" s="15"/>
      <c r="F127" s="15"/>
      <c r="G127" s="15"/>
      <c r="H127" s="15"/>
      <c r="I127" s="15"/>
      <c r="J127" s="15"/>
      <c r="K127" s="15"/>
      <c r="L127" s="15"/>
      <c r="M127" s="15"/>
      <c r="N127" s="15"/>
      <c r="O127" s="15"/>
    </row>
    <row r="128" spans="1:15" ht="19.8" x14ac:dyDescent="0.5">
      <c r="A128" s="58"/>
      <c r="B128" s="15"/>
      <c r="C128" s="15"/>
      <c r="D128" s="15"/>
      <c r="E128" s="15"/>
      <c r="F128" s="15"/>
      <c r="G128" s="15"/>
      <c r="H128" s="15"/>
      <c r="I128" s="15"/>
      <c r="J128" s="15"/>
      <c r="K128" s="15"/>
      <c r="L128" s="15"/>
      <c r="M128" s="15"/>
      <c r="N128" s="15"/>
      <c r="O128" s="15"/>
    </row>
    <row r="129" spans="1:15" ht="19.8" x14ac:dyDescent="0.5">
      <c r="A129" s="58"/>
      <c r="B129" s="15"/>
      <c r="C129" s="15"/>
      <c r="D129" s="15"/>
      <c r="E129" s="15"/>
      <c r="F129" s="15"/>
      <c r="G129" s="15"/>
      <c r="H129" s="15"/>
      <c r="I129" s="15"/>
      <c r="J129" s="15"/>
      <c r="K129" s="15"/>
      <c r="L129" s="15"/>
      <c r="M129" s="15"/>
      <c r="N129" s="15"/>
      <c r="O129" s="15"/>
    </row>
    <row r="130" spans="1:15" ht="19.8" x14ac:dyDescent="0.5">
      <c r="A130" s="58"/>
      <c r="B130" s="15"/>
      <c r="C130" s="15"/>
      <c r="D130" s="15"/>
      <c r="E130" s="15"/>
      <c r="F130" s="15"/>
      <c r="G130" s="15"/>
      <c r="H130" s="15"/>
      <c r="I130" s="15"/>
      <c r="J130" s="15"/>
      <c r="K130" s="15"/>
      <c r="L130" s="15"/>
      <c r="M130" s="15"/>
      <c r="N130" s="15"/>
      <c r="O130" s="15"/>
    </row>
    <row r="131" spans="1:15" ht="19.8" x14ac:dyDescent="0.5">
      <c r="A131" s="58"/>
      <c r="B131" s="15"/>
      <c r="C131" s="15"/>
      <c r="D131" s="15"/>
      <c r="E131" s="15"/>
      <c r="F131" s="15"/>
      <c r="G131" s="15"/>
      <c r="H131" s="15"/>
      <c r="I131" s="15"/>
      <c r="J131" s="15"/>
      <c r="K131" s="15"/>
      <c r="L131" s="15"/>
      <c r="M131" s="15"/>
      <c r="N131" s="15"/>
      <c r="O131" s="15"/>
    </row>
    <row r="132" spans="1:15" ht="19.8" x14ac:dyDescent="0.5">
      <c r="A132" s="58"/>
      <c r="B132" s="15"/>
      <c r="C132" s="15"/>
      <c r="D132" s="15"/>
      <c r="E132" s="15"/>
      <c r="F132" s="15"/>
      <c r="G132" s="15"/>
      <c r="H132" s="15"/>
      <c r="I132" s="15"/>
      <c r="J132" s="15"/>
      <c r="K132" s="15"/>
      <c r="L132" s="15"/>
      <c r="M132" s="15"/>
      <c r="N132" s="15"/>
      <c r="O132" s="15"/>
    </row>
    <row r="133" spans="1:15" ht="19.8" x14ac:dyDescent="0.5">
      <c r="A133" s="58"/>
      <c r="B133" s="15"/>
      <c r="C133" s="15"/>
      <c r="D133" s="15"/>
      <c r="E133" s="15"/>
      <c r="F133" s="15"/>
      <c r="G133" s="15"/>
      <c r="H133" s="15"/>
      <c r="I133" s="15"/>
      <c r="J133" s="15"/>
      <c r="K133" s="15"/>
      <c r="L133" s="15"/>
      <c r="M133" s="15"/>
      <c r="N133" s="15"/>
      <c r="O133" s="15"/>
    </row>
    <row r="134" spans="1:15" ht="19.8" x14ac:dyDescent="0.5">
      <c r="A134" s="58"/>
      <c r="B134" s="15"/>
      <c r="C134" s="15"/>
      <c r="D134" s="15"/>
      <c r="E134" s="15"/>
      <c r="F134" s="15"/>
      <c r="G134" s="15"/>
      <c r="H134" s="15"/>
      <c r="I134" s="15"/>
      <c r="J134" s="15"/>
      <c r="K134" s="15"/>
      <c r="L134" s="15"/>
      <c r="M134" s="15"/>
      <c r="N134" s="15"/>
      <c r="O134" s="15"/>
    </row>
    <row r="135" spans="1:15" ht="19.8" x14ac:dyDescent="0.5">
      <c r="A135" s="58"/>
      <c r="B135" s="15"/>
      <c r="C135" s="15"/>
      <c r="D135" s="15"/>
      <c r="E135" s="15"/>
      <c r="F135" s="15"/>
      <c r="G135" s="15"/>
      <c r="H135" s="15"/>
      <c r="I135" s="15"/>
      <c r="J135" s="15"/>
      <c r="K135" s="15"/>
      <c r="L135" s="15"/>
      <c r="M135" s="15"/>
      <c r="N135" s="15"/>
      <c r="O135" s="15"/>
    </row>
    <row r="136" spans="1:15" ht="19.8" x14ac:dyDescent="0.5">
      <c r="A136" s="58"/>
      <c r="B136" s="15"/>
      <c r="C136" s="15"/>
      <c r="D136" s="15"/>
      <c r="E136" s="15"/>
      <c r="F136" s="15"/>
      <c r="G136" s="15"/>
      <c r="H136" s="15"/>
      <c r="I136" s="15"/>
      <c r="J136" s="15"/>
      <c r="K136" s="15"/>
      <c r="L136" s="15"/>
      <c r="M136" s="15"/>
      <c r="N136" s="15"/>
      <c r="O136" s="15"/>
    </row>
    <row r="137" spans="1:15" ht="19.8" x14ac:dyDescent="0.5">
      <c r="A137" s="58"/>
      <c r="B137" s="15"/>
      <c r="C137" s="15"/>
      <c r="D137" s="15"/>
      <c r="E137" s="15"/>
      <c r="F137" s="15"/>
      <c r="G137" s="15"/>
      <c r="H137" s="15"/>
      <c r="I137" s="15"/>
      <c r="J137" s="15"/>
      <c r="K137" s="15"/>
      <c r="L137" s="15"/>
      <c r="M137" s="15"/>
      <c r="N137" s="15"/>
      <c r="O137" s="15"/>
    </row>
    <row r="138" spans="1:15" ht="19.8" x14ac:dyDescent="0.5">
      <c r="A138" s="58"/>
      <c r="B138" s="15"/>
      <c r="C138" s="15"/>
      <c r="D138" s="15"/>
      <c r="E138" s="15"/>
      <c r="F138" s="15"/>
      <c r="G138" s="15"/>
      <c r="H138" s="15"/>
      <c r="I138" s="15"/>
      <c r="J138" s="15"/>
      <c r="K138" s="15"/>
      <c r="L138" s="15"/>
      <c r="M138" s="15"/>
      <c r="N138" s="15"/>
      <c r="O138" s="15"/>
    </row>
    <row r="139" spans="1:15" ht="19.8" x14ac:dyDescent="0.5">
      <c r="A139" s="58"/>
      <c r="B139" s="15"/>
      <c r="C139" s="15"/>
      <c r="D139" s="15"/>
      <c r="E139" s="15"/>
      <c r="F139" s="15"/>
      <c r="G139" s="15"/>
      <c r="H139" s="15"/>
      <c r="I139" s="15"/>
      <c r="J139" s="15"/>
      <c r="K139" s="15"/>
      <c r="L139" s="15"/>
      <c r="M139" s="15"/>
      <c r="N139" s="15"/>
      <c r="O139" s="15"/>
    </row>
    <row r="140" spans="1:15" ht="19.8" x14ac:dyDescent="0.5">
      <c r="A140" s="58"/>
      <c r="B140" s="15"/>
      <c r="C140" s="15"/>
      <c r="D140" s="15"/>
      <c r="E140" s="15"/>
      <c r="F140" s="15"/>
      <c r="G140" s="15"/>
      <c r="H140" s="15"/>
      <c r="I140" s="15"/>
      <c r="J140" s="15"/>
      <c r="K140" s="15"/>
      <c r="L140" s="15"/>
      <c r="M140" s="15"/>
      <c r="N140" s="15"/>
      <c r="O140" s="15"/>
    </row>
    <row r="141" spans="1:15" ht="19.8" x14ac:dyDescent="0.5">
      <c r="A141" s="58"/>
      <c r="B141" s="15"/>
      <c r="C141" s="15"/>
      <c r="D141" s="15"/>
      <c r="E141" s="15"/>
      <c r="F141" s="15"/>
      <c r="G141" s="15"/>
      <c r="H141" s="15"/>
      <c r="I141" s="15"/>
      <c r="J141" s="15"/>
      <c r="K141" s="15"/>
      <c r="L141" s="15"/>
      <c r="M141" s="15"/>
      <c r="N141" s="15"/>
      <c r="O141" s="15"/>
    </row>
    <row r="142" spans="1:15" ht="19.8" x14ac:dyDescent="0.5">
      <c r="A142" s="58"/>
      <c r="B142" s="15"/>
      <c r="C142" s="15"/>
      <c r="D142" s="15"/>
      <c r="E142" s="15"/>
      <c r="F142" s="15"/>
      <c r="G142" s="15"/>
      <c r="H142" s="15"/>
      <c r="I142" s="15"/>
      <c r="J142" s="15"/>
      <c r="K142" s="15"/>
      <c r="L142" s="15"/>
      <c r="M142" s="15"/>
      <c r="N142" s="15"/>
      <c r="O142" s="15"/>
    </row>
    <row r="143" spans="1:15" ht="19.8" x14ac:dyDescent="0.5">
      <c r="A143" s="58"/>
      <c r="B143" s="15"/>
      <c r="C143" s="15"/>
      <c r="D143" s="15"/>
      <c r="E143" s="15"/>
      <c r="F143" s="15"/>
      <c r="G143" s="15"/>
      <c r="H143" s="15"/>
      <c r="I143" s="15"/>
      <c r="J143" s="15"/>
      <c r="K143" s="15"/>
      <c r="L143" s="15"/>
      <c r="M143" s="15"/>
      <c r="N143" s="15"/>
      <c r="O143" s="15"/>
    </row>
    <row r="144" spans="1:15" ht="19.8" x14ac:dyDescent="0.5">
      <c r="A144" s="58"/>
      <c r="B144" s="15"/>
      <c r="C144" s="15"/>
      <c r="D144" s="15"/>
      <c r="E144" s="15"/>
      <c r="F144" s="15"/>
      <c r="G144" s="15"/>
      <c r="H144" s="15"/>
      <c r="I144" s="15"/>
      <c r="J144" s="15"/>
      <c r="K144" s="15"/>
      <c r="L144" s="15"/>
      <c r="M144" s="15"/>
      <c r="N144" s="15"/>
      <c r="O144" s="15"/>
    </row>
    <row r="145" spans="1:15" ht="19.8" x14ac:dyDescent="0.5">
      <c r="A145" s="58"/>
      <c r="B145" s="15"/>
      <c r="C145" s="15"/>
      <c r="D145" s="15"/>
      <c r="E145" s="15"/>
      <c r="F145" s="15"/>
      <c r="G145" s="15"/>
      <c r="H145" s="15"/>
      <c r="I145" s="15"/>
      <c r="J145" s="15"/>
      <c r="K145" s="15"/>
      <c r="L145" s="15"/>
      <c r="M145" s="15"/>
      <c r="N145" s="15"/>
      <c r="O145" s="15"/>
    </row>
    <row r="146" spans="1:15" ht="19.8" x14ac:dyDescent="0.5">
      <c r="A146" s="58"/>
      <c r="B146" s="15"/>
      <c r="C146" s="15"/>
      <c r="D146" s="15"/>
      <c r="E146" s="15"/>
      <c r="F146" s="15"/>
      <c r="G146" s="15"/>
      <c r="H146" s="15"/>
      <c r="I146" s="15"/>
      <c r="J146" s="15"/>
      <c r="K146" s="15"/>
      <c r="L146" s="15"/>
      <c r="M146" s="15"/>
      <c r="N146" s="15"/>
      <c r="O146" s="15"/>
    </row>
    <row r="147" spans="1:15" ht="19.8" x14ac:dyDescent="0.5">
      <c r="A147" s="58"/>
      <c r="B147" s="15"/>
      <c r="C147" s="15"/>
      <c r="D147" s="15"/>
      <c r="E147" s="15"/>
      <c r="F147" s="15"/>
      <c r="G147" s="15"/>
      <c r="H147" s="15"/>
      <c r="I147" s="15"/>
      <c r="J147" s="15"/>
      <c r="K147" s="15"/>
      <c r="L147" s="15"/>
      <c r="M147" s="15"/>
      <c r="N147" s="15"/>
      <c r="O147" s="15"/>
    </row>
    <row r="148" spans="1:15" ht="19.8" x14ac:dyDescent="0.5">
      <c r="A148" s="58"/>
      <c r="B148" s="15"/>
      <c r="C148" s="15"/>
      <c r="D148" s="15"/>
      <c r="E148" s="15"/>
      <c r="F148" s="15"/>
      <c r="G148" s="15"/>
      <c r="H148" s="15"/>
      <c r="I148" s="15"/>
      <c r="J148" s="15"/>
      <c r="K148" s="15"/>
      <c r="L148" s="15"/>
      <c r="M148" s="15"/>
      <c r="N148" s="15"/>
      <c r="O148" s="15"/>
    </row>
    <row r="149" spans="1:15" ht="19.8" x14ac:dyDescent="0.5">
      <c r="A149" s="58"/>
      <c r="B149" s="15"/>
      <c r="C149" s="15"/>
      <c r="D149" s="15"/>
      <c r="E149" s="15"/>
      <c r="F149" s="15"/>
      <c r="G149" s="15"/>
      <c r="H149" s="15"/>
      <c r="I149" s="15"/>
      <c r="J149" s="15"/>
      <c r="K149" s="15"/>
      <c r="L149" s="15"/>
      <c r="M149" s="15"/>
      <c r="N149" s="15"/>
      <c r="O149" s="15"/>
    </row>
    <row r="150" spans="1:15" ht="19.8" x14ac:dyDescent="0.5">
      <c r="A150" s="58"/>
      <c r="B150" s="15"/>
      <c r="C150" s="15"/>
      <c r="D150" s="15"/>
      <c r="E150" s="15"/>
      <c r="F150" s="15"/>
      <c r="G150" s="15"/>
      <c r="H150" s="15"/>
      <c r="I150" s="15"/>
      <c r="J150" s="15"/>
      <c r="K150" s="15"/>
      <c r="L150" s="15"/>
      <c r="M150" s="15"/>
      <c r="N150" s="15"/>
      <c r="O150" s="15"/>
    </row>
    <row r="151" spans="1:15" ht="19.8" x14ac:dyDescent="0.5">
      <c r="A151" s="58"/>
      <c r="B151" s="15"/>
      <c r="C151" s="15"/>
      <c r="D151" s="15"/>
      <c r="E151" s="15"/>
      <c r="F151" s="15"/>
      <c r="G151" s="15"/>
      <c r="H151" s="15"/>
      <c r="I151" s="15"/>
      <c r="J151" s="15"/>
      <c r="K151" s="15"/>
      <c r="L151" s="15"/>
      <c r="M151" s="15"/>
      <c r="N151" s="15"/>
      <c r="O151" s="15"/>
    </row>
    <row r="152" spans="1:15" ht="19.8" x14ac:dyDescent="0.5">
      <c r="A152" s="58"/>
      <c r="B152" s="15"/>
      <c r="C152" s="15"/>
      <c r="D152" s="15"/>
      <c r="E152" s="15"/>
      <c r="F152" s="15"/>
      <c r="G152" s="15"/>
      <c r="H152" s="15"/>
      <c r="I152" s="15"/>
      <c r="J152" s="15"/>
      <c r="K152" s="15"/>
      <c r="L152" s="15"/>
      <c r="M152" s="15"/>
      <c r="N152" s="15"/>
      <c r="O152" s="15"/>
    </row>
    <row r="153" spans="1:15" ht="19.8" x14ac:dyDescent="0.5">
      <c r="A153" s="58"/>
      <c r="B153" s="15"/>
      <c r="C153" s="15"/>
      <c r="D153" s="15"/>
      <c r="E153" s="15"/>
      <c r="F153" s="15"/>
      <c r="G153" s="15"/>
      <c r="H153" s="15"/>
      <c r="I153" s="15"/>
      <c r="J153" s="15"/>
      <c r="K153" s="15"/>
      <c r="L153" s="15"/>
      <c r="M153" s="15"/>
      <c r="N153" s="15"/>
      <c r="O153" s="15"/>
    </row>
    <row r="154" spans="1:15" ht="19.8" x14ac:dyDescent="0.5">
      <c r="A154" s="58"/>
      <c r="B154" s="15"/>
      <c r="C154" s="15"/>
      <c r="D154" s="15"/>
      <c r="E154" s="15"/>
      <c r="F154" s="15"/>
      <c r="G154" s="15"/>
      <c r="H154" s="15"/>
      <c r="I154" s="15"/>
      <c r="J154" s="15"/>
      <c r="K154" s="15"/>
      <c r="L154" s="15"/>
      <c r="M154" s="15"/>
      <c r="N154" s="15"/>
      <c r="O154" s="15"/>
    </row>
    <row r="155" spans="1:15" ht="19.8" x14ac:dyDescent="0.5">
      <c r="A155" s="58"/>
      <c r="B155" s="15"/>
      <c r="C155" s="15"/>
      <c r="D155" s="15"/>
      <c r="E155" s="15"/>
      <c r="F155" s="15"/>
      <c r="G155" s="15"/>
      <c r="H155" s="15"/>
      <c r="I155" s="15"/>
      <c r="J155" s="15"/>
      <c r="K155" s="15"/>
      <c r="L155" s="15"/>
      <c r="M155" s="15"/>
      <c r="N155" s="15"/>
      <c r="O155" s="15"/>
    </row>
    <row r="156" spans="1:15" ht="19.8" x14ac:dyDescent="0.5">
      <c r="A156" s="58"/>
      <c r="B156" s="15"/>
      <c r="C156" s="15"/>
      <c r="D156" s="15"/>
      <c r="E156" s="15"/>
      <c r="F156" s="15"/>
      <c r="G156" s="15"/>
      <c r="H156" s="15"/>
      <c r="I156" s="15"/>
      <c r="J156" s="15"/>
      <c r="K156" s="15"/>
      <c r="L156" s="15"/>
      <c r="M156" s="15"/>
      <c r="N156" s="15"/>
      <c r="O156" s="15"/>
    </row>
    <row r="157" spans="1:15" ht="19.8" x14ac:dyDescent="0.5">
      <c r="A157" s="58"/>
      <c r="B157" s="15"/>
      <c r="C157" s="15"/>
      <c r="D157" s="15"/>
      <c r="E157" s="15"/>
      <c r="F157" s="15"/>
      <c r="G157" s="15"/>
      <c r="H157" s="15"/>
      <c r="I157" s="15"/>
      <c r="J157" s="15"/>
      <c r="K157" s="15"/>
      <c r="L157" s="15"/>
      <c r="M157" s="15"/>
      <c r="N157" s="15"/>
      <c r="O157" s="15"/>
    </row>
    <row r="158" spans="1:15" ht="19.8" x14ac:dyDescent="0.5">
      <c r="A158" s="58"/>
      <c r="B158" s="15"/>
      <c r="C158" s="15"/>
      <c r="D158" s="15"/>
      <c r="E158" s="15"/>
      <c r="F158" s="15"/>
      <c r="G158" s="15"/>
      <c r="H158" s="15"/>
      <c r="I158" s="15"/>
      <c r="J158" s="15"/>
      <c r="K158" s="15"/>
      <c r="L158" s="15"/>
      <c r="M158" s="15"/>
      <c r="N158" s="15"/>
      <c r="O158" s="15"/>
    </row>
    <row r="159" spans="1:15" ht="19.8" x14ac:dyDescent="0.5">
      <c r="A159" s="58"/>
      <c r="B159" s="15"/>
      <c r="C159" s="15"/>
      <c r="D159" s="15"/>
      <c r="E159" s="15"/>
      <c r="F159" s="15"/>
      <c r="G159" s="15"/>
      <c r="H159" s="15"/>
      <c r="I159" s="15"/>
      <c r="J159" s="15"/>
      <c r="K159" s="15"/>
      <c r="L159" s="15"/>
      <c r="M159" s="15"/>
      <c r="N159" s="15"/>
      <c r="O159" s="15"/>
    </row>
    <row r="160" spans="1:15" ht="19.8" x14ac:dyDescent="0.5">
      <c r="A160" s="58"/>
      <c r="B160" s="15"/>
      <c r="C160" s="15"/>
      <c r="D160" s="15"/>
      <c r="E160" s="15"/>
      <c r="F160" s="15"/>
      <c r="G160" s="15"/>
      <c r="H160" s="15"/>
      <c r="I160" s="15"/>
      <c r="J160" s="15"/>
      <c r="K160" s="15"/>
      <c r="L160" s="15"/>
      <c r="M160" s="15"/>
      <c r="N160" s="15"/>
      <c r="O160" s="15"/>
    </row>
    <row r="161" spans="1:15" ht="19.8" x14ac:dyDescent="0.5">
      <c r="A161" s="58"/>
      <c r="B161" s="15"/>
      <c r="C161" s="15"/>
      <c r="D161" s="15"/>
      <c r="E161" s="15"/>
      <c r="F161" s="15"/>
      <c r="G161" s="15"/>
      <c r="H161" s="15"/>
      <c r="I161" s="15"/>
      <c r="J161" s="15"/>
      <c r="K161" s="15"/>
      <c r="L161" s="15"/>
      <c r="M161" s="15"/>
      <c r="N161" s="15"/>
      <c r="O161" s="15"/>
    </row>
    <row r="162" spans="1:15" ht="19.8" x14ac:dyDescent="0.5">
      <c r="A162" s="58"/>
      <c r="B162" s="15"/>
      <c r="C162" s="15"/>
      <c r="D162" s="15"/>
      <c r="E162" s="15"/>
      <c r="F162" s="15"/>
      <c r="G162" s="15"/>
      <c r="H162" s="15"/>
      <c r="I162" s="15"/>
      <c r="J162" s="15"/>
      <c r="K162" s="15"/>
      <c r="L162" s="15"/>
      <c r="M162" s="15"/>
      <c r="N162" s="15"/>
      <c r="O162" s="15"/>
    </row>
    <row r="163" spans="1:15" ht="19.8" x14ac:dyDescent="0.5">
      <c r="A163" s="58"/>
      <c r="B163" s="15"/>
      <c r="C163" s="15"/>
      <c r="D163" s="15"/>
      <c r="E163" s="15"/>
      <c r="F163" s="15"/>
      <c r="G163" s="15"/>
      <c r="H163" s="15"/>
      <c r="I163" s="15"/>
      <c r="J163" s="15"/>
      <c r="K163" s="15"/>
      <c r="L163" s="15"/>
      <c r="M163" s="15"/>
      <c r="N163" s="15"/>
      <c r="O163" s="15"/>
    </row>
    <row r="164" spans="1:15" ht="19.8" x14ac:dyDescent="0.5">
      <c r="A164" s="58"/>
      <c r="B164" s="15"/>
      <c r="C164" s="15"/>
      <c r="D164" s="15"/>
      <c r="E164" s="15"/>
      <c r="F164" s="15"/>
      <c r="G164" s="15"/>
      <c r="H164" s="15"/>
      <c r="I164" s="15"/>
      <c r="J164" s="15"/>
      <c r="K164" s="15"/>
      <c r="L164" s="15"/>
      <c r="M164" s="15"/>
      <c r="N164" s="15"/>
      <c r="O164" s="15"/>
    </row>
    <row r="165" spans="1:15" ht="19.8" x14ac:dyDescent="0.5">
      <c r="A165" s="58"/>
      <c r="B165" s="15"/>
      <c r="C165" s="15"/>
      <c r="D165" s="15"/>
      <c r="E165" s="15"/>
      <c r="F165" s="15"/>
      <c r="G165" s="15"/>
      <c r="H165" s="15"/>
      <c r="I165" s="15"/>
      <c r="J165" s="15"/>
      <c r="K165" s="15"/>
      <c r="L165" s="15"/>
      <c r="M165" s="15"/>
      <c r="N165" s="15"/>
      <c r="O165" s="15"/>
    </row>
    <row r="166" spans="1:15" ht="19.8" x14ac:dyDescent="0.5">
      <c r="A166" s="58"/>
      <c r="B166" s="15"/>
      <c r="C166" s="15"/>
      <c r="D166" s="15"/>
      <c r="E166" s="15"/>
      <c r="F166" s="15"/>
      <c r="G166" s="15"/>
      <c r="H166" s="15"/>
      <c r="I166" s="15"/>
      <c r="J166" s="15"/>
      <c r="K166" s="15"/>
      <c r="L166" s="15"/>
      <c r="M166" s="15"/>
      <c r="N166" s="15"/>
      <c r="O166" s="15"/>
    </row>
    <row r="167" spans="1:15" ht="19.8" x14ac:dyDescent="0.5">
      <c r="A167" s="58"/>
      <c r="B167" s="15"/>
      <c r="C167" s="15"/>
      <c r="D167" s="15"/>
      <c r="E167" s="15"/>
      <c r="F167" s="15"/>
      <c r="G167" s="15"/>
      <c r="H167" s="15"/>
      <c r="I167" s="15"/>
      <c r="J167" s="15"/>
      <c r="K167" s="15"/>
      <c r="L167" s="15"/>
      <c r="M167" s="15"/>
      <c r="N167" s="15"/>
      <c r="O167" s="15"/>
    </row>
    <row r="168" spans="1:15" ht="19.8" x14ac:dyDescent="0.5">
      <c r="A168" s="58"/>
      <c r="B168" s="15"/>
      <c r="C168" s="15"/>
      <c r="D168" s="15"/>
      <c r="E168" s="15"/>
      <c r="F168" s="15"/>
      <c r="G168" s="15"/>
      <c r="H168" s="15"/>
      <c r="I168" s="15"/>
      <c r="J168" s="15"/>
      <c r="K168" s="15"/>
      <c r="L168" s="15"/>
      <c r="M168" s="15"/>
      <c r="N168" s="15"/>
      <c r="O168" s="15"/>
    </row>
    <row r="169" spans="1:15" ht="19.8" x14ac:dyDescent="0.5">
      <c r="A169" s="58"/>
      <c r="B169" s="15"/>
      <c r="C169" s="15"/>
      <c r="D169" s="15"/>
      <c r="E169" s="15"/>
      <c r="F169" s="15"/>
      <c r="G169" s="15"/>
      <c r="H169" s="15"/>
      <c r="I169" s="15"/>
      <c r="J169" s="15"/>
      <c r="K169" s="15"/>
      <c r="L169" s="15"/>
      <c r="M169" s="15"/>
      <c r="N169" s="15"/>
      <c r="O169" s="15"/>
    </row>
    <row r="170" spans="1:15" ht="19.8" x14ac:dyDescent="0.5">
      <c r="A170" s="58"/>
      <c r="B170" s="15"/>
      <c r="C170" s="15"/>
      <c r="D170" s="15"/>
      <c r="E170" s="15"/>
      <c r="F170" s="15"/>
      <c r="G170" s="15"/>
      <c r="H170" s="15"/>
      <c r="I170" s="15"/>
      <c r="J170" s="15"/>
      <c r="K170" s="15"/>
      <c r="L170" s="15"/>
      <c r="M170" s="15"/>
      <c r="N170" s="15"/>
      <c r="O170" s="15"/>
    </row>
    <row r="171" spans="1:15" ht="19.8" x14ac:dyDescent="0.5">
      <c r="A171" s="58"/>
      <c r="B171" s="15"/>
      <c r="C171" s="15"/>
      <c r="D171" s="15"/>
      <c r="E171" s="15"/>
      <c r="F171" s="15"/>
      <c r="G171" s="15"/>
      <c r="H171" s="15"/>
      <c r="I171" s="15"/>
      <c r="J171" s="15"/>
      <c r="K171" s="15"/>
      <c r="L171" s="15"/>
      <c r="M171" s="15"/>
      <c r="N171" s="15"/>
      <c r="O171" s="15"/>
    </row>
    <row r="172" spans="1:15" ht="19.8" x14ac:dyDescent="0.5">
      <c r="A172" s="58"/>
      <c r="B172" s="15"/>
      <c r="C172" s="15"/>
      <c r="D172" s="15"/>
      <c r="E172" s="15"/>
      <c r="F172" s="15"/>
      <c r="G172" s="15"/>
      <c r="H172" s="15"/>
      <c r="I172" s="15"/>
      <c r="J172" s="15"/>
      <c r="K172" s="15"/>
      <c r="L172" s="15"/>
      <c r="M172" s="15"/>
      <c r="N172" s="15"/>
      <c r="O172" s="15"/>
    </row>
    <row r="173" spans="1:15" ht="19.8" x14ac:dyDescent="0.5">
      <c r="A173" s="58"/>
      <c r="B173" s="15"/>
      <c r="C173" s="15"/>
      <c r="D173" s="15"/>
      <c r="E173" s="15"/>
      <c r="F173" s="15"/>
      <c r="G173" s="15"/>
      <c r="H173" s="15"/>
      <c r="I173" s="15"/>
      <c r="J173" s="15"/>
      <c r="K173" s="15"/>
      <c r="L173" s="15"/>
      <c r="M173" s="15"/>
      <c r="N173" s="15"/>
      <c r="O173" s="15"/>
    </row>
    <row r="174" spans="1:15" ht="19.8" x14ac:dyDescent="0.5">
      <c r="A174" s="58"/>
      <c r="B174" s="15"/>
      <c r="C174" s="15"/>
      <c r="D174" s="15"/>
      <c r="E174" s="15"/>
      <c r="F174" s="15"/>
      <c r="G174" s="15"/>
      <c r="H174" s="15"/>
      <c r="I174" s="15"/>
      <c r="J174" s="15"/>
      <c r="K174" s="15"/>
      <c r="L174" s="15"/>
      <c r="M174" s="15"/>
      <c r="N174" s="15"/>
      <c r="O174" s="15"/>
    </row>
    <row r="175" spans="1:15" ht="19.8" x14ac:dyDescent="0.5">
      <c r="A175" s="58"/>
      <c r="B175" s="15"/>
      <c r="C175" s="15"/>
      <c r="D175" s="15"/>
      <c r="E175" s="15"/>
      <c r="F175" s="15"/>
      <c r="G175" s="15"/>
      <c r="H175" s="15"/>
      <c r="I175" s="15"/>
      <c r="J175" s="15"/>
      <c r="K175" s="15"/>
      <c r="L175" s="15"/>
      <c r="M175" s="15"/>
      <c r="N175" s="15"/>
      <c r="O175" s="15"/>
    </row>
    <row r="176" spans="1:15" ht="19.8" x14ac:dyDescent="0.5">
      <c r="A176" s="58"/>
      <c r="B176" s="15"/>
      <c r="C176" s="15"/>
      <c r="D176" s="15"/>
      <c r="E176" s="15"/>
      <c r="F176" s="15"/>
      <c r="G176" s="15"/>
      <c r="H176" s="15"/>
      <c r="I176" s="15"/>
      <c r="J176" s="15"/>
      <c r="K176" s="15"/>
      <c r="L176" s="15"/>
      <c r="M176" s="15"/>
      <c r="N176" s="15"/>
      <c r="O176" s="15"/>
    </row>
    <row r="177" spans="1:15" ht="19.8" x14ac:dyDescent="0.5">
      <c r="A177" s="58"/>
      <c r="B177" s="15"/>
      <c r="C177" s="15"/>
      <c r="D177" s="15"/>
      <c r="E177" s="15"/>
      <c r="F177" s="15"/>
      <c r="G177" s="15"/>
      <c r="H177" s="15"/>
      <c r="I177" s="15"/>
      <c r="J177" s="15"/>
      <c r="K177" s="15"/>
      <c r="L177" s="15"/>
      <c r="M177" s="15"/>
      <c r="N177" s="15"/>
      <c r="O177" s="15"/>
    </row>
    <row r="178" spans="1:15" ht="19.8" x14ac:dyDescent="0.5">
      <c r="A178" s="58"/>
      <c r="B178" s="15"/>
      <c r="C178" s="15"/>
      <c r="D178" s="15"/>
      <c r="E178" s="15"/>
      <c r="F178" s="15"/>
      <c r="G178" s="15"/>
      <c r="H178" s="15"/>
      <c r="I178" s="15"/>
      <c r="J178" s="15"/>
      <c r="K178" s="15"/>
      <c r="L178" s="15"/>
      <c r="M178" s="15"/>
      <c r="N178" s="15"/>
      <c r="O178" s="15"/>
    </row>
    <row r="179" spans="1:15" ht="19.8" x14ac:dyDescent="0.5">
      <c r="A179" s="58"/>
      <c r="B179" s="15"/>
      <c r="C179" s="15"/>
      <c r="D179" s="15"/>
      <c r="E179" s="15"/>
      <c r="F179" s="15"/>
      <c r="G179" s="15"/>
      <c r="H179" s="15"/>
      <c r="I179" s="15"/>
      <c r="J179" s="15"/>
      <c r="K179" s="15"/>
      <c r="L179" s="15"/>
      <c r="M179" s="15"/>
      <c r="N179" s="15"/>
      <c r="O179" s="15"/>
    </row>
    <row r="180" spans="1:15" ht="19.8" x14ac:dyDescent="0.5">
      <c r="A180" s="58"/>
      <c r="B180" s="15"/>
      <c r="C180" s="15"/>
      <c r="D180" s="15"/>
      <c r="E180" s="15"/>
      <c r="F180" s="15"/>
      <c r="G180" s="15"/>
      <c r="H180" s="15"/>
      <c r="I180" s="15"/>
      <c r="J180" s="15"/>
      <c r="K180" s="15"/>
      <c r="L180" s="15"/>
      <c r="M180" s="15"/>
      <c r="N180" s="15"/>
      <c r="O180" s="15"/>
    </row>
    <row r="181" spans="1:15" ht="19.8" x14ac:dyDescent="0.5">
      <c r="A181" s="58"/>
      <c r="B181" s="15"/>
      <c r="C181" s="15"/>
      <c r="D181" s="15"/>
      <c r="E181" s="15"/>
      <c r="F181" s="15"/>
      <c r="G181" s="15"/>
      <c r="H181" s="15"/>
      <c r="I181" s="15"/>
      <c r="J181" s="15"/>
      <c r="K181" s="15"/>
      <c r="L181" s="15"/>
      <c r="M181" s="15"/>
      <c r="N181" s="15"/>
      <c r="O181" s="15"/>
    </row>
    <row r="182" spans="1:15" ht="19.8" x14ac:dyDescent="0.5">
      <c r="A182" s="58"/>
      <c r="B182" s="15"/>
      <c r="C182" s="15"/>
      <c r="D182" s="15"/>
      <c r="E182" s="15"/>
      <c r="F182" s="15"/>
      <c r="G182" s="15"/>
      <c r="H182" s="15"/>
      <c r="I182" s="15"/>
      <c r="J182" s="15"/>
      <c r="K182" s="15"/>
      <c r="L182" s="15"/>
      <c r="M182" s="15"/>
      <c r="N182" s="15"/>
      <c r="O182" s="15"/>
    </row>
    <row r="183" spans="1:15" ht="19.8" x14ac:dyDescent="0.5">
      <c r="A183" s="58"/>
      <c r="B183" s="15"/>
      <c r="C183" s="15"/>
      <c r="D183" s="15"/>
      <c r="E183" s="15"/>
      <c r="F183" s="15"/>
      <c r="G183" s="15"/>
      <c r="H183" s="15"/>
      <c r="I183" s="15"/>
      <c r="J183" s="15"/>
      <c r="K183" s="15"/>
      <c r="L183" s="15"/>
      <c r="M183" s="15"/>
      <c r="N183" s="15"/>
      <c r="O183" s="15"/>
    </row>
    <row r="184" spans="1:15" ht="19.8" x14ac:dyDescent="0.5">
      <c r="A184" s="58"/>
      <c r="B184" s="15"/>
      <c r="C184" s="15"/>
      <c r="D184" s="15"/>
      <c r="E184" s="15"/>
      <c r="F184" s="15"/>
      <c r="G184" s="15"/>
      <c r="H184" s="15"/>
      <c r="I184" s="15"/>
      <c r="J184" s="15"/>
      <c r="K184" s="15"/>
      <c r="L184" s="15"/>
      <c r="M184" s="15"/>
      <c r="N184" s="15"/>
      <c r="O184" s="15"/>
    </row>
    <row r="185" spans="1:15" ht="19.8" x14ac:dyDescent="0.5">
      <c r="A185" s="58"/>
      <c r="B185" s="15"/>
      <c r="C185" s="15"/>
      <c r="D185" s="15"/>
      <c r="E185" s="15"/>
      <c r="F185" s="15"/>
      <c r="G185" s="15"/>
      <c r="H185" s="15"/>
      <c r="I185" s="15"/>
      <c r="J185" s="15"/>
      <c r="K185" s="15"/>
      <c r="L185" s="15"/>
      <c r="M185" s="15"/>
      <c r="N185" s="15"/>
      <c r="O185" s="15"/>
    </row>
    <row r="186" spans="1:15" ht="19.8" x14ac:dyDescent="0.5">
      <c r="A186" s="58"/>
      <c r="B186" s="15"/>
      <c r="C186" s="15"/>
      <c r="D186" s="15"/>
      <c r="E186" s="15"/>
      <c r="F186" s="15"/>
      <c r="G186" s="15"/>
      <c r="H186" s="15"/>
      <c r="I186" s="15"/>
      <c r="J186" s="15"/>
      <c r="K186" s="15"/>
      <c r="L186" s="15"/>
      <c r="M186" s="15"/>
      <c r="N186" s="15"/>
      <c r="O186" s="15"/>
    </row>
    <row r="187" spans="1:15" ht="19.8" x14ac:dyDescent="0.5">
      <c r="A187" s="58"/>
      <c r="B187" s="15"/>
      <c r="C187" s="15"/>
      <c r="D187" s="15"/>
      <c r="E187" s="15"/>
      <c r="F187" s="15"/>
      <c r="G187" s="15"/>
      <c r="H187" s="15"/>
      <c r="I187" s="15"/>
      <c r="J187" s="15"/>
      <c r="K187" s="15"/>
      <c r="L187" s="15"/>
      <c r="M187" s="15"/>
      <c r="N187" s="15"/>
      <c r="O187" s="15"/>
    </row>
    <row r="188" spans="1:15" ht="19.8" x14ac:dyDescent="0.5">
      <c r="A188" s="58"/>
      <c r="B188" s="15"/>
      <c r="C188" s="15"/>
      <c r="D188" s="15"/>
      <c r="E188" s="15"/>
      <c r="F188" s="15"/>
      <c r="G188" s="15"/>
      <c r="H188" s="15"/>
      <c r="I188" s="15"/>
      <c r="J188" s="15"/>
      <c r="K188" s="15"/>
      <c r="L188" s="15"/>
      <c r="M188" s="15"/>
      <c r="N188" s="15"/>
      <c r="O188" s="15"/>
    </row>
    <row r="189" spans="1:15" ht="19.8" x14ac:dyDescent="0.5">
      <c r="A189" s="58"/>
      <c r="B189" s="15"/>
      <c r="C189" s="15"/>
      <c r="D189" s="15"/>
      <c r="E189" s="15"/>
      <c r="F189" s="15"/>
      <c r="G189" s="15"/>
      <c r="H189" s="15"/>
      <c r="I189" s="15"/>
      <c r="J189" s="15"/>
      <c r="K189" s="15"/>
      <c r="L189" s="15"/>
      <c r="M189" s="15"/>
      <c r="N189" s="15"/>
      <c r="O189" s="15"/>
    </row>
    <row r="190" spans="1:15" ht="19.8" x14ac:dyDescent="0.5">
      <c r="A190" s="58"/>
      <c r="B190" s="15"/>
      <c r="C190" s="15"/>
      <c r="D190" s="15"/>
      <c r="E190" s="15"/>
      <c r="F190" s="15"/>
      <c r="G190" s="15"/>
      <c r="H190" s="15"/>
      <c r="I190" s="15"/>
      <c r="J190" s="15"/>
      <c r="K190" s="15"/>
      <c r="L190" s="15"/>
      <c r="M190" s="15"/>
      <c r="N190" s="15"/>
      <c r="O190" s="15"/>
    </row>
    <row r="191" spans="1:15" ht="19.8" x14ac:dyDescent="0.5">
      <c r="A191" s="58"/>
      <c r="B191" s="15"/>
      <c r="C191" s="15"/>
      <c r="D191" s="15"/>
      <c r="E191" s="15"/>
      <c r="F191" s="15"/>
      <c r="G191" s="15"/>
      <c r="H191" s="15"/>
      <c r="I191" s="15"/>
      <c r="J191" s="15"/>
      <c r="K191" s="15"/>
      <c r="L191" s="15"/>
      <c r="M191" s="15"/>
      <c r="N191" s="15"/>
      <c r="O191" s="15"/>
    </row>
    <row r="192" spans="1:15" ht="19.8" x14ac:dyDescent="0.5">
      <c r="A192" s="58"/>
      <c r="B192" s="15"/>
      <c r="C192" s="15"/>
      <c r="D192" s="15"/>
      <c r="E192" s="15"/>
      <c r="F192" s="15"/>
      <c r="G192" s="15"/>
      <c r="H192" s="15"/>
      <c r="I192" s="15"/>
      <c r="J192" s="15"/>
      <c r="K192" s="15"/>
      <c r="L192" s="15"/>
      <c r="M192" s="15"/>
      <c r="N192" s="15"/>
      <c r="O192" s="15"/>
    </row>
    <row r="193" spans="1:15" ht="19.8" x14ac:dyDescent="0.5">
      <c r="A193" s="58"/>
      <c r="B193" s="15"/>
      <c r="C193" s="15"/>
      <c r="D193" s="15"/>
      <c r="E193" s="15"/>
      <c r="F193" s="15"/>
      <c r="G193" s="15"/>
      <c r="H193" s="15"/>
      <c r="I193" s="15"/>
      <c r="J193" s="15"/>
      <c r="K193" s="15"/>
      <c r="L193" s="15"/>
      <c r="M193" s="15"/>
      <c r="N193" s="15"/>
      <c r="O193" s="15"/>
    </row>
    <row r="194" spans="1:15" ht="19.8" x14ac:dyDescent="0.5">
      <c r="A194" s="58"/>
      <c r="B194" s="15"/>
      <c r="C194" s="15"/>
      <c r="D194" s="15"/>
      <c r="E194" s="15"/>
      <c r="F194" s="15"/>
      <c r="G194" s="15"/>
      <c r="H194" s="15"/>
      <c r="I194" s="15"/>
      <c r="J194" s="15"/>
      <c r="K194" s="15"/>
      <c r="L194" s="15"/>
      <c r="M194" s="15"/>
      <c r="N194" s="15"/>
      <c r="O194" s="15"/>
    </row>
    <row r="195" spans="1:15" ht="19.8" x14ac:dyDescent="0.5">
      <c r="A195" s="58"/>
      <c r="B195" s="15"/>
      <c r="C195" s="15"/>
      <c r="D195" s="15"/>
      <c r="E195" s="15"/>
      <c r="F195" s="15"/>
      <c r="G195" s="15"/>
      <c r="H195" s="15"/>
      <c r="I195" s="15"/>
      <c r="J195" s="15"/>
      <c r="K195" s="15"/>
      <c r="L195" s="15"/>
      <c r="M195" s="15"/>
      <c r="N195" s="15"/>
      <c r="O195" s="15"/>
    </row>
    <row r="196" spans="1:15" ht="19.8" x14ac:dyDescent="0.5">
      <c r="A196" s="58"/>
      <c r="B196" s="15"/>
      <c r="C196" s="15"/>
      <c r="D196" s="15"/>
      <c r="E196" s="15"/>
      <c r="F196" s="15"/>
      <c r="G196" s="15"/>
      <c r="H196" s="15"/>
      <c r="I196" s="15"/>
      <c r="J196" s="15"/>
      <c r="K196" s="15"/>
      <c r="L196" s="15"/>
      <c r="M196" s="15"/>
      <c r="N196" s="15"/>
      <c r="O196" s="15"/>
    </row>
    <row r="197" spans="1:15" ht="19.8" x14ac:dyDescent="0.5">
      <c r="A197" s="58"/>
      <c r="B197" s="15"/>
      <c r="C197" s="15"/>
      <c r="D197" s="15"/>
      <c r="E197" s="15"/>
      <c r="F197" s="15"/>
      <c r="G197" s="15"/>
      <c r="H197" s="15"/>
      <c r="I197" s="15"/>
      <c r="J197" s="15"/>
      <c r="K197" s="15"/>
      <c r="L197" s="15"/>
      <c r="M197" s="15"/>
      <c r="N197" s="15"/>
      <c r="O197" s="15"/>
    </row>
    <row r="198" spans="1:15" ht="19.8" x14ac:dyDescent="0.5">
      <c r="A198" s="58"/>
      <c r="B198" s="15"/>
      <c r="C198" s="15"/>
      <c r="D198" s="15"/>
      <c r="E198" s="15"/>
      <c r="F198" s="15"/>
      <c r="G198" s="15"/>
      <c r="H198" s="15"/>
      <c r="I198" s="15"/>
      <c r="J198" s="15"/>
      <c r="K198" s="15"/>
      <c r="L198" s="15"/>
      <c r="M198" s="15"/>
      <c r="N198" s="15"/>
      <c r="O198" s="15"/>
    </row>
    <row r="199" spans="1:15" ht="19.8" x14ac:dyDescent="0.5">
      <c r="A199" s="58"/>
      <c r="B199" s="15"/>
      <c r="C199" s="15"/>
      <c r="D199" s="15"/>
      <c r="E199" s="15"/>
      <c r="F199" s="15"/>
      <c r="G199" s="15"/>
      <c r="H199" s="15"/>
      <c r="I199" s="15"/>
      <c r="J199" s="15"/>
      <c r="K199" s="15"/>
      <c r="L199" s="15"/>
      <c r="M199" s="15"/>
      <c r="N199" s="15"/>
      <c r="O199" s="15"/>
    </row>
    <row r="200" spans="1:15" ht="19.8" x14ac:dyDescent="0.5">
      <c r="A200" s="58"/>
      <c r="B200" s="15"/>
      <c r="C200" s="15"/>
      <c r="D200" s="15"/>
      <c r="E200" s="15"/>
      <c r="F200" s="15"/>
      <c r="G200" s="15"/>
      <c r="H200" s="15"/>
      <c r="I200" s="15"/>
      <c r="J200" s="15"/>
      <c r="K200" s="15"/>
      <c r="L200" s="15"/>
      <c r="M200" s="15"/>
      <c r="N200" s="15"/>
      <c r="O200" s="15"/>
    </row>
    <row r="201" spans="1:15" ht="19.8" x14ac:dyDescent="0.5">
      <c r="A201" s="58"/>
      <c r="B201" s="15"/>
      <c r="C201" s="15"/>
      <c r="D201" s="15"/>
      <c r="E201" s="15"/>
      <c r="F201" s="15"/>
      <c r="G201" s="15"/>
      <c r="H201" s="15"/>
      <c r="I201" s="15"/>
      <c r="J201" s="15"/>
      <c r="K201" s="15"/>
      <c r="L201" s="15"/>
      <c r="M201" s="15"/>
      <c r="N201" s="15"/>
      <c r="O201" s="15"/>
    </row>
    <row r="202" spans="1:15" ht="19.8" x14ac:dyDescent="0.5">
      <c r="A202" s="58"/>
      <c r="B202" s="15"/>
      <c r="C202" s="15"/>
      <c r="D202" s="15"/>
      <c r="E202" s="15"/>
      <c r="F202" s="15"/>
      <c r="G202" s="15"/>
      <c r="H202" s="15"/>
      <c r="I202" s="15"/>
      <c r="J202" s="15"/>
      <c r="K202" s="15"/>
      <c r="L202" s="15"/>
      <c r="M202" s="15"/>
      <c r="N202" s="15"/>
      <c r="O202" s="15"/>
    </row>
    <row r="203" spans="1:15" ht="19.8" x14ac:dyDescent="0.5">
      <c r="A203" s="58"/>
      <c r="B203" s="15"/>
      <c r="C203" s="15"/>
      <c r="D203" s="15"/>
      <c r="E203" s="15"/>
      <c r="F203" s="15"/>
      <c r="G203" s="15"/>
      <c r="H203" s="15"/>
      <c r="I203" s="15"/>
      <c r="J203" s="15"/>
      <c r="K203" s="15"/>
      <c r="L203" s="15"/>
      <c r="M203" s="15"/>
      <c r="N203" s="15"/>
      <c r="O203" s="15"/>
    </row>
    <row r="204" spans="1:15" ht="19.8" x14ac:dyDescent="0.5">
      <c r="A204" s="58"/>
      <c r="B204" s="15"/>
      <c r="C204" s="15"/>
      <c r="D204" s="15"/>
      <c r="E204" s="15"/>
      <c r="F204" s="15"/>
      <c r="G204" s="15"/>
      <c r="H204" s="15"/>
      <c r="I204" s="15"/>
      <c r="J204" s="15"/>
      <c r="K204" s="15"/>
      <c r="L204" s="15"/>
      <c r="M204" s="15"/>
      <c r="N204" s="15"/>
      <c r="O204" s="15"/>
    </row>
    <row r="205" spans="1:15" ht="19.8" x14ac:dyDescent="0.5">
      <c r="A205" s="58"/>
      <c r="B205" s="15"/>
      <c r="C205" s="15"/>
      <c r="D205" s="15"/>
      <c r="E205" s="15"/>
      <c r="F205" s="15"/>
      <c r="G205" s="15"/>
      <c r="H205" s="15"/>
      <c r="I205" s="15"/>
      <c r="J205" s="15"/>
      <c r="K205" s="15"/>
      <c r="L205" s="15"/>
      <c r="M205" s="15"/>
      <c r="N205" s="15"/>
      <c r="O205" s="15"/>
    </row>
    <row r="206" spans="1:15" ht="19.8" x14ac:dyDescent="0.5">
      <c r="A206" s="58"/>
      <c r="B206" s="15"/>
      <c r="C206" s="15"/>
      <c r="D206" s="15"/>
      <c r="E206" s="15"/>
      <c r="F206" s="15"/>
      <c r="G206" s="15"/>
      <c r="H206" s="15"/>
      <c r="I206" s="15"/>
      <c r="J206" s="15"/>
      <c r="K206" s="15"/>
      <c r="L206" s="15"/>
      <c r="M206" s="15"/>
      <c r="N206" s="15"/>
      <c r="O206" s="15"/>
    </row>
    <row r="207" spans="1:15" ht="19.8" x14ac:dyDescent="0.5">
      <c r="A207" s="58"/>
      <c r="B207" s="15"/>
      <c r="C207" s="15"/>
      <c r="D207" s="15"/>
      <c r="E207" s="15"/>
      <c r="F207" s="15"/>
      <c r="G207" s="15"/>
      <c r="H207" s="15"/>
      <c r="I207" s="15"/>
      <c r="J207" s="15"/>
      <c r="K207" s="15"/>
      <c r="L207" s="15"/>
      <c r="M207" s="15"/>
      <c r="N207" s="15"/>
      <c r="O207" s="15"/>
    </row>
    <row r="208" spans="1:15" ht="19.8" x14ac:dyDescent="0.5">
      <c r="A208" s="58"/>
      <c r="B208" s="15"/>
      <c r="C208" s="15"/>
      <c r="D208" s="15"/>
      <c r="E208" s="15"/>
      <c r="F208" s="15"/>
      <c r="G208" s="15"/>
      <c r="H208" s="15"/>
      <c r="I208" s="15"/>
      <c r="J208" s="15"/>
      <c r="K208" s="15"/>
      <c r="L208" s="15"/>
      <c r="M208" s="15"/>
      <c r="N208" s="15"/>
      <c r="O208" s="15"/>
    </row>
    <row r="209" spans="1:15" ht="19.8" x14ac:dyDescent="0.5">
      <c r="A209" s="58"/>
      <c r="B209" s="15"/>
      <c r="C209" s="15"/>
      <c r="D209" s="15"/>
      <c r="E209" s="15"/>
      <c r="F209" s="15"/>
      <c r="G209" s="15"/>
      <c r="H209" s="15"/>
      <c r="I209" s="15"/>
      <c r="J209" s="15"/>
      <c r="K209" s="15"/>
      <c r="L209" s="15"/>
      <c r="M209" s="15"/>
      <c r="N209" s="15"/>
      <c r="O209" s="15"/>
    </row>
    <row r="210" spans="1:15" ht="19.8" x14ac:dyDescent="0.5">
      <c r="A210" s="58"/>
      <c r="B210" s="15"/>
      <c r="C210" s="15"/>
      <c r="D210" s="15"/>
      <c r="E210" s="15"/>
      <c r="F210" s="15"/>
      <c r="G210" s="15"/>
      <c r="H210" s="15"/>
      <c r="I210" s="15"/>
      <c r="J210" s="15"/>
      <c r="K210" s="15"/>
      <c r="L210" s="15"/>
      <c r="M210" s="15"/>
      <c r="N210" s="15"/>
      <c r="O210" s="15"/>
    </row>
    <row r="211" spans="1:15" ht="19.8" x14ac:dyDescent="0.5">
      <c r="A211" s="58"/>
      <c r="B211" s="15"/>
      <c r="C211" s="15"/>
      <c r="D211" s="15"/>
      <c r="E211" s="15"/>
      <c r="F211" s="15"/>
      <c r="G211" s="15"/>
      <c r="H211" s="15"/>
      <c r="I211" s="15"/>
      <c r="J211" s="15"/>
      <c r="K211" s="15"/>
      <c r="L211" s="15"/>
      <c r="M211" s="15"/>
      <c r="N211" s="15"/>
      <c r="O211" s="15"/>
    </row>
    <row r="212" spans="1:15" ht="19.8" x14ac:dyDescent="0.5">
      <c r="A212" s="58"/>
      <c r="B212" s="15"/>
      <c r="C212" s="15"/>
      <c r="D212" s="15"/>
      <c r="E212" s="15"/>
      <c r="F212" s="15"/>
      <c r="G212" s="15"/>
      <c r="H212" s="15"/>
      <c r="I212" s="15"/>
      <c r="J212" s="15"/>
      <c r="K212" s="15"/>
      <c r="L212" s="15"/>
      <c r="M212" s="15"/>
      <c r="N212" s="15"/>
      <c r="O212" s="15"/>
    </row>
    <row r="213" spans="1:15" ht="19.8" x14ac:dyDescent="0.5">
      <c r="A213" s="58"/>
      <c r="B213" s="15"/>
      <c r="C213" s="15"/>
      <c r="D213" s="15"/>
      <c r="E213" s="15"/>
      <c r="F213" s="15"/>
      <c r="G213" s="15"/>
      <c r="H213" s="15"/>
      <c r="I213" s="15"/>
      <c r="J213" s="15"/>
      <c r="K213" s="15"/>
      <c r="L213" s="15"/>
      <c r="M213" s="15"/>
      <c r="N213" s="15"/>
      <c r="O213" s="15"/>
    </row>
    <row r="214" spans="1:15" ht="19.8" x14ac:dyDescent="0.5">
      <c r="A214" s="58"/>
      <c r="B214" s="15"/>
      <c r="C214" s="15"/>
      <c r="D214" s="15"/>
      <c r="E214" s="15"/>
      <c r="F214" s="15"/>
      <c r="G214" s="15"/>
      <c r="H214" s="15"/>
      <c r="I214" s="15"/>
      <c r="J214" s="15"/>
      <c r="K214" s="15"/>
      <c r="L214" s="15"/>
      <c r="M214" s="15"/>
      <c r="N214" s="15"/>
      <c r="O214" s="15"/>
    </row>
    <row r="215" spans="1:15" ht="19.8" x14ac:dyDescent="0.5">
      <c r="A215" s="58"/>
      <c r="B215" s="15"/>
      <c r="C215" s="15"/>
      <c r="D215" s="15"/>
      <c r="E215" s="15"/>
      <c r="F215" s="15"/>
      <c r="G215" s="15"/>
      <c r="H215" s="15"/>
      <c r="I215" s="15"/>
      <c r="J215" s="15"/>
      <c r="K215" s="15"/>
      <c r="L215" s="15"/>
      <c r="M215" s="15"/>
      <c r="N215" s="15"/>
      <c r="O215" s="15"/>
    </row>
    <row r="216" spans="1:15" ht="19.8" x14ac:dyDescent="0.5">
      <c r="A216" s="58"/>
      <c r="B216" s="15"/>
      <c r="C216" s="15"/>
      <c r="D216" s="15"/>
      <c r="E216" s="15"/>
      <c r="F216" s="15"/>
      <c r="G216" s="15"/>
      <c r="H216" s="15"/>
      <c r="I216" s="15"/>
      <c r="J216" s="15"/>
      <c r="K216" s="15"/>
      <c r="L216" s="15"/>
      <c r="M216" s="15"/>
      <c r="N216" s="15"/>
      <c r="O216" s="15"/>
    </row>
    <row r="217" spans="1:15" ht="19.8" x14ac:dyDescent="0.5">
      <c r="A217" s="58"/>
      <c r="B217" s="15"/>
      <c r="C217" s="15"/>
      <c r="D217" s="15"/>
      <c r="E217" s="15"/>
      <c r="F217" s="15"/>
      <c r="G217" s="15"/>
      <c r="H217" s="15"/>
      <c r="I217" s="15"/>
      <c r="J217" s="15"/>
      <c r="K217" s="15"/>
      <c r="L217" s="15"/>
      <c r="M217" s="15"/>
      <c r="N217" s="15"/>
      <c r="O217" s="15"/>
    </row>
    <row r="218" spans="1:15" ht="19.8" x14ac:dyDescent="0.5">
      <c r="A218" s="58"/>
      <c r="B218" s="15"/>
      <c r="C218" s="15"/>
      <c r="D218" s="15"/>
      <c r="E218" s="15"/>
      <c r="F218" s="15"/>
      <c r="G218" s="15"/>
      <c r="H218" s="15"/>
      <c r="I218" s="15"/>
      <c r="J218" s="15"/>
      <c r="K218" s="15"/>
      <c r="L218" s="15"/>
      <c r="M218" s="15"/>
      <c r="N218" s="15"/>
      <c r="O218" s="15"/>
    </row>
    <row r="219" spans="1:15" ht="19.8" x14ac:dyDescent="0.5">
      <c r="A219" s="58"/>
      <c r="B219" s="15"/>
      <c r="C219" s="15"/>
      <c r="D219" s="15"/>
      <c r="E219" s="15"/>
      <c r="F219" s="15"/>
      <c r="G219" s="15"/>
      <c r="H219" s="15"/>
      <c r="I219" s="15"/>
      <c r="J219" s="15"/>
      <c r="K219" s="15"/>
      <c r="L219" s="15"/>
      <c r="M219" s="15"/>
      <c r="N219" s="15"/>
      <c r="O219" s="15"/>
    </row>
    <row r="220" spans="1:15" ht="19.8" x14ac:dyDescent="0.5">
      <c r="A220" s="58"/>
      <c r="B220" s="15"/>
      <c r="C220" s="15"/>
      <c r="D220" s="15"/>
      <c r="E220" s="15"/>
      <c r="F220" s="15"/>
      <c r="G220" s="15"/>
      <c r="H220" s="15"/>
      <c r="I220" s="15"/>
      <c r="J220" s="15"/>
      <c r="K220" s="15"/>
      <c r="L220" s="15"/>
      <c r="M220" s="15"/>
      <c r="N220" s="15"/>
      <c r="O220" s="15"/>
    </row>
    <row r="221" spans="1:15" ht="19.8" x14ac:dyDescent="0.5">
      <c r="A221" s="58"/>
      <c r="B221" s="15"/>
      <c r="C221" s="15"/>
      <c r="D221" s="15"/>
      <c r="E221" s="15"/>
      <c r="F221" s="15"/>
      <c r="G221" s="15"/>
      <c r="H221" s="15"/>
      <c r="I221" s="15"/>
      <c r="J221" s="15"/>
      <c r="K221" s="15"/>
      <c r="L221" s="15"/>
      <c r="M221" s="15"/>
      <c r="N221" s="15"/>
      <c r="O221" s="15"/>
    </row>
    <row r="222" spans="1:15" ht="19.8" x14ac:dyDescent="0.5">
      <c r="A222" s="58"/>
      <c r="B222" s="15"/>
      <c r="C222" s="15"/>
      <c r="D222" s="15"/>
      <c r="E222" s="15"/>
      <c r="F222" s="15"/>
      <c r="G222" s="15"/>
      <c r="H222" s="15"/>
      <c r="I222" s="15"/>
      <c r="J222" s="15"/>
      <c r="K222" s="15"/>
      <c r="L222" s="15"/>
      <c r="M222" s="15"/>
      <c r="N222" s="15"/>
      <c r="O222" s="15"/>
    </row>
    <row r="223" spans="1:15" ht="19.8" x14ac:dyDescent="0.5">
      <c r="A223" s="58"/>
      <c r="B223" s="15"/>
      <c r="C223" s="15"/>
      <c r="D223" s="15"/>
      <c r="E223" s="15"/>
      <c r="F223" s="15"/>
      <c r="G223" s="15"/>
      <c r="H223" s="15"/>
      <c r="I223" s="15"/>
      <c r="J223" s="15"/>
      <c r="K223" s="15"/>
      <c r="L223" s="15"/>
      <c r="M223" s="15"/>
      <c r="N223" s="15"/>
      <c r="O223" s="15"/>
    </row>
    <row r="224" spans="1:15" ht="19.8" x14ac:dyDescent="0.5">
      <c r="A224" s="58"/>
      <c r="B224" s="15"/>
      <c r="C224" s="15"/>
      <c r="D224" s="15"/>
      <c r="E224" s="15"/>
      <c r="F224" s="15"/>
      <c r="G224" s="15"/>
      <c r="H224" s="15"/>
      <c r="I224" s="15"/>
      <c r="J224" s="15"/>
      <c r="K224" s="15"/>
      <c r="L224" s="15"/>
      <c r="M224" s="15"/>
      <c r="N224" s="15"/>
      <c r="O224" s="15"/>
    </row>
    <row r="225" spans="1:15" ht="19.8" x14ac:dyDescent="0.5">
      <c r="A225" s="58"/>
      <c r="B225" s="15"/>
      <c r="C225" s="15"/>
      <c r="D225" s="15"/>
      <c r="E225" s="15"/>
      <c r="F225" s="15"/>
      <c r="G225" s="15"/>
      <c r="H225" s="15"/>
      <c r="I225" s="15"/>
      <c r="J225" s="15"/>
      <c r="K225" s="15"/>
      <c r="L225" s="15"/>
      <c r="M225" s="15"/>
      <c r="N225" s="15"/>
      <c r="O225" s="15"/>
    </row>
    <row r="226" spans="1:15" ht="19.8" x14ac:dyDescent="0.5">
      <c r="A226" s="58"/>
      <c r="B226" s="15"/>
      <c r="C226" s="15"/>
      <c r="D226" s="15"/>
      <c r="E226" s="15"/>
      <c r="F226" s="15"/>
      <c r="G226" s="15"/>
      <c r="H226" s="15"/>
      <c r="I226" s="15"/>
      <c r="J226" s="15"/>
      <c r="K226" s="15"/>
      <c r="L226" s="15"/>
      <c r="M226" s="15"/>
      <c r="N226" s="15"/>
      <c r="O226" s="15"/>
    </row>
    <row r="227" spans="1:15" ht="19.8" x14ac:dyDescent="0.5">
      <c r="A227" s="58"/>
      <c r="B227" s="15"/>
      <c r="C227" s="15"/>
      <c r="D227" s="15"/>
      <c r="E227" s="15"/>
      <c r="F227" s="15"/>
      <c r="G227" s="15"/>
      <c r="H227" s="15"/>
      <c r="I227" s="15"/>
      <c r="J227" s="15"/>
      <c r="K227" s="15"/>
      <c r="L227" s="15"/>
      <c r="M227" s="15"/>
      <c r="N227" s="15"/>
      <c r="O227" s="15"/>
    </row>
    <row r="228" spans="1:15" ht="19.8" x14ac:dyDescent="0.5">
      <c r="A228" s="58"/>
      <c r="B228" s="15"/>
      <c r="C228" s="15"/>
      <c r="D228" s="15"/>
      <c r="E228" s="15"/>
      <c r="F228" s="15"/>
      <c r="G228" s="15"/>
      <c r="H228" s="15"/>
      <c r="I228" s="15"/>
      <c r="J228" s="15"/>
      <c r="K228" s="15"/>
      <c r="L228" s="15"/>
      <c r="M228" s="15"/>
      <c r="N228" s="15"/>
      <c r="O228" s="15"/>
    </row>
    <row r="229" spans="1:15" ht="19.8" x14ac:dyDescent="0.5">
      <c r="A229" s="58"/>
      <c r="B229" s="15"/>
      <c r="C229" s="15"/>
      <c r="D229" s="15"/>
      <c r="E229" s="15"/>
      <c r="F229" s="15"/>
      <c r="G229" s="15"/>
      <c r="H229" s="15"/>
      <c r="I229" s="15"/>
      <c r="J229" s="15"/>
      <c r="K229" s="15"/>
      <c r="L229" s="15"/>
      <c r="M229" s="15"/>
      <c r="N229" s="15"/>
      <c r="O229" s="15"/>
    </row>
    <row r="230" spans="1:15" ht="19.8" x14ac:dyDescent="0.5">
      <c r="A230" s="58"/>
      <c r="B230" s="15"/>
      <c r="C230" s="15"/>
      <c r="D230" s="15"/>
      <c r="E230" s="15"/>
      <c r="F230" s="15"/>
      <c r="G230" s="15"/>
      <c r="H230" s="15"/>
      <c r="I230" s="15"/>
      <c r="J230" s="15"/>
      <c r="K230" s="15"/>
      <c r="L230" s="15"/>
      <c r="M230" s="15"/>
      <c r="N230" s="15"/>
      <c r="O230" s="15"/>
    </row>
    <row r="231" spans="1:15" ht="19.8" x14ac:dyDescent="0.5">
      <c r="A231" s="58"/>
      <c r="B231" s="15"/>
      <c r="C231" s="15"/>
      <c r="D231" s="15"/>
      <c r="E231" s="15"/>
      <c r="F231" s="15"/>
      <c r="G231" s="15"/>
      <c r="H231" s="15"/>
      <c r="I231" s="15"/>
      <c r="J231" s="15"/>
      <c r="K231" s="15"/>
      <c r="L231" s="15"/>
      <c r="M231" s="15"/>
      <c r="N231" s="15"/>
      <c r="O231" s="15"/>
    </row>
    <row r="232" spans="1:15" ht="19.8" x14ac:dyDescent="0.5">
      <c r="A232" s="58"/>
      <c r="B232" s="15"/>
      <c r="C232" s="15"/>
      <c r="D232" s="15"/>
      <c r="E232" s="15"/>
      <c r="F232" s="15"/>
      <c r="G232" s="15"/>
      <c r="H232" s="15"/>
      <c r="I232" s="15"/>
      <c r="J232" s="15"/>
      <c r="K232" s="15"/>
      <c r="L232" s="15"/>
      <c r="M232" s="15"/>
      <c r="N232" s="15"/>
      <c r="O232" s="15"/>
    </row>
    <row r="233" spans="1:15" ht="19.8" x14ac:dyDescent="0.5">
      <c r="A233" s="58"/>
      <c r="B233" s="15"/>
      <c r="C233" s="15"/>
      <c r="D233" s="15"/>
      <c r="E233" s="15"/>
      <c r="F233" s="15"/>
      <c r="G233" s="15"/>
      <c r="H233" s="15"/>
      <c r="I233" s="15"/>
      <c r="J233" s="15"/>
      <c r="K233" s="15"/>
      <c r="L233" s="15"/>
      <c r="M233" s="15"/>
      <c r="N233" s="15"/>
      <c r="O233" s="15"/>
    </row>
    <row r="234" spans="1:15" ht="19.8" x14ac:dyDescent="0.5">
      <c r="A234" s="58"/>
      <c r="B234" s="15"/>
      <c r="C234" s="15"/>
      <c r="D234" s="15"/>
      <c r="E234" s="15"/>
      <c r="F234" s="15"/>
      <c r="G234" s="15"/>
      <c r="H234" s="15"/>
      <c r="I234" s="15"/>
      <c r="J234" s="15"/>
      <c r="K234" s="15"/>
      <c r="L234" s="15"/>
      <c r="M234" s="15"/>
      <c r="N234" s="15"/>
      <c r="O234" s="15"/>
    </row>
    <row r="235" spans="1:15" ht="19.8" x14ac:dyDescent="0.5">
      <c r="A235" s="58"/>
      <c r="B235" s="15"/>
      <c r="C235" s="15"/>
      <c r="D235" s="15"/>
      <c r="E235" s="15"/>
      <c r="F235" s="15"/>
      <c r="G235" s="15"/>
      <c r="H235" s="15"/>
      <c r="I235" s="15"/>
      <c r="J235" s="15"/>
      <c r="K235" s="15"/>
      <c r="L235" s="15"/>
      <c r="M235" s="15"/>
      <c r="N235" s="15"/>
      <c r="O235" s="15"/>
    </row>
    <row r="236" spans="1:15" ht="19.8" x14ac:dyDescent="0.5">
      <c r="A236" s="58"/>
      <c r="B236" s="15"/>
      <c r="C236" s="15"/>
      <c r="D236" s="15"/>
      <c r="E236" s="15"/>
      <c r="F236" s="15"/>
      <c r="G236" s="15"/>
      <c r="H236" s="15"/>
      <c r="I236" s="15"/>
      <c r="J236" s="15"/>
      <c r="K236" s="15"/>
      <c r="L236" s="15"/>
      <c r="M236" s="15"/>
      <c r="N236" s="15"/>
      <c r="O236" s="15"/>
    </row>
    <row r="237" spans="1:15" ht="19.8" x14ac:dyDescent="0.5">
      <c r="A237" s="58"/>
      <c r="B237" s="15"/>
      <c r="C237" s="15"/>
      <c r="D237" s="15"/>
      <c r="E237" s="15"/>
      <c r="F237" s="15"/>
      <c r="G237" s="15"/>
      <c r="H237" s="15"/>
      <c r="I237" s="15"/>
      <c r="J237" s="15"/>
      <c r="K237" s="15"/>
      <c r="L237" s="15"/>
      <c r="M237" s="15"/>
      <c r="N237" s="15"/>
      <c r="O237" s="15"/>
    </row>
    <row r="238" spans="1:15" ht="19.8" x14ac:dyDescent="0.5">
      <c r="A238" s="58"/>
      <c r="B238" s="15"/>
      <c r="C238" s="15"/>
      <c r="D238" s="15"/>
      <c r="E238" s="15"/>
      <c r="F238" s="15"/>
      <c r="G238" s="15"/>
      <c r="H238" s="15"/>
      <c r="I238" s="15"/>
      <c r="J238" s="15"/>
      <c r="K238" s="15"/>
      <c r="L238" s="15"/>
      <c r="M238" s="15"/>
      <c r="N238" s="15"/>
      <c r="O238" s="15"/>
    </row>
    <row r="239" spans="1:15" ht="19.8" x14ac:dyDescent="0.5">
      <c r="A239" s="58"/>
      <c r="B239" s="15"/>
      <c r="C239" s="15"/>
      <c r="D239" s="15"/>
      <c r="E239" s="15"/>
      <c r="F239" s="15"/>
      <c r="G239" s="15"/>
      <c r="H239" s="15"/>
      <c r="I239" s="15"/>
      <c r="J239" s="15"/>
      <c r="K239" s="15"/>
      <c r="L239" s="15"/>
      <c r="M239" s="15"/>
      <c r="N239" s="15"/>
      <c r="O239" s="15"/>
    </row>
    <row r="240" spans="1:15" ht="19.8" x14ac:dyDescent="0.5">
      <c r="A240" s="58"/>
      <c r="B240" s="15"/>
      <c r="C240" s="15"/>
      <c r="D240" s="15"/>
      <c r="E240" s="15"/>
      <c r="F240" s="15"/>
      <c r="G240" s="15"/>
      <c r="H240" s="15"/>
      <c r="I240" s="15"/>
      <c r="J240" s="15"/>
      <c r="K240" s="15"/>
      <c r="L240" s="15"/>
      <c r="M240" s="15"/>
      <c r="N240" s="15"/>
      <c r="O240" s="15"/>
    </row>
    <row r="241" spans="1:15" ht="19.8" x14ac:dyDescent="0.5">
      <c r="A241" s="58"/>
      <c r="B241" s="15"/>
      <c r="C241" s="15"/>
      <c r="D241" s="15"/>
      <c r="E241" s="15"/>
      <c r="F241" s="15"/>
      <c r="G241" s="15"/>
      <c r="H241" s="15"/>
      <c r="I241" s="15"/>
      <c r="J241" s="15"/>
      <c r="K241" s="15"/>
      <c r="L241" s="15"/>
      <c r="M241" s="15"/>
      <c r="N241" s="15"/>
      <c r="O241" s="15"/>
    </row>
    <row r="242" spans="1:15" ht="19.8" x14ac:dyDescent="0.5">
      <c r="A242" s="58"/>
      <c r="B242" s="15"/>
      <c r="C242" s="15"/>
      <c r="D242" s="15"/>
      <c r="E242" s="15"/>
      <c r="F242" s="15"/>
      <c r="G242" s="15"/>
      <c r="H242" s="15"/>
      <c r="I242" s="15"/>
      <c r="J242" s="15"/>
      <c r="K242" s="15"/>
      <c r="L242" s="15"/>
      <c r="M242" s="15"/>
      <c r="N242" s="15"/>
      <c r="O242" s="15"/>
    </row>
    <row r="243" spans="1:15" ht="19.8" x14ac:dyDescent="0.5">
      <c r="A243" s="58"/>
      <c r="B243" s="15"/>
      <c r="C243" s="15"/>
      <c r="D243" s="15"/>
      <c r="E243" s="15"/>
      <c r="F243" s="15"/>
      <c r="G243" s="15"/>
      <c r="H243" s="15"/>
      <c r="I243" s="15"/>
      <c r="J243" s="15"/>
      <c r="K243" s="15"/>
      <c r="L243" s="15"/>
      <c r="M243" s="15"/>
      <c r="N243" s="15"/>
      <c r="O243" s="15"/>
    </row>
    <row r="244" spans="1:15" ht="19.8" x14ac:dyDescent="0.5">
      <c r="A244" s="58"/>
      <c r="B244" s="15"/>
      <c r="C244" s="15"/>
      <c r="D244" s="15"/>
      <c r="E244" s="15"/>
      <c r="F244" s="15"/>
      <c r="G244" s="15"/>
      <c r="H244" s="15"/>
      <c r="I244" s="15"/>
      <c r="J244" s="15"/>
      <c r="K244" s="15"/>
      <c r="L244" s="15"/>
      <c r="M244" s="15"/>
      <c r="N244" s="15"/>
      <c r="O244" s="15"/>
    </row>
    <row r="245" spans="1:15" ht="19.8" x14ac:dyDescent="0.5">
      <c r="A245" s="58"/>
      <c r="B245" s="15"/>
      <c r="C245" s="15"/>
      <c r="D245" s="15"/>
      <c r="E245" s="15"/>
      <c r="F245" s="15"/>
      <c r="G245" s="15"/>
      <c r="H245" s="15"/>
      <c r="I245" s="15"/>
      <c r="J245" s="15"/>
      <c r="K245" s="15"/>
      <c r="L245" s="15"/>
      <c r="M245" s="15"/>
      <c r="N245" s="15"/>
      <c r="O245" s="15"/>
    </row>
    <row r="246" spans="1:15" ht="19.8" x14ac:dyDescent="0.5">
      <c r="A246" s="58"/>
      <c r="B246" s="15"/>
      <c r="C246" s="15"/>
      <c r="D246" s="15"/>
      <c r="E246" s="15"/>
      <c r="F246" s="15"/>
      <c r="G246" s="15"/>
      <c r="H246" s="15"/>
      <c r="I246" s="15"/>
      <c r="J246" s="15"/>
      <c r="K246" s="15"/>
      <c r="L246" s="15"/>
      <c r="M246" s="15"/>
      <c r="N246" s="15"/>
      <c r="O246" s="15"/>
    </row>
    <row r="247" spans="1:15" ht="19.8" x14ac:dyDescent="0.5">
      <c r="A247" s="58"/>
      <c r="B247" s="15"/>
      <c r="C247" s="15"/>
      <c r="D247" s="15"/>
      <c r="E247" s="15"/>
      <c r="F247" s="15"/>
      <c r="G247" s="15"/>
      <c r="H247" s="15"/>
      <c r="I247" s="15"/>
      <c r="J247" s="15"/>
      <c r="K247" s="15"/>
      <c r="L247" s="15"/>
      <c r="M247" s="15"/>
      <c r="N247" s="15"/>
      <c r="O247" s="15"/>
    </row>
    <row r="248" spans="1:15" ht="19.8" x14ac:dyDescent="0.5">
      <c r="A248" s="58"/>
      <c r="B248" s="15"/>
      <c r="C248" s="15"/>
      <c r="D248" s="15"/>
      <c r="E248" s="15"/>
      <c r="F248" s="15"/>
      <c r="G248" s="15"/>
      <c r="H248" s="15"/>
      <c r="I248" s="15"/>
      <c r="J248" s="15"/>
      <c r="K248" s="15"/>
      <c r="L248" s="15"/>
      <c r="M248" s="15"/>
      <c r="N248" s="15"/>
      <c r="O248" s="15"/>
    </row>
    <row r="249" spans="1:15" ht="19.8" x14ac:dyDescent="0.5">
      <c r="A249" s="58"/>
      <c r="B249" s="15"/>
      <c r="C249" s="15"/>
      <c r="D249" s="15"/>
      <c r="E249" s="15"/>
      <c r="F249" s="15"/>
      <c r="G249" s="15"/>
      <c r="H249" s="15"/>
      <c r="I249" s="15"/>
      <c r="J249" s="15"/>
      <c r="K249" s="15"/>
      <c r="L249" s="15"/>
      <c r="M249" s="15"/>
      <c r="N249" s="15"/>
      <c r="O249" s="15"/>
    </row>
    <row r="250" spans="1:15" ht="19.8" x14ac:dyDescent="0.5">
      <c r="A250" s="58"/>
      <c r="B250" s="15"/>
      <c r="C250" s="15"/>
      <c r="D250" s="15"/>
      <c r="E250" s="15"/>
      <c r="F250" s="15"/>
      <c r="G250" s="15"/>
      <c r="H250" s="15"/>
      <c r="I250" s="15"/>
      <c r="J250" s="15"/>
      <c r="K250" s="15"/>
      <c r="L250" s="15"/>
      <c r="M250" s="15"/>
      <c r="N250" s="15"/>
      <c r="O250" s="15"/>
    </row>
    <row r="251" spans="1:15" ht="19.8" x14ac:dyDescent="0.5">
      <c r="A251" s="58"/>
      <c r="B251" s="15"/>
      <c r="C251" s="15"/>
      <c r="D251" s="15"/>
      <c r="E251" s="15"/>
      <c r="F251" s="15"/>
      <c r="G251" s="15"/>
      <c r="H251" s="15"/>
      <c r="I251" s="15"/>
      <c r="J251" s="15"/>
      <c r="K251" s="15"/>
      <c r="L251" s="15"/>
      <c r="M251" s="15"/>
      <c r="N251" s="15"/>
      <c r="O251" s="15"/>
    </row>
    <row r="252" spans="1:15" ht="19.8" x14ac:dyDescent="0.5">
      <c r="A252" s="58"/>
      <c r="B252" s="15"/>
      <c r="C252" s="15"/>
      <c r="D252" s="15"/>
      <c r="E252" s="15"/>
      <c r="F252" s="15"/>
      <c r="G252" s="15"/>
      <c r="H252" s="15"/>
      <c r="I252" s="15"/>
      <c r="J252" s="15"/>
      <c r="K252" s="15"/>
      <c r="L252" s="15"/>
      <c r="M252" s="15"/>
      <c r="N252" s="15"/>
      <c r="O252" s="15"/>
    </row>
    <row r="253" spans="1:15" ht="19.8" x14ac:dyDescent="0.5">
      <c r="A253" s="58"/>
      <c r="B253" s="15"/>
      <c r="C253" s="15"/>
      <c r="D253" s="15"/>
      <c r="E253" s="15"/>
      <c r="F253" s="15"/>
      <c r="G253" s="15"/>
      <c r="H253" s="15"/>
      <c r="I253" s="15"/>
      <c r="J253" s="15"/>
      <c r="K253" s="15"/>
      <c r="L253" s="15"/>
      <c r="M253" s="15"/>
      <c r="N253" s="15"/>
      <c r="O253" s="15"/>
    </row>
    <row r="254" spans="1:15" ht="19.8" x14ac:dyDescent="0.5">
      <c r="A254" s="58"/>
      <c r="B254" s="15"/>
      <c r="C254" s="15"/>
      <c r="D254" s="15"/>
      <c r="E254" s="15"/>
      <c r="F254" s="15"/>
      <c r="G254" s="15"/>
      <c r="H254" s="15"/>
      <c r="I254" s="15"/>
      <c r="J254" s="15"/>
      <c r="K254" s="15"/>
      <c r="L254" s="15"/>
      <c r="M254" s="15"/>
      <c r="N254" s="15"/>
      <c r="O254" s="15"/>
    </row>
    <row r="255" spans="1:15" ht="19.8" x14ac:dyDescent="0.5">
      <c r="A255" s="58"/>
      <c r="B255" s="15"/>
      <c r="C255" s="15"/>
      <c r="D255" s="15"/>
      <c r="E255" s="15"/>
      <c r="F255" s="15"/>
      <c r="G255" s="15"/>
      <c r="H255" s="15"/>
      <c r="I255" s="15"/>
      <c r="J255" s="15"/>
      <c r="K255" s="15"/>
      <c r="L255" s="15"/>
      <c r="M255" s="15"/>
      <c r="N255" s="15"/>
      <c r="O255" s="15"/>
    </row>
    <row r="256" spans="1:15" ht="19.8" x14ac:dyDescent="0.5">
      <c r="A256" s="58"/>
      <c r="B256" s="15"/>
      <c r="C256" s="15"/>
      <c r="D256" s="15"/>
      <c r="E256" s="15"/>
      <c r="F256" s="15"/>
      <c r="G256" s="15"/>
      <c r="H256" s="15"/>
      <c r="I256" s="15"/>
      <c r="J256" s="15"/>
      <c r="K256" s="15"/>
      <c r="L256" s="15"/>
      <c r="M256" s="15"/>
      <c r="N256" s="15"/>
      <c r="O256" s="15"/>
    </row>
    <row r="257" spans="1:15" ht="19.8" x14ac:dyDescent="0.5">
      <c r="A257" s="58"/>
      <c r="B257" s="15"/>
      <c r="C257" s="15"/>
      <c r="D257" s="15"/>
      <c r="E257" s="15"/>
      <c r="F257" s="15"/>
      <c r="G257" s="15"/>
      <c r="H257" s="15"/>
      <c r="I257" s="15"/>
      <c r="J257" s="15"/>
      <c r="K257" s="15"/>
      <c r="L257" s="15"/>
      <c r="M257" s="15"/>
      <c r="N257" s="15"/>
      <c r="O257" s="15"/>
    </row>
    <row r="258" spans="1:15" ht="19.8" x14ac:dyDescent="0.5">
      <c r="A258" s="58"/>
      <c r="B258" s="15"/>
      <c r="C258" s="15"/>
      <c r="D258" s="15"/>
      <c r="E258" s="15"/>
      <c r="F258" s="15"/>
      <c r="G258" s="15"/>
      <c r="H258" s="15"/>
      <c r="I258" s="15"/>
      <c r="J258" s="15"/>
      <c r="K258" s="15"/>
      <c r="L258" s="15"/>
      <c r="M258" s="15"/>
      <c r="N258" s="15"/>
      <c r="O258" s="15"/>
    </row>
    <row r="259" spans="1:15" ht="19.8" x14ac:dyDescent="0.5">
      <c r="A259" s="58"/>
      <c r="B259" s="15"/>
      <c r="C259" s="15"/>
      <c r="D259" s="15"/>
      <c r="E259" s="15"/>
      <c r="F259" s="15"/>
      <c r="G259" s="15"/>
      <c r="H259" s="15"/>
      <c r="I259" s="15"/>
      <c r="J259" s="15"/>
      <c r="K259" s="15"/>
      <c r="L259" s="15"/>
      <c r="M259" s="15"/>
      <c r="N259" s="15"/>
      <c r="O259" s="15"/>
    </row>
    <row r="260" spans="1:15" ht="19.8" x14ac:dyDescent="0.5">
      <c r="A260" s="58"/>
      <c r="B260" s="15"/>
      <c r="C260" s="15"/>
      <c r="D260" s="15"/>
      <c r="E260" s="15"/>
      <c r="F260" s="15"/>
      <c r="G260" s="15"/>
      <c r="H260" s="15"/>
      <c r="I260" s="15"/>
      <c r="J260" s="15"/>
      <c r="K260" s="15"/>
      <c r="L260" s="15"/>
      <c r="M260" s="15"/>
      <c r="N260" s="15"/>
      <c r="O260" s="15"/>
    </row>
    <row r="261" spans="1:15" ht="19.8" x14ac:dyDescent="0.5">
      <c r="A261" s="58"/>
      <c r="B261" s="15"/>
      <c r="C261" s="15"/>
      <c r="D261" s="15"/>
      <c r="E261" s="15"/>
      <c r="F261" s="15"/>
      <c r="G261" s="15"/>
      <c r="H261" s="15"/>
      <c r="I261" s="15"/>
      <c r="J261" s="15"/>
      <c r="K261" s="15"/>
      <c r="L261" s="15"/>
      <c r="M261" s="15"/>
      <c r="N261" s="15"/>
      <c r="O261" s="15"/>
    </row>
    <row r="262" spans="1:15" ht="19.8" x14ac:dyDescent="0.5">
      <c r="A262" s="58"/>
      <c r="B262" s="15"/>
      <c r="C262" s="15"/>
      <c r="D262" s="15"/>
      <c r="E262" s="15"/>
      <c r="F262" s="15"/>
      <c r="G262" s="15"/>
      <c r="H262" s="15"/>
      <c r="I262" s="15"/>
      <c r="J262" s="15"/>
      <c r="K262" s="15"/>
      <c r="L262" s="15"/>
      <c r="M262" s="15"/>
      <c r="N262" s="15"/>
      <c r="O262" s="15"/>
    </row>
    <row r="263" spans="1:15" ht="19.8" x14ac:dyDescent="0.5">
      <c r="A263" s="58"/>
      <c r="B263" s="15"/>
      <c r="C263" s="15"/>
      <c r="D263" s="15"/>
      <c r="E263" s="15"/>
      <c r="F263" s="15"/>
      <c r="G263" s="15"/>
      <c r="H263" s="15"/>
      <c r="I263" s="15"/>
      <c r="J263" s="15"/>
      <c r="K263" s="15"/>
      <c r="L263" s="15"/>
      <c r="M263" s="15"/>
      <c r="N263" s="15"/>
      <c r="O263" s="15"/>
    </row>
    <row r="264" spans="1:15" ht="19.8" x14ac:dyDescent="0.5">
      <c r="A264" s="58"/>
      <c r="B264" s="15"/>
      <c r="C264" s="15"/>
      <c r="D264" s="15"/>
      <c r="E264" s="15"/>
      <c r="F264" s="15"/>
      <c r="G264" s="15"/>
      <c r="H264" s="15"/>
      <c r="I264" s="15"/>
      <c r="J264" s="15"/>
      <c r="K264" s="15"/>
      <c r="L264" s="15"/>
      <c r="M264" s="15"/>
      <c r="N264" s="15"/>
      <c r="O264" s="15"/>
    </row>
    <row r="265" spans="1:15" ht="19.8" x14ac:dyDescent="0.5">
      <c r="A265" s="58"/>
      <c r="B265" s="15"/>
      <c r="C265" s="15"/>
      <c r="D265" s="15"/>
      <c r="E265" s="15"/>
      <c r="F265" s="15"/>
      <c r="G265" s="15"/>
      <c r="H265" s="15"/>
      <c r="I265" s="15"/>
      <c r="J265" s="15"/>
      <c r="K265" s="15"/>
      <c r="L265" s="15"/>
      <c r="M265" s="15"/>
      <c r="N265" s="15"/>
      <c r="O265" s="15"/>
    </row>
    <row r="266" spans="1:15" ht="19.8" x14ac:dyDescent="0.5">
      <c r="A266" s="58"/>
      <c r="B266" s="15"/>
      <c r="C266" s="15"/>
      <c r="D266" s="15"/>
      <c r="E266" s="15"/>
      <c r="F266" s="15"/>
      <c r="G266" s="15"/>
      <c r="H266" s="15"/>
      <c r="I266" s="15"/>
      <c r="J266" s="15"/>
      <c r="K266" s="15"/>
      <c r="L266" s="15"/>
      <c r="M266" s="15"/>
      <c r="N266" s="15"/>
      <c r="O266" s="15"/>
    </row>
    <row r="267" spans="1:15" ht="19.8" x14ac:dyDescent="0.5">
      <c r="A267" s="58"/>
      <c r="B267" s="15"/>
      <c r="C267" s="15"/>
      <c r="D267" s="15"/>
      <c r="E267" s="15"/>
      <c r="F267" s="15"/>
      <c r="G267" s="15"/>
      <c r="H267" s="15"/>
      <c r="I267" s="15"/>
      <c r="J267" s="15"/>
      <c r="K267" s="15"/>
      <c r="L267" s="15"/>
      <c r="M267" s="15"/>
      <c r="N267" s="15"/>
      <c r="O267" s="15"/>
    </row>
    <row r="268" spans="1:15" ht="19.8" x14ac:dyDescent="0.5">
      <c r="A268" s="58"/>
      <c r="B268" s="15"/>
      <c r="C268" s="15"/>
      <c r="D268" s="15"/>
      <c r="E268" s="15"/>
      <c r="F268" s="15"/>
      <c r="G268" s="15"/>
      <c r="H268" s="15"/>
      <c r="I268" s="15"/>
      <c r="J268" s="15"/>
      <c r="K268" s="15"/>
      <c r="L268" s="15"/>
      <c r="M268" s="15"/>
      <c r="N268" s="15"/>
      <c r="O268" s="15"/>
    </row>
    <row r="269" spans="1:15" ht="19.8" x14ac:dyDescent="0.5">
      <c r="A269" s="58"/>
      <c r="B269" s="15"/>
      <c r="C269" s="15"/>
      <c r="D269" s="15"/>
      <c r="E269" s="15"/>
      <c r="F269" s="15"/>
      <c r="G269" s="15"/>
      <c r="H269" s="15"/>
      <c r="I269" s="15"/>
      <c r="J269" s="15"/>
      <c r="K269" s="15"/>
      <c r="L269" s="15"/>
      <c r="M269" s="15"/>
      <c r="N269" s="15"/>
      <c r="O269" s="15"/>
    </row>
    <row r="270" spans="1:15" ht="19.8" x14ac:dyDescent="0.5">
      <c r="A270" s="58"/>
      <c r="B270" s="15"/>
      <c r="C270" s="15"/>
      <c r="D270" s="15"/>
      <c r="E270" s="15"/>
      <c r="F270" s="15"/>
      <c r="G270" s="15"/>
      <c r="H270" s="15"/>
      <c r="I270" s="15"/>
      <c r="J270" s="15"/>
      <c r="K270" s="15"/>
      <c r="L270" s="15"/>
      <c r="M270" s="15"/>
      <c r="N270" s="15"/>
      <c r="O270" s="15"/>
    </row>
    <row r="271" spans="1:15" ht="19.8" x14ac:dyDescent="0.5">
      <c r="A271" s="58"/>
      <c r="B271" s="15"/>
      <c r="C271" s="15"/>
      <c r="D271" s="15"/>
      <c r="E271" s="15"/>
      <c r="F271" s="15"/>
      <c r="G271" s="15"/>
      <c r="H271" s="15"/>
      <c r="I271" s="15"/>
      <c r="J271" s="15"/>
      <c r="K271" s="15"/>
      <c r="L271" s="15"/>
      <c r="M271" s="15"/>
      <c r="N271" s="15"/>
      <c r="O271" s="15"/>
    </row>
    <row r="272" spans="1:15" ht="19.8" x14ac:dyDescent="0.5">
      <c r="A272" s="58"/>
      <c r="B272" s="15"/>
      <c r="C272" s="15"/>
      <c r="D272" s="15"/>
      <c r="E272" s="15"/>
      <c r="F272" s="15"/>
      <c r="G272" s="15"/>
      <c r="H272" s="15"/>
      <c r="I272" s="15"/>
      <c r="J272" s="15"/>
      <c r="K272" s="15"/>
      <c r="L272" s="15"/>
      <c r="M272" s="15"/>
      <c r="N272" s="15"/>
      <c r="O272" s="15"/>
    </row>
    <row r="273" spans="1:15" ht="19.8" x14ac:dyDescent="0.5">
      <c r="A273" s="58"/>
      <c r="B273" s="15"/>
      <c r="C273" s="15"/>
      <c r="D273" s="15"/>
      <c r="E273" s="15"/>
      <c r="F273" s="15"/>
      <c r="G273" s="15"/>
      <c r="H273" s="15"/>
      <c r="I273" s="15"/>
      <c r="J273" s="15"/>
      <c r="K273" s="15"/>
      <c r="L273" s="15"/>
      <c r="M273" s="15"/>
      <c r="N273" s="15"/>
      <c r="O273" s="15"/>
    </row>
    <row r="274" spans="1:15" ht="19.8" x14ac:dyDescent="0.5">
      <c r="A274" s="58"/>
      <c r="B274" s="15"/>
      <c r="C274" s="15"/>
      <c r="D274" s="15"/>
      <c r="E274" s="15"/>
      <c r="F274" s="15"/>
      <c r="G274" s="15"/>
      <c r="H274" s="15"/>
      <c r="I274" s="15"/>
      <c r="J274" s="15"/>
      <c r="K274" s="15"/>
      <c r="L274" s="15"/>
      <c r="M274" s="15"/>
      <c r="N274" s="15"/>
      <c r="O274" s="15"/>
    </row>
    <row r="275" spans="1:15" ht="19.8" x14ac:dyDescent="0.5">
      <c r="A275" s="58"/>
      <c r="B275" s="15"/>
      <c r="C275" s="15"/>
      <c r="D275" s="15"/>
      <c r="E275" s="15"/>
      <c r="F275" s="15"/>
      <c r="G275" s="15"/>
      <c r="H275" s="15"/>
      <c r="I275" s="15"/>
      <c r="J275" s="15"/>
      <c r="K275" s="15"/>
      <c r="L275" s="15"/>
      <c r="M275" s="15"/>
      <c r="N275" s="15"/>
      <c r="O275" s="15"/>
    </row>
    <row r="276" spans="1:15" ht="19.8" x14ac:dyDescent="0.5">
      <c r="A276" s="58"/>
      <c r="B276" s="15"/>
      <c r="C276" s="15"/>
      <c r="D276" s="15"/>
      <c r="E276" s="15"/>
      <c r="F276" s="15"/>
      <c r="G276" s="15"/>
      <c r="H276" s="15"/>
      <c r="I276" s="15"/>
      <c r="J276" s="15"/>
      <c r="K276" s="15"/>
      <c r="L276" s="15"/>
      <c r="M276" s="15"/>
      <c r="N276" s="15"/>
      <c r="O276" s="15"/>
    </row>
    <row r="277" spans="1:15" ht="19.8" x14ac:dyDescent="0.5">
      <c r="A277" s="58"/>
      <c r="B277" s="15"/>
      <c r="C277" s="15"/>
      <c r="D277" s="15"/>
      <c r="E277" s="15"/>
      <c r="F277" s="15"/>
      <c r="G277" s="15"/>
      <c r="H277" s="15"/>
      <c r="I277" s="15"/>
      <c r="J277" s="15"/>
      <c r="K277" s="15"/>
      <c r="L277" s="15"/>
      <c r="M277" s="15"/>
      <c r="N277" s="15"/>
      <c r="O277" s="15"/>
    </row>
    <row r="278" spans="1:15" ht="19.8" x14ac:dyDescent="0.5">
      <c r="A278" s="58"/>
      <c r="B278" s="15"/>
      <c r="C278" s="15"/>
      <c r="D278" s="15"/>
      <c r="E278" s="15"/>
      <c r="F278" s="15"/>
      <c r="G278" s="15"/>
      <c r="H278" s="15"/>
      <c r="I278" s="15"/>
      <c r="J278" s="15"/>
      <c r="K278" s="15"/>
      <c r="L278" s="15"/>
      <c r="M278" s="15"/>
      <c r="N278" s="15"/>
      <c r="O278" s="15"/>
    </row>
    <row r="279" spans="1:15" ht="19.8" x14ac:dyDescent="0.5">
      <c r="A279" s="58"/>
      <c r="B279" s="15"/>
      <c r="C279" s="15"/>
      <c r="D279" s="15"/>
      <c r="E279" s="15"/>
      <c r="F279" s="15"/>
      <c r="G279" s="15"/>
      <c r="H279" s="15"/>
      <c r="I279" s="15"/>
      <c r="J279" s="15"/>
      <c r="K279" s="15"/>
      <c r="L279" s="15"/>
      <c r="M279" s="15"/>
      <c r="N279" s="15"/>
      <c r="O279" s="15"/>
    </row>
    <row r="280" spans="1:15" ht="19.8" x14ac:dyDescent="0.5">
      <c r="A280" s="58"/>
      <c r="B280" s="15"/>
      <c r="C280" s="15"/>
      <c r="D280" s="15"/>
      <c r="E280" s="15"/>
      <c r="F280" s="15"/>
      <c r="G280" s="15"/>
      <c r="H280" s="15"/>
      <c r="I280" s="15"/>
      <c r="J280" s="15"/>
      <c r="K280" s="15"/>
      <c r="L280" s="15"/>
      <c r="M280" s="15"/>
      <c r="N280" s="15"/>
      <c r="O280" s="15"/>
    </row>
    <row r="281" spans="1:15" ht="19.8" x14ac:dyDescent="0.5">
      <c r="A281" s="58"/>
      <c r="B281" s="15"/>
      <c r="C281" s="15"/>
      <c r="D281" s="15"/>
      <c r="E281" s="15"/>
      <c r="F281" s="15"/>
      <c r="G281" s="15"/>
      <c r="H281" s="15"/>
      <c r="I281" s="15"/>
      <c r="J281" s="15"/>
      <c r="K281" s="15"/>
      <c r="L281" s="15"/>
      <c r="M281" s="15"/>
      <c r="N281" s="15"/>
      <c r="O281" s="15"/>
    </row>
    <row r="282" spans="1:15" ht="19.8" x14ac:dyDescent="0.5">
      <c r="A282" s="58"/>
      <c r="B282" s="15"/>
      <c r="C282" s="15"/>
      <c r="D282" s="15"/>
      <c r="E282" s="15"/>
      <c r="F282" s="15"/>
      <c r="G282" s="15"/>
      <c r="H282" s="15"/>
      <c r="I282" s="15"/>
      <c r="J282" s="15"/>
      <c r="K282" s="15"/>
      <c r="L282" s="15"/>
      <c r="M282" s="15"/>
      <c r="N282" s="15"/>
      <c r="O282" s="15"/>
    </row>
    <row r="283" spans="1:15" ht="19.8" x14ac:dyDescent="0.5">
      <c r="A283" s="58"/>
      <c r="B283" s="15"/>
      <c r="C283" s="15"/>
      <c r="D283" s="15"/>
      <c r="E283" s="15"/>
      <c r="F283" s="15"/>
      <c r="G283" s="15"/>
      <c r="H283" s="15"/>
      <c r="I283" s="15"/>
      <c r="J283" s="15"/>
      <c r="K283" s="15"/>
      <c r="L283" s="15"/>
      <c r="M283" s="15"/>
      <c r="N283" s="15"/>
      <c r="O283" s="15"/>
    </row>
    <row r="284" spans="1:15" ht="19.8" x14ac:dyDescent="0.5">
      <c r="A284" s="58"/>
      <c r="B284" s="15"/>
      <c r="C284" s="15"/>
      <c r="D284" s="15"/>
      <c r="E284" s="15"/>
      <c r="F284" s="15"/>
      <c r="G284" s="15"/>
      <c r="H284" s="15"/>
      <c r="I284" s="15"/>
      <c r="J284" s="15"/>
      <c r="K284" s="15"/>
      <c r="L284" s="15"/>
      <c r="M284" s="15"/>
      <c r="N284" s="15"/>
      <c r="O284" s="15"/>
    </row>
    <row r="285" spans="1:15" ht="19.8" x14ac:dyDescent="0.5">
      <c r="A285" s="58"/>
      <c r="B285" s="15"/>
      <c r="C285" s="15"/>
      <c r="D285" s="15"/>
      <c r="E285" s="15"/>
      <c r="F285" s="15"/>
      <c r="G285" s="15"/>
      <c r="H285" s="15"/>
      <c r="I285" s="15"/>
      <c r="J285" s="15"/>
      <c r="K285" s="15"/>
      <c r="L285" s="15"/>
      <c r="M285" s="15"/>
      <c r="N285" s="15"/>
      <c r="O285" s="15"/>
    </row>
    <row r="286" spans="1:15" ht="19.8" x14ac:dyDescent="0.5">
      <c r="A286" s="58"/>
      <c r="B286" s="15"/>
      <c r="C286" s="15"/>
      <c r="D286" s="15"/>
      <c r="E286" s="15"/>
      <c r="F286" s="15"/>
      <c r="G286" s="15"/>
      <c r="H286" s="15"/>
      <c r="I286" s="15"/>
      <c r="J286" s="15"/>
      <c r="K286" s="15"/>
      <c r="L286" s="15"/>
      <c r="M286" s="15"/>
      <c r="N286" s="15"/>
      <c r="O286" s="15"/>
    </row>
    <row r="287" spans="1:15" ht="19.8" x14ac:dyDescent="0.5">
      <c r="A287" s="58"/>
      <c r="B287" s="15"/>
      <c r="C287" s="15"/>
      <c r="D287" s="15"/>
      <c r="E287" s="15"/>
      <c r="F287" s="15"/>
      <c r="G287" s="15"/>
      <c r="H287" s="15"/>
      <c r="I287" s="15"/>
      <c r="J287" s="15"/>
      <c r="K287" s="15"/>
      <c r="L287" s="15"/>
      <c r="M287" s="15"/>
      <c r="N287" s="15"/>
      <c r="O287" s="15"/>
    </row>
    <row r="288" spans="1:15" ht="19.8" x14ac:dyDescent="0.5">
      <c r="A288" s="58"/>
      <c r="B288" s="15"/>
      <c r="C288" s="15"/>
      <c r="D288" s="15"/>
      <c r="E288" s="15"/>
      <c r="F288" s="15"/>
      <c r="G288" s="15"/>
      <c r="H288" s="15"/>
      <c r="I288" s="15"/>
      <c r="J288" s="15"/>
      <c r="K288" s="15"/>
      <c r="L288" s="15"/>
      <c r="M288" s="15"/>
      <c r="N288" s="15"/>
      <c r="O288" s="15"/>
    </row>
    <row r="289" spans="1:15" ht="19.8" x14ac:dyDescent="0.5">
      <c r="A289" s="58"/>
      <c r="B289" s="15"/>
      <c r="C289" s="15"/>
      <c r="D289" s="15"/>
      <c r="E289" s="15"/>
      <c r="F289" s="15"/>
      <c r="G289" s="15"/>
      <c r="H289" s="15"/>
      <c r="I289" s="15"/>
      <c r="J289" s="15"/>
      <c r="K289" s="15"/>
      <c r="L289" s="15"/>
      <c r="M289" s="15"/>
      <c r="N289" s="15"/>
      <c r="O289" s="15"/>
    </row>
    <row r="290" spans="1:15" ht="19.8" x14ac:dyDescent="0.5">
      <c r="A290" s="58"/>
      <c r="B290" s="15"/>
      <c r="C290" s="15"/>
      <c r="D290" s="15"/>
      <c r="E290" s="15"/>
      <c r="F290" s="15"/>
      <c r="G290" s="15"/>
      <c r="H290" s="15"/>
      <c r="I290" s="15"/>
      <c r="J290" s="15"/>
      <c r="K290" s="15"/>
      <c r="L290" s="15"/>
      <c r="M290" s="15"/>
      <c r="N290" s="15"/>
      <c r="O290" s="15"/>
    </row>
    <row r="291" spans="1:15" ht="19.8" x14ac:dyDescent="0.5">
      <c r="A291" s="58"/>
      <c r="B291" s="15"/>
      <c r="C291" s="15"/>
      <c r="D291" s="15"/>
      <c r="E291" s="15"/>
      <c r="F291" s="15"/>
      <c r="G291" s="15"/>
      <c r="H291" s="15"/>
      <c r="I291" s="15"/>
      <c r="J291" s="15"/>
      <c r="K291" s="15"/>
      <c r="L291" s="15"/>
      <c r="M291" s="15"/>
      <c r="N291" s="15"/>
      <c r="O291" s="15"/>
    </row>
    <row r="292" spans="1:15" ht="19.8" x14ac:dyDescent="0.5">
      <c r="A292" s="58"/>
      <c r="B292" s="15"/>
      <c r="C292" s="15"/>
      <c r="D292" s="15"/>
      <c r="E292" s="15"/>
      <c r="F292" s="15"/>
      <c r="G292" s="15"/>
      <c r="H292" s="15"/>
      <c r="I292" s="15"/>
      <c r="J292" s="15"/>
      <c r="K292" s="15"/>
      <c r="L292" s="15"/>
      <c r="M292" s="15"/>
      <c r="N292" s="15"/>
      <c r="O292" s="15"/>
    </row>
    <row r="293" spans="1:15" ht="19.8" x14ac:dyDescent="0.5">
      <c r="A293" s="58"/>
      <c r="B293" s="15"/>
      <c r="C293" s="15"/>
      <c r="D293" s="15"/>
      <c r="E293" s="15"/>
      <c r="F293" s="15"/>
      <c r="G293" s="15"/>
      <c r="H293" s="15"/>
      <c r="I293" s="15"/>
      <c r="J293" s="15"/>
      <c r="K293" s="15"/>
      <c r="L293" s="15"/>
      <c r="M293" s="15"/>
      <c r="N293" s="15"/>
      <c r="O293" s="15"/>
    </row>
    <row r="294" spans="1:15" ht="19.8" x14ac:dyDescent="0.5">
      <c r="A294" s="58"/>
      <c r="B294" s="15"/>
      <c r="C294" s="15"/>
      <c r="D294" s="15"/>
      <c r="E294" s="15"/>
      <c r="F294" s="15"/>
      <c r="G294" s="15"/>
      <c r="H294" s="15"/>
      <c r="I294" s="15"/>
      <c r="J294" s="15"/>
      <c r="K294" s="15"/>
      <c r="L294" s="15"/>
      <c r="M294" s="15"/>
      <c r="N294" s="15"/>
      <c r="O294" s="15"/>
    </row>
    <row r="295" spans="1:15" ht="19.8" x14ac:dyDescent="0.5">
      <c r="A295" s="58"/>
      <c r="B295" s="15"/>
      <c r="C295" s="15"/>
      <c r="D295" s="15"/>
      <c r="E295" s="15"/>
      <c r="F295" s="15"/>
      <c r="G295" s="15"/>
      <c r="H295" s="15"/>
      <c r="I295" s="15"/>
      <c r="J295" s="15"/>
      <c r="K295" s="15"/>
      <c r="L295" s="15"/>
      <c r="M295" s="15"/>
      <c r="N295" s="15"/>
      <c r="O295" s="15"/>
    </row>
    <row r="296" spans="1:15" ht="19.8" x14ac:dyDescent="0.5">
      <c r="A296" s="58"/>
      <c r="B296" s="15"/>
      <c r="C296" s="15"/>
      <c r="D296" s="15"/>
      <c r="E296" s="15"/>
      <c r="F296" s="15"/>
      <c r="G296" s="15"/>
      <c r="H296" s="15"/>
      <c r="I296" s="15"/>
      <c r="J296" s="15"/>
      <c r="K296" s="15"/>
      <c r="L296" s="15"/>
      <c r="M296" s="15"/>
      <c r="N296" s="15"/>
      <c r="O296" s="15"/>
    </row>
    <row r="297" spans="1:15" ht="19.8" x14ac:dyDescent="0.5">
      <c r="A297" s="58"/>
      <c r="B297" s="15"/>
      <c r="C297" s="15"/>
      <c r="D297" s="15"/>
      <c r="E297" s="15"/>
      <c r="F297" s="15"/>
      <c r="G297" s="15"/>
      <c r="H297" s="15"/>
      <c r="I297" s="15"/>
      <c r="J297" s="15"/>
      <c r="K297" s="15"/>
      <c r="L297" s="15"/>
      <c r="M297" s="15"/>
      <c r="N297" s="15"/>
      <c r="O297" s="15"/>
    </row>
    <row r="298" spans="1:15" ht="19.8" x14ac:dyDescent="0.5">
      <c r="A298" s="58"/>
      <c r="B298" s="15"/>
      <c r="C298" s="15"/>
      <c r="D298" s="15"/>
      <c r="E298" s="15"/>
      <c r="F298" s="15"/>
      <c r="G298" s="15"/>
      <c r="H298" s="15"/>
      <c r="I298" s="15"/>
      <c r="J298" s="15"/>
      <c r="K298" s="15"/>
      <c r="L298" s="15"/>
      <c r="M298" s="15"/>
      <c r="N298" s="15"/>
      <c r="O298" s="15"/>
    </row>
    <row r="299" spans="1:15" ht="19.8" x14ac:dyDescent="0.5">
      <c r="A299" s="58"/>
      <c r="B299" s="15"/>
      <c r="C299" s="15"/>
      <c r="D299" s="15"/>
      <c r="E299" s="15"/>
      <c r="F299" s="15"/>
      <c r="G299" s="15"/>
      <c r="H299" s="15"/>
      <c r="I299" s="15"/>
      <c r="J299" s="15"/>
      <c r="K299" s="15"/>
      <c r="L299" s="15"/>
      <c r="M299" s="15"/>
      <c r="N299" s="15"/>
      <c r="O299" s="15"/>
    </row>
    <row r="300" spans="1:15" ht="19.8" x14ac:dyDescent="0.5">
      <c r="A300" s="58"/>
      <c r="B300" s="15"/>
      <c r="C300" s="15"/>
      <c r="D300" s="15"/>
      <c r="E300" s="15"/>
      <c r="F300" s="15"/>
      <c r="G300" s="15"/>
      <c r="H300" s="15"/>
      <c r="I300" s="15"/>
      <c r="J300" s="15"/>
      <c r="K300" s="15"/>
      <c r="L300" s="15"/>
      <c r="M300" s="15"/>
      <c r="N300" s="15"/>
      <c r="O300" s="15"/>
    </row>
    <row r="301" spans="1:15" ht="19.8" x14ac:dyDescent="0.5">
      <c r="A301" s="58"/>
      <c r="B301" s="15"/>
      <c r="C301" s="15"/>
      <c r="D301" s="15"/>
      <c r="E301" s="15"/>
      <c r="F301" s="15"/>
      <c r="G301" s="15"/>
      <c r="H301" s="15"/>
      <c r="I301" s="15"/>
      <c r="J301" s="15"/>
      <c r="K301" s="15"/>
      <c r="L301" s="15"/>
      <c r="M301" s="15"/>
      <c r="N301" s="15"/>
      <c r="O301" s="15"/>
    </row>
    <row r="302" spans="1:15" ht="19.8" x14ac:dyDescent="0.5">
      <c r="A302" s="58"/>
      <c r="B302" s="15"/>
      <c r="C302" s="15"/>
      <c r="D302" s="15"/>
      <c r="E302" s="15"/>
      <c r="F302" s="15"/>
      <c r="G302" s="15"/>
      <c r="H302" s="15"/>
      <c r="I302" s="15"/>
      <c r="J302" s="15"/>
      <c r="K302" s="15"/>
      <c r="L302" s="15"/>
      <c r="M302" s="15"/>
      <c r="N302" s="15"/>
      <c r="O302" s="15"/>
    </row>
    <row r="303" spans="1:15" ht="19.8" x14ac:dyDescent="0.5">
      <c r="A303" s="58"/>
      <c r="B303" s="15"/>
      <c r="C303" s="15"/>
      <c r="D303" s="15"/>
      <c r="E303" s="15"/>
      <c r="F303" s="15"/>
      <c r="G303" s="15"/>
      <c r="H303" s="15"/>
      <c r="I303" s="15"/>
      <c r="J303" s="15"/>
      <c r="K303" s="15"/>
      <c r="L303" s="15"/>
      <c r="M303" s="15"/>
      <c r="N303" s="15"/>
      <c r="O303" s="15"/>
    </row>
    <row r="304" spans="1:15" ht="19.8" x14ac:dyDescent="0.5">
      <c r="A304" s="58"/>
      <c r="B304" s="15"/>
      <c r="C304" s="15"/>
      <c r="D304" s="15"/>
      <c r="E304" s="15"/>
      <c r="F304" s="15"/>
      <c r="G304" s="15"/>
      <c r="H304" s="15"/>
      <c r="I304" s="15"/>
      <c r="J304" s="15"/>
      <c r="K304" s="15"/>
      <c r="L304" s="15"/>
      <c r="M304" s="15"/>
      <c r="N304" s="15"/>
      <c r="O304" s="15"/>
    </row>
    <row r="305" spans="1:15" ht="19.8" x14ac:dyDescent="0.5">
      <c r="A305" s="58"/>
      <c r="B305" s="15"/>
      <c r="C305" s="15"/>
      <c r="D305" s="15"/>
      <c r="E305" s="15"/>
      <c r="F305" s="15"/>
      <c r="G305" s="15"/>
      <c r="H305" s="15"/>
      <c r="I305" s="15"/>
      <c r="J305" s="15"/>
      <c r="K305" s="15"/>
      <c r="L305" s="15"/>
      <c r="M305" s="15"/>
      <c r="N305" s="15"/>
      <c r="O305" s="15"/>
    </row>
    <row r="306" spans="1:15" ht="19.8" x14ac:dyDescent="0.5">
      <c r="A306" s="58"/>
      <c r="B306" s="15"/>
      <c r="C306" s="15"/>
      <c r="D306" s="15"/>
      <c r="E306" s="15"/>
      <c r="F306" s="15"/>
      <c r="G306" s="15"/>
      <c r="H306" s="15"/>
      <c r="I306" s="15"/>
      <c r="J306" s="15"/>
      <c r="K306" s="15"/>
      <c r="L306" s="15"/>
      <c r="M306" s="15"/>
      <c r="N306" s="15"/>
      <c r="O306" s="15"/>
    </row>
    <row r="307" spans="1:15" ht="19.8" x14ac:dyDescent="0.5">
      <c r="A307" s="58"/>
      <c r="B307" s="15"/>
      <c r="C307" s="15"/>
      <c r="D307" s="15"/>
      <c r="E307" s="15"/>
      <c r="F307" s="15"/>
      <c r="G307" s="15"/>
      <c r="H307" s="15"/>
      <c r="I307" s="15"/>
      <c r="J307" s="15"/>
      <c r="K307" s="15"/>
      <c r="L307" s="15"/>
      <c r="M307" s="15"/>
      <c r="N307" s="15"/>
      <c r="O307" s="15"/>
    </row>
    <row r="308" spans="1:15" ht="19.8" x14ac:dyDescent="0.5">
      <c r="A308" s="58"/>
      <c r="B308" s="15"/>
      <c r="C308" s="15"/>
      <c r="D308" s="15"/>
      <c r="E308" s="15"/>
      <c r="F308" s="15"/>
      <c r="G308" s="15"/>
      <c r="H308" s="15"/>
      <c r="I308" s="15"/>
      <c r="J308" s="15"/>
      <c r="K308" s="15"/>
      <c r="L308" s="15"/>
      <c r="M308" s="15"/>
      <c r="N308" s="15"/>
      <c r="O308" s="15"/>
    </row>
    <row r="309" spans="1:15" ht="19.8" x14ac:dyDescent="0.5">
      <c r="A309" s="58"/>
      <c r="B309" s="15"/>
      <c r="C309" s="15"/>
      <c r="D309" s="15"/>
      <c r="E309" s="15"/>
      <c r="F309" s="15"/>
      <c r="G309" s="15"/>
      <c r="H309" s="15"/>
      <c r="I309" s="15"/>
      <c r="J309" s="15"/>
      <c r="K309" s="15"/>
      <c r="L309" s="15"/>
      <c r="M309" s="15"/>
      <c r="N309" s="15"/>
      <c r="O309" s="15"/>
    </row>
    <row r="310" spans="1:15" ht="19.8" x14ac:dyDescent="0.5">
      <c r="A310" s="58"/>
      <c r="B310" s="15"/>
      <c r="C310" s="15"/>
      <c r="D310" s="15"/>
      <c r="E310" s="15"/>
      <c r="F310" s="15"/>
      <c r="G310" s="15"/>
      <c r="H310" s="15"/>
      <c r="I310" s="15"/>
      <c r="J310" s="15"/>
      <c r="K310" s="15"/>
      <c r="L310" s="15"/>
      <c r="M310" s="15"/>
      <c r="N310" s="15"/>
      <c r="O310" s="15"/>
    </row>
    <row r="311" spans="1:15" ht="19.8" x14ac:dyDescent="0.5">
      <c r="A311" s="58"/>
      <c r="B311" s="15"/>
      <c r="C311" s="15"/>
      <c r="D311" s="15"/>
      <c r="E311" s="15"/>
      <c r="F311" s="15"/>
      <c r="G311" s="15"/>
      <c r="H311" s="15"/>
      <c r="I311" s="15"/>
      <c r="J311" s="15"/>
      <c r="K311" s="15"/>
      <c r="L311" s="15"/>
      <c r="M311" s="15"/>
      <c r="N311" s="15"/>
      <c r="O311" s="15"/>
    </row>
    <row r="312" spans="1:15" ht="19.8" x14ac:dyDescent="0.5">
      <c r="A312" s="58"/>
      <c r="B312" s="15"/>
      <c r="C312" s="15"/>
      <c r="D312" s="15"/>
      <c r="E312" s="15"/>
      <c r="F312" s="15"/>
      <c r="G312" s="15"/>
      <c r="H312" s="15"/>
      <c r="I312" s="15"/>
      <c r="J312" s="15"/>
      <c r="K312" s="15"/>
      <c r="L312" s="15"/>
      <c r="M312" s="15"/>
      <c r="N312" s="15"/>
      <c r="O312" s="15"/>
    </row>
    <row r="313" spans="1:15" ht="19.8" x14ac:dyDescent="0.5">
      <c r="A313" s="58"/>
      <c r="B313" s="15"/>
      <c r="C313" s="15"/>
      <c r="D313" s="15"/>
      <c r="E313" s="15"/>
      <c r="F313" s="15"/>
      <c r="G313" s="15"/>
      <c r="H313" s="15"/>
      <c r="I313" s="15"/>
      <c r="J313" s="15"/>
      <c r="K313" s="15"/>
      <c r="L313" s="15"/>
      <c r="M313" s="15"/>
      <c r="N313" s="15"/>
      <c r="O313" s="15"/>
    </row>
    <row r="314" spans="1:15" ht="19.8" x14ac:dyDescent="0.5">
      <c r="A314" s="58"/>
      <c r="B314" s="15"/>
      <c r="C314" s="15"/>
      <c r="D314" s="15"/>
      <c r="E314" s="15"/>
      <c r="F314" s="15"/>
      <c r="G314" s="15"/>
      <c r="H314" s="15"/>
      <c r="I314" s="15"/>
      <c r="J314" s="15"/>
      <c r="K314" s="15"/>
      <c r="L314" s="15"/>
      <c r="M314" s="15"/>
      <c r="N314" s="15"/>
      <c r="O314" s="15"/>
    </row>
    <row r="315" spans="1:15" ht="19.8" x14ac:dyDescent="0.5">
      <c r="A315" s="58"/>
      <c r="B315" s="15"/>
      <c r="C315" s="15"/>
      <c r="D315" s="15"/>
      <c r="E315" s="15"/>
      <c r="F315" s="15"/>
      <c r="G315" s="15"/>
      <c r="H315" s="15"/>
      <c r="I315" s="15"/>
      <c r="J315" s="15"/>
      <c r="K315" s="15"/>
      <c r="L315" s="15"/>
      <c r="M315" s="15"/>
      <c r="N315" s="15"/>
      <c r="O315" s="15"/>
    </row>
    <row r="316" spans="1:15" ht="19.8" x14ac:dyDescent="0.5">
      <c r="A316" s="58"/>
      <c r="B316" s="15"/>
      <c r="C316" s="15"/>
      <c r="D316" s="15"/>
      <c r="E316" s="15"/>
      <c r="F316" s="15"/>
      <c r="G316" s="15"/>
      <c r="H316" s="15"/>
      <c r="I316" s="15"/>
      <c r="J316" s="15"/>
      <c r="K316" s="15"/>
      <c r="L316" s="15"/>
      <c r="M316" s="15"/>
      <c r="N316" s="15"/>
      <c r="O316" s="15"/>
    </row>
    <row r="317" spans="1:15" ht="19.8" x14ac:dyDescent="0.5">
      <c r="A317" s="58"/>
      <c r="B317" s="15"/>
      <c r="C317" s="15"/>
      <c r="D317" s="15"/>
      <c r="E317" s="15"/>
      <c r="F317" s="15"/>
      <c r="G317" s="15"/>
      <c r="H317" s="15"/>
      <c r="I317" s="15"/>
      <c r="J317" s="15"/>
      <c r="K317" s="15"/>
      <c r="L317" s="15"/>
      <c r="M317" s="15"/>
      <c r="N317" s="15"/>
      <c r="O317" s="15"/>
    </row>
    <row r="318" spans="1:15" ht="19.8" x14ac:dyDescent="0.5">
      <c r="A318" s="58"/>
      <c r="B318" s="15"/>
      <c r="C318" s="15"/>
      <c r="D318" s="15"/>
      <c r="E318" s="15"/>
      <c r="F318" s="15"/>
      <c r="G318" s="15"/>
      <c r="H318" s="15"/>
      <c r="I318" s="15"/>
      <c r="J318" s="15"/>
      <c r="K318" s="15"/>
      <c r="L318" s="15"/>
      <c r="M318" s="15"/>
      <c r="N318" s="15"/>
      <c r="O318" s="15"/>
    </row>
    <row r="319" spans="1:15" ht="19.8" x14ac:dyDescent="0.5">
      <c r="A319" s="58"/>
      <c r="B319" s="15"/>
      <c r="C319" s="15"/>
      <c r="D319" s="15"/>
      <c r="E319" s="15"/>
      <c r="F319" s="15"/>
      <c r="G319" s="15"/>
      <c r="H319" s="15"/>
      <c r="I319" s="15"/>
      <c r="J319" s="15"/>
      <c r="K319" s="15"/>
      <c r="L319" s="15"/>
      <c r="M319" s="15"/>
      <c r="N319" s="15"/>
      <c r="O319" s="15"/>
    </row>
    <row r="320" spans="1:15" ht="19.8" x14ac:dyDescent="0.5">
      <c r="A320" s="58"/>
      <c r="B320" s="15"/>
      <c r="C320" s="15"/>
      <c r="D320" s="15"/>
      <c r="E320" s="15"/>
      <c r="F320" s="15"/>
      <c r="G320" s="15"/>
      <c r="H320" s="15"/>
      <c r="I320" s="15"/>
      <c r="J320" s="15"/>
      <c r="K320" s="15"/>
      <c r="L320" s="15"/>
      <c r="M320" s="15"/>
      <c r="N320" s="15"/>
      <c r="O320" s="15"/>
    </row>
    <row r="321" spans="1:15" ht="19.8" x14ac:dyDescent="0.5">
      <c r="A321" s="58"/>
      <c r="B321" s="15"/>
      <c r="C321" s="15"/>
      <c r="D321" s="15"/>
      <c r="E321" s="15"/>
      <c r="F321" s="15"/>
      <c r="G321" s="15"/>
      <c r="H321" s="15"/>
      <c r="I321" s="15"/>
      <c r="J321" s="15"/>
      <c r="K321" s="15"/>
      <c r="L321" s="15"/>
      <c r="M321" s="15"/>
      <c r="N321" s="15"/>
      <c r="O321" s="15"/>
    </row>
    <row r="322" spans="1:15" ht="19.8" x14ac:dyDescent="0.5">
      <c r="A322" s="58"/>
      <c r="B322" s="15"/>
      <c r="C322" s="15"/>
      <c r="D322" s="15"/>
      <c r="E322" s="15"/>
      <c r="F322" s="15"/>
      <c r="G322" s="15"/>
      <c r="H322" s="15"/>
      <c r="I322" s="15"/>
      <c r="J322" s="15"/>
      <c r="K322" s="15"/>
      <c r="L322" s="15"/>
      <c r="M322" s="15"/>
      <c r="N322" s="15"/>
      <c r="O322" s="15"/>
    </row>
    <row r="323" spans="1:15" ht="19.8" x14ac:dyDescent="0.5">
      <c r="A323" s="58"/>
      <c r="B323" s="15"/>
      <c r="C323" s="15"/>
      <c r="D323" s="15"/>
      <c r="E323" s="15"/>
      <c r="F323" s="15"/>
      <c r="G323" s="15"/>
      <c r="H323" s="15"/>
      <c r="I323" s="15"/>
      <c r="J323" s="15"/>
      <c r="K323" s="15"/>
      <c r="L323" s="15"/>
      <c r="M323" s="15"/>
      <c r="N323" s="15"/>
      <c r="O323" s="15"/>
    </row>
    <row r="324" spans="1:15" ht="19.8" x14ac:dyDescent="0.5">
      <c r="A324" s="58"/>
      <c r="B324" s="15"/>
      <c r="C324" s="15"/>
      <c r="D324" s="15"/>
      <c r="E324" s="15"/>
      <c r="F324" s="15"/>
      <c r="G324" s="15"/>
      <c r="H324" s="15"/>
      <c r="I324" s="15"/>
      <c r="J324" s="15"/>
      <c r="K324" s="15"/>
      <c r="L324" s="15"/>
      <c r="M324" s="15"/>
      <c r="N324" s="15"/>
      <c r="O324" s="15"/>
    </row>
    <row r="325" spans="1:15" ht="19.8" x14ac:dyDescent="0.5">
      <c r="A325" s="58"/>
      <c r="B325" s="15"/>
      <c r="C325" s="15"/>
      <c r="D325" s="15"/>
      <c r="E325" s="15"/>
      <c r="F325" s="15"/>
      <c r="G325" s="15"/>
      <c r="H325" s="15"/>
      <c r="I325" s="15"/>
      <c r="J325" s="15"/>
      <c r="K325" s="15"/>
      <c r="L325" s="15"/>
      <c r="M325" s="15"/>
      <c r="N325" s="15"/>
      <c r="O325" s="15"/>
    </row>
    <row r="326" spans="1:15" ht="19.8" x14ac:dyDescent="0.5">
      <c r="A326" s="58"/>
      <c r="B326" s="15"/>
      <c r="C326" s="15"/>
      <c r="D326" s="15"/>
      <c r="E326" s="15"/>
      <c r="F326" s="15"/>
      <c r="G326" s="15"/>
      <c r="H326" s="15"/>
      <c r="I326" s="15"/>
      <c r="J326" s="15"/>
      <c r="K326" s="15"/>
      <c r="L326" s="15"/>
      <c r="M326" s="15"/>
      <c r="N326" s="15"/>
      <c r="O326" s="15"/>
    </row>
    <row r="327" spans="1:15" ht="19.8" x14ac:dyDescent="0.5">
      <c r="A327" s="58"/>
      <c r="B327" s="15"/>
      <c r="C327" s="15"/>
      <c r="D327" s="15"/>
      <c r="E327" s="15"/>
      <c r="F327" s="15"/>
      <c r="G327" s="15"/>
      <c r="H327" s="15"/>
      <c r="I327" s="15"/>
      <c r="J327" s="15"/>
      <c r="K327" s="15"/>
      <c r="L327" s="15"/>
      <c r="M327" s="15"/>
      <c r="N327" s="15"/>
      <c r="O327" s="15"/>
    </row>
    <row r="328" spans="1:15" ht="19.8" x14ac:dyDescent="0.5">
      <c r="A328" s="58"/>
      <c r="B328" s="15"/>
      <c r="C328" s="15"/>
      <c r="D328" s="15"/>
      <c r="E328" s="15"/>
      <c r="F328" s="15"/>
      <c r="G328" s="15"/>
      <c r="H328" s="15"/>
      <c r="I328" s="15"/>
      <c r="J328" s="15"/>
      <c r="K328" s="15"/>
      <c r="L328" s="15"/>
      <c r="M328" s="15"/>
      <c r="N328" s="15"/>
      <c r="O328" s="15"/>
    </row>
    <row r="329" spans="1:15" ht="19.8" x14ac:dyDescent="0.5">
      <c r="A329" s="58"/>
      <c r="B329" s="15"/>
      <c r="C329" s="15"/>
      <c r="D329" s="15"/>
      <c r="E329" s="15"/>
      <c r="F329" s="15"/>
      <c r="G329" s="15"/>
      <c r="H329" s="15"/>
      <c r="I329" s="15"/>
      <c r="J329" s="15"/>
      <c r="K329" s="15"/>
      <c r="L329" s="15"/>
      <c r="M329" s="15"/>
      <c r="N329" s="15"/>
      <c r="O329" s="15"/>
    </row>
    <row r="330" spans="1:15" ht="19.8" x14ac:dyDescent="0.5">
      <c r="A330" s="58"/>
      <c r="B330" s="15"/>
      <c r="C330" s="15"/>
      <c r="D330" s="15"/>
      <c r="E330" s="15"/>
      <c r="F330" s="15"/>
      <c r="G330" s="15"/>
      <c r="H330" s="15"/>
      <c r="I330" s="15"/>
      <c r="J330" s="15"/>
      <c r="K330" s="15"/>
      <c r="L330" s="15"/>
      <c r="M330" s="15"/>
      <c r="N330" s="15"/>
      <c r="O330" s="15"/>
    </row>
    <row r="331" spans="1:15" ht="19.8" x14ac:dyDescent="0.5">
      <c r="A331" s="58"/>
      <c r="B331" s="15"/>
      <c r="C331" s="15"/>
      <c r="D331" s="15"/>
      <c r="E331" s="15"/>
      <c r="F331" s="15"/>
      <c r="G331" s="15"/>
      <c r="H331" s="15"/>
      <c r="I331" s="15"/>
      <c r="J331" s="15"/>
      <c r="K331" s="15"/>
      <c r="L331" s="15"/>
      <c r="M331" s="15"/>
      <c r="N331" s="15"/>
      <c r="O331" s="15"/>
    </row>
    <row r="332" spans="1:15" ht="19.8" x14ac:dyDescent="0.5">
      <c r="A332" s="58"/>
      <c r="B332" s="15"/>
      <c r="C332" s="15"/>
      <c r="D332" s="15"/>
      <c r="E332" s="15"/>
      <c r="F332" s="15"/>
      <c r="G332" s="15"/>
      <c r="H332" s="15"/>
      <c r="I332" s="15"/>
      <c r="J332" s="15"/>
      <c r="K332" s="15"/>
      <c r="L332" s="15"/>
      <c r="M332" s="15"/>
      <c r="N332" s="15"/>
      <c r="O332" s="15"/>
    </row>
    <row r="333" spans="1:15" ht="19.8" x14ac:dyDescent="0.5">
      <c r="A333" s="58"/>
      <c r="B333" s="15"/>
      <c r="C333" s="15"/>
      <c r="D333" s="15"/>
      <c r="E333" s="15"/>
      <c r="F333" s="15"/>
      <c r="G333" s="15"/>
      <c r="H333" s="15"/>
      <c r="I333" s="15"/>
      <c r="J333" s="15"/>
      <c r="K333" s="15"/>
      <c r="L333" s="15"/>
      <c r="M333" s="15"/>
      <c r="N333" s="15"/>
      <c r="O333" s="15"/>
    </row>
    <row r="334" spans="1:15" ht="19.8" x14ac:dyDescent="0.5">
      <c r="A334" s="58"/>
      <c r="B334" s="15"/>
      <c r="C334" s="15"/>
      <c r="D334" s="15"/>
      <c r="E334" s="15"/>
      <c r="F334" s="15"/>
      <c r="G334" s="15"/>
      <c r="H334" s="15"/>
      <c r="I334" s="15"/>
      <c r="J334" s="15"/>
      <c r="K334" s="15"/>
      <c r="L334" s="15"/>
      <c r="M334" s="15"/>
      <c r="N334" s="15"/>
      <c r="O334" s="15"/>
    </row>
    <row r="335" spans="1:15" ht="19.8" x14ac:dyDescent="0.5">
      <c r="A335" s="58"/>
      <c r="B335" s="15"/>
      <c r="C335" s="15"/>
      <c r="D335" s="15"/>
      <c r="E335" s="15"/>
      <c r="F335" s="15"/>
      <c r="G335" s="15"/>
      <c r="H335" s="15"/>
      <c r="I335" s="15"/>
      <c r="J335" s="15"/>
      <c r="K335" s="15"/>
      <c r="L335" s="15"/>
      <c r="M335" s="15"/>
      <c r="N335" s="15"/>
      <c r="O335" s="15"/>
    </row>
    <row r="336" spans="1:15" ht="19.8" x14ac:dyDescent="0.5">
      <c r="A336" s="58"/>
      <c r="B336" s="15"/>
      <c r="C336" s="15"/>
      <c r="D336" s="15"/>
      <c r="E336" s="15"/>
      <c r="F336" s="15"/>
      <c r="G336" s="15"/>
      <c r="H336" s="15"/>
      <c r="I336" s="15"/>
      <c r="J336" s="15"/>
      <c r="K336" s="15"/>
      <c r="L336" s="15"/>
      <c r="M336" s="15"/>
      <c r="N336" s="15"/>
      <c r="O336" s="15"/>
    </row>
    <row r="337" spans="1:15" ht="19.8" x14ac:dyDescent="0.5">
      <c r="A337" s="58"/>
      <c r="B337" s="15"/>
      <c r="C337" s="15"/>
      <c r="D337" s="15"/>
      <c r="E337" s="15"/>
      <c r="F337" s="15"/>
      <c r="G337" s="15"/>
      <c r="H337" s="15"/>
      <c r="I337" s="15"/>
      <c r="J337" s="15"/>
      <c r="K337" s="15"/>
      <c r="L337" s="15"/>
      <c r="M337" s="15"/>
      <c r="N337" s="15"/>
      <c r="O337" s="15"/>
    </row>
    <row r="338" spans="1:15" ht="19.8" x14ac:dyDescent="0.5">
      <c r="A338" s="58"/>
      <c r="B338" s="15"/>
      <c r="C338" s="15"/>
      <c r="D338" s="15"/>
      <c r="E338" s="15"/>
      <c r="F338" s="15"/>
      <c r="G338" s="15"/>
      <c r="H338" s="15"/>
      <c r="I338" s="15"/>
      <c r="J338" s="15"/>
      <c r="K338" s="15"/>
      <c r="L338" s="15"/>
      <c r="M338" s="15"/>
      <c r="N338" s="15"/>
      <c r="O338" s="15"/>
    </row>
    <row r="339" spans="1:15" ht="19.8" x14ac:dyDescent="0.5">
      <c r="A339" s="58"/>
      <c r="B339" s="15"/>
      <c r="C339" s="15"/>
      <c r="D339" s="15"/>
      <c r="E339" s="15"/>
      <c r="F339" s="15"/>
      <c r="G339" s="15"/>
      <c r="H339" s="15"/>
      <c r="I339" s="15"/>
      <c r="J339" s="15"/>
      <c r="K339" s="15"/>
      <c r="L339" s="15"/>
      <c r="M339" s="15"/>
      <c r="N339" s="15"/>
      <c r="O339" s="15"/>
    </row>
    <row r="340" spans="1:15" ht="19.8" x14ac:dyDescent="0.5">
      <c r="A340" s="58"/>
      <c r="B340" s="15"/>
      <c r="C340" s="15"/>
      <c r="D340" s="15"/>
      <c r="E340" s="15"/>
      <c r="F340" s="15"/>
      <c r="G340" s="15"/>
      <c r="H340" s="15"/>
      <c r="I340" s="15"/>
      <c r="J340" s="15"/>
      <c r="K340" s="15"/>
      <c r="L340" s="15"/>
      <c r="M340" s="15"/>
      <c r="N340" s="15"/>
      <c r="O340" s="15"/>
    </row>
    <row r="341" spans="1:15" ht="19.8" x14ac:dyDescent="0.5">
      <c r="A341" s="58"/>
      <c r="B341" s="15"/>
      <c r="C341" s="15"/>
      <c r="D341" s="15"/>
      <c r="E341" s="15"/>
      <c r="F341" s="15"/>
      <c r="G341" s="15"/>
      <c r="H341" s="15"/>
      <c r="I341" s="15"/>
      <c r="J341" s="15"/>
      <c r="K341" s="15"/>
      <c r="L341" s="15"/>
      <c r="M341" s="15"/>
      <c r="N341" s="15"/>
      <c r="O341" s="15"/>
    </row>
    <row r="342" spans="1:15" ht="19.8" x14ac:dyDescent="0.5">
      <c r="A342" s="58"/>
      <c r="B342" s="15"/>
      <c r="C342" s="15"/>
      <c r="D342" s="15"/>
      <c r="E342" s="15"/>
      <c r="F342" s="15"/>
      <c r="G342" s="15"/>
      <c r="H342" s="15"/>
      <c r="I342" s="15"/>
      <c r="J342" s="15"/>
      <c r="K342" s="15"/>
      <c r="L342" s="15"/>
      <c r="M342" s="15"/>
      <c r="N342" s="15"/>
      <c r="O342" s="15"/>
    </row>
    <row r="343" spans="1:15" ht="19.8" x14ac:dyDescent="0.5">
      <c r="A343" s="58"/>
      <c r="B343" s="15"/>
      <c r="C343" s="15"/>
      <c r="D343" s="15"/>
      <c r="E343" s="15"/>
      <c r="F343" s="15"/>
      <c r="G343" s="15"/>
      <c r="H343" s="15"/>
      <c r="I343" s="15"/>
      <c r="J343" s="15"/>
      <c r="K343" s="15"/>
      <c r="L343" s="15"/>
      <c r="M343" s="15"/>
      <c r="N343" s="15"/>
      <c r="O343" s="15"/>
    </row>
    <row r="344" spans="1:15" ht="19.8" x14ac:dyDescent="0.5">
      <c r="A344" s="58"/>
      <c r="B344" s="15"/>
      <c r="C344" s="15"/>
      <c r="D344" s="15"/>
      <c r="E344" s="15"/>
      <c r="F344" s="15"/>
      <c r="G344" s="15"/>
      <c r="H344" s="15"/>
      <c r="I344" s="15"/>
      <c r="J344" s="15"/>
      <c r="K344" s="15"/>
      <c r="L344" s="15"/>
      <c r="M344" s="15"/>
      <c r="N344" s="15"/>
      <c r="O344" s="15"/>
    </row>
    <row r="345" spans="1:15" ht="19.8" x14ac:dyDescent="0.5">
      <c r="A345" s="58"/>
      <c r="B345" s="15"/>
      <c r="C345" s="15"/>
      <c r="D345" s="15"/>
      <c r="E345" s="15"/>
      <c r="F345" s="15"/>
      <c r="G345" s="15"/>
      <c r="H345" s="15"/>
      <c r="I345" s="15"/>
      <c r="J345" s="15"/>
      <c r="K345" s="15"/>
      <c r="L345" s="15"/>
      <c r="M345" s="15"/>
      <c r="N345" s="15"/>
      <c r="O345" s="15"/>
    </row>
    <row r="346" spans="1:15" ht="19.8" x14ac:dyDescent="0.5">
      <c r="A346" s="58"/>
      <c r="B346" s="15"/>
      <c r="C346" s="15"/>
      <c r="D346" s="15"/>
      <c r="E346" s="15"/>
      <c r="F346" s="15"/>
      <c r="G346" s="15"/>
      <c r="H346" s="15"/>
      <c r="I346" s="15"/>
      <c r="J346" s="15"/>
      <c r="K346" s="15"/>
      <c r="L346" s="15"/>
      <c r="M346" s="15"/>
      <c r="N346" s="15"/>
      <c r="O346" s="15"/>
    </row>
    <row r="347" spans="1:15" ht="19.8" x14ac:dyDescent="0.5">
      <c r="A347" s="58"/>
      <c r="B347" s="15"/>
      <c r="C347" s="15"/>
      <c r="D347" s="15"/>
      <c r="E347" s="15"/>
      <c r="F347" s="15"/>
      <c r="G347" s="15"/>
      <c r="H347" s="15"/>
      <c r="I347" s="15"/>
      <c r="J347" s="15"/>
      <c r="K347" s="15"/>
      <c r="L347" s="15"/>
      <c r="M347" s="15"/>
      <c r="N347" s="15"/>
      <c r="O347" s="15"/>
    </row>
    <row r="348" spans="1:15" ht="19.8" x14ac:dyDescent="0.5">
      <c r="A348" s="58"/>
      <c r="B348" s="15"/>
      <c r="C348" s="15"/>
      <c r="D348" s="15"/>
      <c r="E348" s="15"/>
      <c r="F348" s="15"/>
      <c r="G348" s="15"/>
      <c r="H348" s="15"/>
      <c r="I348" s="15"/>
      <c r="J348" s="15"/>
      <c r="K348" s="15"/>
      <c r="L348" s="15"/>
      <c r="M348" s="15"/>
      <c r="N348" s="15"/>
      <c r="O348" s="15"/>
    </row>
    <row r="349" spans="1:15" ht="19.8" x14ac:dyDescent="0.5">
      <c r="A349" s="58"/>
      <c r="B349" s="15"/>
      <c r="C349" s="15"/>
      <c r="D349" s="15"/>
      <c r="E349" s="15"/>
      <c r="F349" s="15"/>
      <c r="G349" s="15"/>
      <c r="H349" s="15"/>
      <c r="I349" s="15"/>
      <c r="J349" s="15"/>
      <c r="K349" s="15"/>
      <c r="L349" s="15"/>
      <c r="M349" s="15"/>
      <c r="N349" s="15"/>
      <c r="O349" s="15"/>
    </row>
    <row r="350" spans="1:15" ht="19.8" x14ac:dyDescent="0.5">
      <c r="A350" s="58"/>
      <c r="B350" s="15"/>
      <c r="C350" s="15"/>
      <c r="D350" s="15"/>
      <c r="E350" s="15"/>
      <c r="F350" s="15"/>
      <c r="G350" s="15"/>
      <c r="H350" s="15"/>
      <c r="I350" s="15"/>
      <c r="J350" s="15"/>
      <c r="K350" s="15"/>
      <c r="L350" s="15"/>
      <c r="M350" s="15"/>
      <c r="N350" s="15"/>
      <c r="O350" s="15"/>
    </row>
    <row r="351" spans="1:15" ht="19.8" x14ac:dyDescent="0.5">
      <c r="A351" s="58"/>
      <c r="B351" s="15"/>
      <c r="C351" s="15"/>
      <c r="D351" s="15"/>
      <c r="E351" s="15"/>
      <c r="F351" s="15"/>
      <c r="G351" s="15"/>
      <c r="H351" s="15"/>
      <c r="I351" s="15"/>
      <c r="J351" s="15"/>
      <c r="K351" s="15"/>
      <c r="L351" s="15"/>
      <c r="M351" s="15"/>
      <c r="N351" s="15"/>
      <c r="O351" s="15"/>
    </row>
    <row r="352" spans="1:15" ht="19.8" x14ac:dyDescent="0.5">
      <c r="A352" s="58"/>
      <c r="B352" s="15"/>
      <c r="C352" s="15"/>
      <c r="D352" s="15"/>
      <c r="E352" s="15"/>
      <c r="F352" s="15"/>
      <c r="G352" s="15"/>
      <c r="H352" s="15"/>
      <c r="I352" s="15"/>
      <c r="J352" s="15"/>
      <c r="K352" s="15"/>
      <c r="L352" s="15"/>
      <c r="M352" s="15"/>
      <c r="N352" s="15"/>
      <c r="O352" s="15"/>
    </row>
    <row r="353" spans="1:15" ht="19.8" x14ac:dyDescent="0.5">
      <c r="A353" s="58"/>
      <c r="B353" s="15"/>
      <c r="C353" s="15"/>
      <c r="D353" s="15"/>
      <c r="E353" s="15"/>
      <c r="F353" s="15"/>
      <c r="G353" s="15"/>
      <c r="H353" s="15"/>
      <c r="I353" s="15"/>
      <c r="J353" s="15"/>
      <c r="K353" s="15"/>
      <c r="L353" s="15"/>
      <c r="M353" s="15"/>
      <c r="N353" s="15"/>
      <c r="O353" s="15"/>
    </row>
    <row r="354" spans="1:15" ht="19.8" x14ac:dyDescent="0.5">
      <c r="A354" s="58"/>
      <c r="B354" s="15"/>
      <c r="C354" s="15"/>
      <c r="D354" s="15"/>
      <c r="E354" s="15"/>
      <c r="F354" s="15"/>
      <c r="G354" s="15"/>
      <c r="H354" s="15"/>
      <c r="I354" s="15"/>
      <c r="J354" s="15"/>
      <c r="K354" s="15"/>
      <c r="L354" s="15"/>
      <c r="M354" s="15"/>
      <c r="N354" s="15"/>
      <c r="O354" s="15"/>
    </row>
    <row r="355" spans="1:15" ht="19.8" x14ac:dyDescent="0.5">
      <c r="A355" s="58"/>
      <c r="B355" s="15"/>
      <c r="C355" s="15"/>
      <c r="D355" s="15"/>
      <c r="E355" s="15"/>
      <c r="F355" s="15"/>
      <c r="G355" s="15"/>
      <c r="H355" s="15"/>
      <c r="I355" s="15"/>
      <c r="J355" s="15"/>
      <c r="K355" s="15"/>
      <c r="L355" s="15"/>
      <c r="M355" s="15"/>
      <c r="N355" s="15"/>
      <c r="O355" s="15"/>
    </row>
    <row r="356" spans="1:15" ht="19.8" x14ac:dyDescent="0.5">
      <c r="A356" s="58"/>
      <c r="B356" s="15"/>
      <c r="C356" s="15"/>
      <c r="D356" s="15"/>
      <c r="E356" s="15"/>
      <c r="F356" s="15"/>
      <c r="G356" s="15"/>
      <c r="H356" s="15"/>
      <c r="I356" s="15"/>
      <c r="J356" s="15"/>
      <c r="K356" s="15"/>
      <c r="L356" s="15"/>
      <c r="M356" s="15"/>
      <c r="N356" s="15"/>
      <c r="O356" s="15"/>
    </row>
    <row r="357" spans="1:15" ht="19.8" x14ac:dyDescent="0.5">
      <c r="A357" s="58"/>
      <c r="B357" s="15"/>
      <c r="C357" s="15"/>
      <c r="D357" s="15"/>
      <c r="E357" s="15"/>
      <c r="F357" s="15"/>
      <c r="G357" s="15"/>
      <c r="H357" s="15"/>
      <c r="I357" s="15"/>
      <c r="J357" s="15"/>
      <c r="K357" s="15"/>
      <c r="L357" s="15"/>
      <c r="M357" s="15"/>
      <c r="N357" s="15"/>
      <c r="O357" s="15"/>
    </row>
    <row r="358" spans="1:15" ht="19.8" x14ac:dyDescent="0.5">
      <c r="A358" s="58"/>
      <c r="B358" s="15"/>
      <c r="C358" s="15"/>
      <c r="D358" s="15"/>
      <c r="E358" s="15"/>
      <c r="F358" s="15"/>
      <c r="G358" s="15"/>
      <c r="H358" s="15"/>
      <c r="I358" s="15"/>
      <c r="J358" s="15"/>
      <c r="K358" s="15"/>
      <c r="L358" s="15"/>
      <c r="M358" s="15"/>
      <c r="N358" s="15"/>
      <c r="O358" s="15"/>
    </row>
    <row r="359" spans="1:15" ht="19.8" x14ac:dyDescent="0.5">
      <c r="A359" s="58"/>
      <c r="B359" s="15"/>
      <c r="C359" s="15"/>
      <c r="D359" s="15"/>
      <c r="E359" s="15"/>
      <c r="F359" s="15"/>
      <c r="G359" s="15"/>
      <c r="H359" s="15"/>
      <c r="I359" s="15"/>
      <c r="J359" s="15"/>
      <c r="K359" s="15"/>
      <c r="L359" s="15"/>
      <c r="M359" s="15"/>
      <c r="N359" s="15"/>
      <c r="O359" s="15"/>
    </row>
    <row r="360" spans="1:15" ht="19.8" x14ac:dyDescent="0.5">
      <c r="A360" s="58"/>
      <c r="B360" s="15"/>
      <c r="C360" s="15"/>
      <c r="D360" s="15"/>
      <c r="E360" s="15"/>
      <c r="F360" s="15"/>
      <c r="G360" s="15"/>
      <c r="H360" s="15"/>
      <c r="I360" s="15"/>
      <c r="J360" s="15"/>
      <c r="K360" s="15"/>
      <c r="L360" s="15"/>
      <c r="M360" s="15"/>
      <c r="N360" s="15"/>
      <c r="O360" s="15"/>
    </row>
    <row r="361" spans="1:15" ht="19.8" x14ac:dyDescent="0.5">
      <c r="A361" s="58"/>
      <c r="B361" s="15"/>
      <c r="C361" s="15"/>
      <c r="D361" s="15"/>
      <c r="E361" s="15"/>
      <c r="F361" s="15"/>
      <c r="G361" s="15"/>
      <c r="H361" s="15"/>
      <c r="I361" s="15"/>
      <c r="J361" s="15"/>
      <c r="K361" s="15"/>
      <c r="L361" s="15"/>
      <c r="M361" s="15"/>
      <c r="N361" s="15"/>
      <c r="O361" s="15"/>
    </row>
    <row r="362" spans="1:15" ht="19.8" x14ac:dyDescent="0.5">
      <c r="A362" s="58"/>
      <c r="B362" s="15"/>
      <c r="C362" s="15"/>
      <c r="D362" s="15"/>
      <c r="E362" s="15"/>
      <c r="F362" s="15"/>
      <c r="G362" s="15"/>
      <c r="H362" s="15"/>
      <c r="I362" s="15"/>
      <c r="J362" s="15"/>
      <c r="K362" s="15"/>
      <c r="L362" s="15"/>
      <c r="M362" s="15"/>
      <c r="N362" s="15"/>
      <c r="O362" s="15"/>
    </row>
    <row r="363" spans="1:15" ht="19.8" x14ac:dyDescent="0.5">
      <c r="A363" s="58"/>
      <c r="B363" s="15"/>
      <c r="C363" s="15"/>
      <c r="D363" s="15"/>
      <c r="E363" s="15"/>
      <c r="F363" s="15"/>
      <c r="G363" s="15"/>
      <c r="H363" s="15"/>
      <c r="I363" s="15"/>
      <c r="J363" s="15"/>
      <c r="K363" s="15"/>
      <c r="L363" s="15"/>
      <c r="M363" s="15"/>
      <c r="N363" s="15"/>
      <c r="O363" s="15"/>
    </row>
    <row r="364" spans="1:15" ht="19.8" x14ac:dyDescent="0.5">
      <c r="A364" s="58"/>
      <c r="B364" s="15"/>
      <c r="C364" s="15"/>
      <c r="D364" s="15"/>
      <c r="E364" s="15"/>
      <c r="F364" s="15"/>
      <c r="G364" s="15"/>
      <c r="H364" s="15"/>
      <c r="I364" s="15"/>
      <c r="J364" s="15"/>
      <c r="K364" s="15"/>
      <c r="L364" s="15"/>
      <c r="M364" s="15"/>
      <c r="N364" s="15"/>
      <c r="O364" s="15"/>
    </row>
    <row r="365" spans="1:15" ht="19.8" x14ac:dyDescent="0.5">
      <c r="A365" s="58"/>
      <c r="B365" s="15"/>
      <c r="C365" s="15"/>
      <c r="D365" s="15"/>
      <c r="E365" s="15"/>
      <c r="F365" s="15"/>
      <c r="G365" s="15"/>
      <c r="H365" s="15"/>
      <c r="I365" s="15"/>
      <c r="J365" s="15"/>
      <c r="K365" s="15"/>
      <c r="L365" s="15"/>
      <c r="M365" s="15"/>
      <c r="N365" s="15"/>
      <c r="O365" s="15"/>
    </row>
    <row r="366" spans="1:15" ht="19.8" x14ac:dyDescent="0.5">
      <c r="A366" s="58"/>
      <c r="B366" s="15"/>
      <c r="C366" s="15"/>
      <c r="D366" s="15"/>
      <c r="E366" s="15"/>
      <c r="F366" s="15"/>
      <c r="G366" s="15"/>
      <c r="H366" s="15"/>
      <c r="I366" s="15"/>
      <c r="J366" s="15"/>
      <c r="K366" s="15"/>
      <c r="L366" s="15"/>
      <c r="M366" s="15"/>
      <c r="N366" s="15"/>
      <c r="O366" s="15"/>
    </row>
    <row r="367" spans="1:15" ht="19.8" x14ac:dyDescent="0.5">
      <c r="A367" s="58"/>
      <c r="B367" s="15"/>
      <c r="C367" s="15"/>
      <c r="D367" s="15"/>
      <c r="E367" s="15"/>
      <c r="F367" s="15"/>
      <c r="G367" s="15"/>
      <c r="H367" s="15"/>
      <c r="I367" s="15"/>
      <c r="J367" s="15"/>
      <c r="K367" s="15"/>
      <c r="L367" s="15"/>
      <c r="M367" s="15"/>
      <c r="N367" s="15"/>
      <c r="O367" s="15"/>
    </row>
    <row r="368" spans="1:15" ht="19.8" x14ac:dyDescent="0.5">
      <c r="A368" s="58"/>
      <c r="B368" s="15"/>
      <c r="C368" s="15"/>
      <c r="D368" s="15"/>
      <c r="E368" s="15"/>
      <c r="F368" s="15"/>
      <c r="G368" s="15"/>
      <c r="H368" s="15"/>
      <c r="I368" s="15"/>
      <c r="J368" s="15"/>
      <c r="K368" s="15"/>
      <c r="L368" s="15"/>
      <c r="M368" s="15"/>
      <c r="N368" s="15"/>
      <c r="O368" s="15"/>
    </row>
    <row r="369" spans="1:15" ht="19.8" x14ac:dyDescent="0.5">
      <c r="A369" s="58"/>
      <c r="B369" s="15"/>
      <c r="C369" s="15"/>
      <c r="D369" s="15"/>
      <c r="E369" s="15"/>
      <c r="F369" s="15"/>
      <c r="G369" s="15"/>
      <c r="H369" s="15"/>
      <c r="I369" s="15"/>
      <c r="J369" s="15"/>
      <c r="K369" s="15"/>
      <c r="L369" s="15"/>
      <c r="M369" s="15"/>
      <c r="N369" s="15"/>
      <c r="O369" s="15"/>
    </row>
    <row r="370" spans="1:15" ht="19.8" x14ac:dyDescent="0.5">
      <c r="A370" s="58"/>
      <c r="B370" s="15"/>
      <c r="C370" s="15"/>
      <c r="D370" s="15"/>
      <c r="E370" s="15"/>
      <c r="F370" s="15"/>
      <c r="G370" s="15"/>
      <c r="H370" s="15"/>
      <c r="I370" s="15"/>
      <c r="J370" s="15"/>
      <c r="K370" s="15"/>
      <c r="L370" s="15"/>
      <c r="M370" s="15"/>
      <c r="N370" s="15"/>
      <c r="O370" s="15"/>
    </row>
    <row r="371" spans="1:15" ht="19.8" x14ac:dyDescent="0.5">
      <c r="A371" s="58"/>
      <c r="B371" s="15"/>
      <c r="C371" s="15"/>
      <c r="D371" s="15"/>
      <c r="E371" s="15"/>
      <c r="F371" s="15"/>
      <c r="G371" s="15"/>
      <c r="H371" s="15"/>
      <c r="I371" s="15"/>
      <c r="J371" s="15"/>
      <c r="K371" s="15"/>
      <c r="L371" s="15"/>
      <c r="M371" s="15"/>
      <c r="N371" s="15"/>
      <c r="O371" s="15"/>
    </row>
    <row r="372" spans="1:15" ht="19.8" x14ac:dyDescent="0.5">
      <c r="A372" s="58"/>
      <c r="B372" s="15"/>
      <c r="C372" s="15"/>
      <c r="D372" s="15"/>
      <c r="E372" s="15"/>
      <c r="F372" s="15"/>
      <c r="G372" s="15"/>
      <c r="H372" s="15"/>
      <c r="I372" s="15"/>
      <c r="J372" s="15"/>
      <c r="K372" s="15"/>
      <c r="L372" s="15"/>
      <c r="M372" s="15"/>
      <c r="N372" s="15"/>
      <c r="O372" s="15"/>
    </row>
    <row r="373" spans="1:15" ht="19.8" x14ac:dyDescent="0.5">
      <c r="A373" s="58"/>
      <c r="B373" s="15"/>
      <c r="C373" s="15"/>
      <c r="D373" s="15"/>
      <c r="E373" s="15"/>
      <c r="F373" s="15"/>
      <c r="G373" s="15"/>
      <c r="H373" s="15"/>
      <c r="I373" s="15"/>
      <c r="J373" s="15"/>
      <c r="K373" s="15"/>
      <c r="L373" s="15"/>
      <c r="M373" s="15"/>
      <c r="N373" s="15"/>
      <c r="O373" s="15"/>
    </row>
    <row r="374" spans="1:15" ht="19.8" x14ac:dyDescent="0.5">
      <c r="A374" s="58"/>
      <c r="B374" s="15"/>
      <c r="C374" s="15"/>
      <c r="D374" s="15"/>
      <c r="E374" s="15"/>
      <c r="F374" s="15"/>
      <c r="G374" s="15"/>
      <c r="H374" s="15"/>
      <c r="I374" s="15"/>
      <c r="J374" s="15"/>
      <c r="K374" s="15"/>
      <c r="L374" s="15"/>
      <c r="M374" s="15"/>
      <c r="N374" s="15"/>
      <c r="O374" s="15"/>
    </row>
    <row r="375" spans="1:15" ht="19.8" x14ac:dyDescent="0.5">
      <c r="A375" s="58"/>
      <c r="B375" s="15"/>
      <c r="C375" s="15"/>
      <c r="D375" s="15"/>
      <c r="E375" s="15"/>
      <c r="F375" s="15"/>
      <c r="G375" s="15"/>
      <c r="H375" s="15"/>
      <c r="I375" s="15"/>
      <c r="J375" s="15"/>
      <c r="K375" s="15"/>
      <c r="L375" s="15"/>
      <c r="M375" s="15"/>
      <c r="N375" s="15"/>
      <c r="O375" s="15"/>
    </row>
    <row r="376" spans="1:15" ht="19.8" x14ac:dyDescent="0.5">
      <c r="A376" s="58"/>
      <c r="B376" s="15"/>
      <c r="C376" s="15"/>
      <c r="D376" s="15"/>
      <c r="E376" s="15"/>
      <c r="F376" s="15"/>
      <c r="G376" s="15"/>
      <c r="H376" s="15"/>
      <c r="I376" s="15"/>
      <c r="J376" s="15"/>
      <c r="K376" s="15"/>
      <c r="L376" s="15"/>
      <c r="M376" s="15"/>
      <c r="N376" s="15"/>
      <c r="O376" s="15"/>
    </row>
    <row r="377" spans="1:15" ht="19.8" x14ac:dyDescent="0.5">
      <c r="A377" s="58"/>
      <c r="B377" s="15"/>
      <c r="C377" s="15"/>
      <c r="D377" s="15"/>
      <c r="E377" s="15"/>
      <c r="F377" s="15"/>
      <c r="G377" s="15"/>
      <c r="H377" s="15"/>
      <c r="I377" s="15"/>
      <c r="J377" s="15"/>
      <c r="K377" s="15"/>
      <c r="L377" s="15"/>
      <c r="M377" s="15"/>
      <c r="N377" s="15"/>
      <c r="O377" s="15"/>
    </row>
    <row r="378" spans="1:15" ht="19.8" x14ac:dyDescent="0.5">
      <c r="A378" s="58"/>
      <c r="B378" s="15"/>
      <c r="C378" s="15"/>
      <c r="D378" s="15"/>
      <c r="E378" s="15"/>
      <c r="F378" s="15"/>
      <c r="G378" s="15"/>
      <c r="H378" s="15"/>
      <c r="I378" s="15"/>
      <c r="J378" s="15"/>
      <c r="K378" s="15"/>
      <c r="L378" s="15"/>
      <c r="M378" s="15"/>
      <c r="N378" s="15"/>
      <c r="O378" s="15"/>
    </row>
    <row r="379" spans="1:15" ht="19.8" x14ac:dyDescent="0.5">
      <c r="A379" s="58"/>
      <c r="B379" s="15"/>
      <c r="C379" s="15"/>
      <c r="D379" s="15"/>
      <c r="E379" s="15"/>
      <c r="F379" s="15"/>
      <c r="G379" s="15"/>
      <c r="H379" s="15"/>
      <c r="I379" s="15"/>
      <c r="J379" s="15"/>
      <c r="K379" s="15"/>
      <c r="L379" s="15"/>
      <c r="M379" s="15"/>
      <c r="N379" s="15"/>
      <c r="O379" s="15"/>
    </row>
    <row r="380" spans="1:15" ht="19.8" x14ac:dyDescent="0.5">
      <c r="A380" s="58"/>
      <c r="B380" s="15"/>
      <c r="C380" s="15"/>
      <c r="D380" s="15"/>
      <c r="E380" s="15"/>
      <c r="F380" s="15"/>
      <c r="G380" s="15"/>
      <c r="H380" s="15"/>
      <c r="I380" s="15"/>
      <c r="J380" s="15"/>
      <c r="K380" s="15"/>
      <c r="L380" s="15"/>
      <c r="M380" s="15"/>
      <c r="N380" s="15"/>
      <c r="O380" s="15"/>
    </row>
    <row r="381" spans="1:15" ht="19.8" x14ac:dyDescent="0.5">
      <c r="A381" s="58"/>
      <c r="B381" s="15"/>
      <c r="C381" s="15"/>
      <c r="D381" s="15"/>
      <c r="E381" s="15"/>
      <c r="F381" s="15"/>
      <c r="G381" s="15"/>
      <c r="H381" s="15"/>
      <c r="I381" s="15"/>
      <c r="J381" s="15"/>
      <c r="K381" s="15"/>
      <c r="L381" s="15"/>
      <c r="M381" s="15"/>
      <c r="N381" s="15"/>
      <c r="O381" s="15"/>
    </row>
    <row r="382" spans="1:15" ht="19.8" x14ac:dyDescent="0.5">
      <c r="A382" s="58"/>
      <c r="B382" s="15"/>
      <c r="C382" s="15"/>
      <c r="D382" s="15"/>
      <c r="E382" s="15"/>
      <c r="F382" s="15"/>
      <c r="G382" s="15"/>
      <c r="H382" s="15"/>
      <c r="I382" s="15"/>
      <c r="J382" s="15"/>
      <c r="K382" s="15"/>
      <c r="L382" s="15"/>
      <c r="M382" s="15"/>
      <c r="N382" s="15"/>
      <c r="O382" s="15"/>
    </row>
    <row r="383" spans="1:15" ht="19.8" x14ac:dyDescent="0.5">
      <c r="A383" s="58"/>
      <c r="B383" s="15"/>
      <c r="C383" s="15"/>
      <c r="D383" s="15"/>
      <c r="E383" s="15"/>
      <c r="F383" s="15"/>
      <c r="G383" s="15"/>
      <c r="H383" s="15"/>
      <c r="I383" s="15"/>
      <c r="J383" s="15"/>
      <c r="K383" s="15"/>
      <c r="L383" s="15"/>
      <c r="M383" s="15"/>
      <c r="N383" s="15"/>
      <c r="O383" s="15"/>
    </row>
    <row r="384" spans="1:15" ht="19.8" x14ac:dyDescent="0.5">
      <c r="A384" s="58"/>
      <c r="B384" s="15"/>
      <c r="C384" s="15"/>
      <c r="D384" s="15"/>
      <c r="E384" s="15"/>
      <c r="F384" s="15"/>
      <c r="G384" s="15"/>
      <c r="H384" s="15"/>
      <c r="I384" s="15"/>
      <c r="J384" s="15"/>
      <c r="K384" s="15"/>
      <c r="L384" s="15"/>
      <c r="M384" s="15"/>
      <c r="N384" s="15"/>
      <c r="O384" s="15"/>
    </row>
    <row r="385" spans="1:15" ht="19.8" x14ac:dyDescent="0.5">
      <c r="A385" s="58"/>
      <c r="B385" s="15"/>
      <c r="C385" s="15"/>
      <c r="D385" s="15"/>
      <c r="E385" s="15"/>
      <c r="F385" s="15"/>
      <c r="G385" s="15"/>
      <c r="H385" s="15"/>
      <c r="I385" s="15"/>
      <c r="J385" s="15"/>
      <c r="K385" s="15"/>
      <c r="L385" s="15"/>
      <c r="M385" s="15"/>
      <c r="N385" s="15"/>
      <c r="O385" s="15"/>
    </row>
    <row r="386" spans="1:15" ht="19.8" x14ac:dyDescent="0.5">
      <c r="A386" s="58"/>
      <c r="B386" s="15"/>
      <c r="C386" s="15"/>
      <c r="D386" s="15"/>
      <c r="E386" s="15"/>
      <c r="F386" s="15"/>
      <c r="G386" s="15"/>
      <c r="H386" s="15"/>
      <c r="I386" s="15"/>
      <c r="J386" s="15"/>
      <c r="K386" s="15"/>
      <c r="L386" s="15"/>
      <c r="M386" s="15"/>
      <c r="N386" s="15"/>
      <c r="O386" s="15"/>
    </row>
    <row r="387" spans="1:15" ht="19.8" x14ac:dyDescent="0.5">
      <c r="A387" s="58"/>
      <c r="B387" s="15"/>
      <c r="C387" s="15"/>
      <c r="D387" s="15"/>
      <c r="E387" s="15"/>
      <c r="F387" s="15"/>
      <c r="G387" s="15"/>
      <c r="H387" s="15"/>
      <c r="I387" s="15"/>
      <c r="J387" s="15"/>
      <c r="K387" s="15"/>
      <c r="L387" s="15"/>
      <c r="M387" s="15"/>
      <c r="N387" s="15"/>
      <c r="O387" s="15"/>
    </row>
    <row r="388" spans="1:15" ht="19.8" x14ac:dyDescent="0.5">
      <c r="A388" s="58"/>
      <c r="B388" s="15"/>
      <c r="C388" s="15"/>
      <c r="D388" s="15"/>
      <c r="E388" s="15"/>
      <c r="F388" s="15"/>
      <c r="G388" s="15"/>
      <c r="H388" s="15"/>
      <c r="I388" s="15"/>
      <c r="J388" s="15"/>
      <c r="K388" s="15"/>
      <c r="L388" s="15"/>
      <c r="M388" s="15"/>
      <c r="N388" s="15"/>
      <c r="O388" s="15"/>
    </row>
    <row r="389" spans="1:15" ht="19.8" x14ac:dyDescent="0.5">
      <c r="A389" s="58"/>
      <c r="B389" s="15"/>
      <c r="C389" s="15"/>
      <c r="D389" s="15"/>
      <c r="E389" s="15"/>
      <c r="F389" s="15"/>
      <c r="G389" s="15"/>
      <c r="H389" s="15"/>
      <c r="I389" s="15"/>
      <c r="J389" s="15"/>
      <c r="K389" s="15"/>
      <c r="L389" s="15"/>
      <c r="M389" s="15"/>
      <c r="N389" s="15"/>
      <c r="O389" s="15"/>
    </row>
    <row r="390" spans="1:15" ht="19.8" x14ac:dyDescent="0.5">
      <c r="A390" s="58"/>
      <c r="B390" s="15"/>
      <c r="C390" s="15"/>
      <c r="D390" s="15"/>
      <c r="E390" s="15"/>
      <c r="F390" s="15"/>
      <c r="G390" s="15"/>
      <c r="H390" s="15"/>
      <c r="I390" s="15"/>
      <c r="J390" s="15"/>
      <c r="K390" s="15"/>
      <c r="L390" s="15"/>
      <c r="M390" s="15"/>
      <c r="N390" s="15"/>
      <c r="O390" s="15"/>
    </row>
    <row r="391" spans="1:15" ht="19.8" x14ac:dyDescent="0.5">
      <c r="A391" s="58"/>
      <c r="B391" s="15"/>
      <c r="C391" s="15"/>
      <c r="D391" s="15"/>
      <c r="E391" s="15"/>
      <c r="F391" s="15"/>
      <c r="G391" s="15"/>
      <c r="H391" s="15"/>
      <c r="I391" s="15"/>
      <c r="J391" s="15"/>
      <c r="K391" s="15"/>
      <c r="L391" s="15"/>
      <c r="M391" s="15"/>
      <c r="N391" s="15"/>
      <c r="O391" s="15"/>
    </row>
    <row r="392" spans="1:15" ht="19.8" x14ac:dyDescent="0.5">
      <c r="A392" s="58"/>
      <c r="B392" s="15"/>
      <c r="C392" s="15"/>
      <c r="D392" s="15"/>
      <c r="E392" s="15"/>
      <c r="F392" s="15"/>
      <c r="G392" s="15"/>
      <c r="H392" s="15"/>
      <c r="I392" s="15"/>
      <c r="J392" s="15"/>
      <c r="K392" s="15"/>
      <c r="L392" s="15"/>
      <c r="M392" s="15"/>
      <c r="N392" s="15"/>
      <c r="O392" s="15"/>
    </row>
    <row r="393" spans="1:15" ht="19.8" x14ac:dyDescent="0.5">
      <c r="A393" s="58"/>
      <c r="B393" s="15"/>
      <c r="C393" s="15"/>
      <c r="D393" s="15"/>
      <c r="E393" s="15"/>
      <c r="F393" s="15"/>
      <c r="G393" s="15"/>
      <c r="H393" s="15"/>
      <c r="I393" s="15"/>
      <c r="J393" s="15"/>
      <c r="K393" s="15"/>
      <c r="L393" s="15"/>
      <c r="M393" s="15"/>
      <c r="N393" s="15"/>
      <c r="O393" s="15"/>
    </row>
    <row r="394" spans="1:15" ht="19.8" x14ac:dyDescent="0.5">
      <c r="A394" s="58"/>
      <c r="B394" s="15"/>
      <c r="C394" s="15"/>
      <c r="D394" s="15"/>
      <c r="E394" s="15"/>
      <c r="F394" s="15"/>
      <c r="G394" s="15"/>
      <c r="H394" s="15"/>
      <c r="I394" s="15"/>
      <c r="J394" s="15"/>
      <c r="K394" s="15"/>
      <c r="L394" s="15"/>
      <c r="M394" s="15"/>
      <c r="N394" s="15"/>
      <c r="O394" s="15"/>
    </row>
    <row r="395" spans="1:15" ht="19.8" x14ac:dyDescent="0.5">
      <c r="A395" s="58"/>
      <c r="B395" s="15"/>
      <c r="C395" s="15"/>
      <c r="D395" s="15"/>
      <c r="E395" s="15"/>
      <c r="F395" s="15"/>
      <c r="G395" s="15"/>
      <c r="H395" s="15"/>
      <c r="I395" s="15"/>
      <c r="J395" s="15"/>
      <c r="K395" s="15"/>
      <c r="L395" s="15"/>
      <c r="M395" s="15"/>
      <c r="N395" s="15"/>
      <c r="O395" s="15"/>
    </row>
    <row r="396" spans="1:15" ht="19.8" x14ac:dyDescent="0.5">
      <c r="A396" s="58"/>
      <c r="B396" s="15"/>
      <c r="C396" s="15"/>
      <c r="D396" s="15"/>
      <c r="E396" s="15"/>
      <c r="F396" s="15"/>
      <c r="G396" s="15"/>
      <c r="H396" s="15"/>
      <c r="I396" s="15"/>
      <c r="J396" s="15"/>
      <c r="K396" s="15"/>
      <c r="L396" s="15"/>
      <c r="M396" s="15"/>
      <c r="N396" s="15"/>
      <c r="O396" s="15"/>
    </row>
    <row r="397" spans="1:15" ht="19.8" x14ac:dyDescent="0.5">
      <c r="A397" s="58"/>
      <c r="B397" s="15"/>
      <c r="C397" s="15"/>
      <c r="D397" s="15"/>
      <c r="E397" s="15"/>
      <c r="F397" s="15"/>
      <c r="G397" s="15"/>
      <c r="H397" s="15"/>
      <c r="I397" s="15"/>
      <c r="J397" s="15"/>
      <c r="K397" s="15"/>
      <c r="L397" s="15"/>
      <c r="M397" s="15"/>
      <c r="N397" s="15"/>
      <c r="O397" s="15"/>
    </row>
    <row r="398" spans="1:15" ht="19.8" x14ac:dyDescent="0.5">
      <c r="A398" s="58"/>
      <c r="B398" s="15"/>
      <c r="C398" s="15"/>
      <c r="D398" s="15"/>
      <c r="E398" s="15"/>
      <c r="F398" s="15"/>
      <c r="G398" s="15"/>
      <c r="H398" s="15"/>
      <c r="I398" s="15"/>
      <c r="J398" s="15"/>
      <c r="K398" s="15"/>
      <c r="L398" s="15"/>
      <c r="M398" s="15"/>
      <c r="N398" s="15"/>
      <c r="O398" s="15"/>
    </row>
    <row r="399" spans="1:15" ht="19.8" x14ac:dyDescent="0.5">
      <c r="A399" s="58"/>
      <c r="B399" s="15"/>
      <c r="C399" s="15"/>
      <c r="D399" s="15"/>
      <c r="E399" s="15"/>
      <c r="F399" s="15"/>
      <c r="G399" s="15"/>
      <c r="H399" s="15"/>
      <c r="I399" s="15"/>
      <c r="J399" s="15"/>
      <c r="K399" s="15"/>
      <c r="L399" s="15"/>
      <c r="M399" s="15"/>
      <c r="N399" s="15"/>
      <c r="O399" s="15"/>
    </row>
    <row r="400" spans="1:15" ht="19.8" x14ac:dyDescent="0.5">
      <c r="A400" s="58"/>
      <c r="B400" s="15"/>
      <c r="C400" s="15"/>
      <c r="D400" s="15"/>
      <c r="E400" s="15"/>
      <c r="F400" s="15"/>
      <c r="G400" s="15"/>
      <c r="H400" s="15"/>
      <c r="I400" s="15"/>
      <c r="J400" s="15"/>
      <c r="K400" s="15"/>
      <c r="L400" s="15"/>
      <c r="M400" s="15"/>
      <c r="N400" s="15"/>
      <c r="O400" s="15"/>
    </row>
    <row r="401" spans="1:15" ht="19.8" x14ac:dyDescent="0.5">
      <c r="A401" s="58"/>
      <c r="B401" s="15"/>
      <c r="C401" s="15"/>
      <c r="D401" s="15"/>
      <c r="E401" s="15"/>
      <c r="F401" s="15"/>
      <c r="G401" s="15"/>
      <c r="H401" s="15"/>
      <c r="I401" s="15"/>
      <c r="J401" s="15"/>
      <c r="K401" s="15"/>
      <c r="L401" s="15"/>
      <c r="M401" s="15"/>
      <c r="N401" s="15"/>
      <c r="O401" s="15"/>
    </row>
    <row r="402" spans="1:15" ht="19.8" x14ac:dyDescent="0.5">
      <c r="A402" s="58"/>
      <c r="B402" s="15"/>
      <c r="C402" s="15"/>
      <c r="D402" s="15"/>
      <c r="E402" s="15"/>
      <c r="F402" s="15"/>
      <c r="G402" s="15"/>
      <c r="H402" s="15"/>
      <c r="I402" s="15"/>
      <c r="J402" s="15"/>
      <c r="K402" s="15"/>
      <c r="L402" s="15"/>
      <c r="M402" s="15"/>
      <c r="N402" s="15"/>
      <c r="O402" s="15"/>
    </row>
    <row r="403" spans="1:15" ht="19.8" x14ac:dyDescent="0.5">
      <c r="A403" s="58"/>
      <c r="B403" s="15"/>
      <c r="C403" s="15"/>
      <c r="D403" s="15"/>
      <c r="E403" s="15"/>
      <c r="F403" s="15"/>
      <c r="G403" s="15"/>
      <c r="H403" s="15"/>
      <c r="I403" s="15"/>
      <c r="J403" s="15"/>
      <c r="K403" s="15"/>
      <c r="L403" s="15"/>
      <c r="M403" s="15"/>
      <c r="N403" s="15"/>
      <c r="O403" s="15"/>
    </row>
    <row r="404" spans="1:15" ht="19.8" x14ac:dyDescent="0.5">
      <c r="A404" s="58"/>
      <c r="B404" s="15"/>
      <c r="C404" s="15"/>
      <c r="D404" s="15"/>
      <c r="E404" s="15"/>
      <c r="F404" s="15"/>
      <c r="G404" s="15"/>
      <c r="H404" s="15"/>
      <c r="I404" s="15"/>
      <c r="J404" s="15"/>
      <c r="K404" s="15"/>
      <c r="L404" s="15"/>
      <c r="M404" s="15"/>
      <c r="N404" s="15"/>
      <c r="O404" s="15"/>
    </row>
    <row r="405" spans="1:15" ht="19.8" x14ac:dyDescent="0.5">
      <c r="A405" s="58"/>
      <c r="B405" s="15"/>
      <c r="C405" s="15"/>
      <c r="D405" s="15"/>
      <c r="E405" s="15"/>
      <c r="F405" s="15"/>
      <c r="G405" s="15"/>
      <c r="H405" s="15"/>
      <c r="I405" s="15"/>
      <c r="J405" s="15"/>
      <c r="K405" s="15"/>
      <c r="L405" s="15"/>
      <c r="M405" s="15"/>
      <c r="N405" s="15"/>
      <c r="O405" s="15"/>
    </row>
    <row r="406" spans="1:15" ht="19.8" x14ac:dyDescent="0.5">
      <c r="A406" s="58"/>
      <c r="B406" s="15"/>
      <c r="C406" s="15"/>
      <c r="D406" s="15"/>
      <c r="E406" s="15"/>
      <c r="F406" s="15"/>
      <c r="G406" s="15"/>
      <c r="H406" s="15"/>
      <c r="I406" s="15"/>
      <c r="J406" s="15"/>
      <c r="K406" s="15"/>
      <c r="L406" s="15"/>
      <c r="M406" s="15"/>
      <c r="N406" s="15"/>
      <c r="O406" s="15"/>
    </row>
    <row r="407" spans="1:15" ht="19.8" x14ac:dyDescent="0.5">
      <c r="A407" s="58"/>
      <c r="B407" s="15"/>
      <c r="C407" s="15"/>
      <c r="D407" s="15"/>
      <c r="E407" s="15"/>
      <c r="F407" s="15"/>
      <c r="G407" s="15"/>
      <c r="H407" s="15"/>
      <c r="I407" s="15"/>
      <c r="J407" s="15"/>
      <c r="K407" s="15"/>
      <c r="L407" s="15"/>
      <c r="M407" s="15"/>
      <c r="N407" s="15"/>
      <c r="O407" s="15"/>
    </row>
    <row r="408" spans="1:15" ht="19.8" x14ac:dyDescent="0.5">
      <c r="A408" s="58"/>
      <c r="B408" s="15"/>
      <c r="C408" s="15"/>
      <c r="D408" s="15"/>
      <c r="E408" s="15"/>
      <c r="F408" s="15"/>
      <c r="G408" s="15"/>
      <c r="H408" s="15"/>
      <c r="I408" s="15"/>
      <c r="J408" s="15"/>
      <c r="K408" s="15"/>
      <c r="L408" s="15"/>
      <c r="M408" s="15"/>
      <c r="N408" s="15"/>
      <c r="O408" s="15"/>
    </row>
    <row r="409" spans="1:15" ht="19.8" x14ac:dyDescent="0.5">
      <c r="A409" s="58"/>
      <c r="B409" s="15"/>
      <c r="C409" s="15"/>
      <c r="D409" s="15"/>
      <c r="E409" s="15"/>
      <c r="F409" s="15"/>
      <c r="G409" s="15"/>
      <c r="H409" s="15"/>
      <c r="I409" s="15"/>
      <c r="J409" s="15"/>
      <c r="K409" s="15"/>
      <c r="L409" s="15"/>
      <c r="M409" s="15"/>
      <c r="N409" s="15"/>
      <c r="O409" s="15"/>
    </row>
    <row r="410" spans="1:15" ht="19.8" x14ac:dyDescent="0.5">
      <c r="A410" s="58"/>
      <c r="B410" s="15"/>
      <c r="C410" s="15"/>
      <c r="D410" s="15"/>
      <c r="E410" s="15"/>
      <c r="F410" s="15"/>
      <c r="G410" s="15"/>
      <c r="H410" s="15"/>
      <c r="I410" s="15"/>
      <c r="J410" s="15"/>
      <c r="K410" s="15"/>
      <c r="L410" s="15"/>
      <c r="M410" s="15"/>
      <c r="N410" s="15"/>
      <c r="O410" s="15"/>
    </row>
    <row r="411" spans="1:15" ht="19.8" x14ac:dyDescent="0.5">
      <c r="A411" s="58"/>
      <c r="B411" s="15"/>
      <c r="C411" s="15"/>
      <c r="D411" s="15"/>
      <c r="E411" s="15"/>
      <c r="F411" s="15"/>
      <c r="G411" s="15"/>
      <c r="H411" s="15"/>
      <c r="I411" s="15"/>
      <c r="J411" s="15"/>
      <c r="K411" s="15"/>
      <c r="L411" s="15"/>
      <c r="M411" s="15"/>
      <c r="N411" s="15"/>
      <c r="O411" s="15"/>
    </row>
    <row r="412" spans="1:15" ht="19.8" x14ac:dyDescent="0.5">
      <c r="A412" s="58"/>
      <c r="B412" s="15"/>
      <c r="C412" s="15"/>
      <c r="D412" s="15"/>
      <c r="E412" s="15"/>
      <c r="F412" s="15"/>
      <c r="G412" s="15"/>
      <c r="H412" s="15"/>
      <c r="I412" s="15"/>
      <c r="J412" s="15"/>
      <c r="K412" s="15"/>
      <c r="L412" s="15"/>
      <c r="M412" s="15"/>
      <c r="N412" s="15"/>
      <c r="O412" s="15"/>
    </row>
    <row r="413" spans="1:15" ht="19.8" x14ac:dyDescent="0.5">
      <c r="A413" s="58"/>
      <c r="B413" s="15"/>
      <c r="C413" s="15"/>
      <c r="D413" s="15"/>
      <c r="E413" s="15"/>
      <c r="F413" s="15"/>
      <c r="G413" s="15"/>
      <c r="H413" s="15"/>
      <c r="I413" s="15"/>
      <c r="J413" s="15"/>
      <c r="K413" s="15"/>
      <c r="L413" s="15"/>
      <c r="M413" s="15"/>
      <c r="N413" s="15"/>
      <c r="O413" s="15"/>
    </row>
    <row r="414" spans="1:15" ht="19.8" x14ac:dyDescent="0.5">
      <c r="A414" s="58"/>
      <c r="B414" s="15"/>
      <c r="C414" s="15"/>
      <c r="D414" s="15"/>
      <c r="E414" s="15"/>
      <c r="F414" s="15"/>
      <c r="G414" s="15"/>
      <c r="H414" s="15"/>
      <c r="I414" s="15"/>
      <c r="J414" s="15"/>
      <c r="K414" s="15"/>
      <c r="L414" s="15"/>
      <c r="M414" s="15"/>
      <c r="N414" s="15"/>
      <c r="O414" s="15"/>
    </row>
    <row r="415" spans="1:15" ht="19.8" x14ac:dyDescent="0.5">
      <c r="A415" s="58"/>
      <c r="B415" s="15"/>
      <c r="C415" s="15"/>
      <c r="D415" s="15"/>
      <c r="E415" s="15"/>
      <c r="F415" s="15"/>
      <c r="G415" s="15"/>
      <c r="H415" s="15"/>
      <c r="I415" s="15"/>
      <c r="J415" s="15"/>
      <c r="K415" s="15"/>
      <c r="L415" s="15"/>
      <c r="M415" s="15"/>
      <c r="N415" s="15"/>
      <c r="O415" s="15"/>
    </row>
    <row r="416" spans="1:15" ht="19.8" x14ac:dyDescent="0.5">
      <c r="A416" s="58"/>
      <c r="B416" s="15"/>
      <c r="C416" s="15"/>
      <c r="D416" s="15"/>
      <c r="E416" s="15"/>
      <c r="F416" s="15"/>
      <c r="G416" s="15"/>
      <c r="H416" s="15"/>
      <c r="I416" s="15"/>
      <c r="J416" s="15"/>
      <c r="K416" s="15"/>
      <c r="L416" s="15"/>
      <c r="M416" s="15"/>
      <c r="N416" s="15"/>
      <c r="O416" s="15"/>
    </row>
    <row r="417" spans="1:15" ht="19.8" x14ac:dyDescent="0.5">
      <c r="A417" s="58"/>
      <c r="B417" s="15"/>
      <c r="C417" s="15"/>
      <c r="D417" s="15"/>
      <c r="E417" s="15"/>
      <c r="F417" s="15"/>
      <c r="G417" s="15"/>
      <c r="H417" s="15"/>
      <c r="I417" s="15"/>
      <c r="J417" s="15"/>
      <c r="K417" s="15"/>
      <c r="L417" s="15"/>
      <c r="M417" s="15"/>
      <c r="N417" s="15"/>
      <c r="O417" s="15"/>
    </row>
    <row r="418" spans="1:15" ht="19.8" x14ac:dyDescent="0.5">
      <c r="A418" s="58"/>
      <c r="B418" s="15"/>
      <c r="C418" s="15"/>
      <c r="D418" s="15"/>
      <c r="E418" s="15"/>
      <c r="F418" s="15"/>
      <c r="G418" s="15"/>
      <c r="H418" s="15"/>
      <c r="I418" s="15"/>
      <c r="J418" s="15"/>
      <c r="K418" s="15"/>
      <c r="L418" s="15"/>
      <c r="M418" s="15"/>
      <c r="N418" s="15"/>
      <c r="O418" s="15"/>
    </row>
    <row r="419" spans="1:15" ht="19.8" x14ac:dyDescent="0.5">
      <c r="A419" s="58"/>
      <c r="B419" s="15"/>
      <c r="C419" s="15"/>
      <c r="D419" s="15"/>
      <c r="E419" s="15"/>
      <c r="F419" s="15"/>
      <c r="G419" s="15"/>
      <c r="H419" s="15"/>
      <c r="I419" s="15"/>
      <c r="J419" s="15"/>
      <c r="K419" s="15"/>
      <c r="L419" s="15"/>
      <c r="M419" s="15"/>
      <c r="N419" s="15"/>
      <c r="O419" s="15"/>
    </row>
    <row r="420" spans="1:15" ht="19.8" x14ac:dyDescent="0.5">
      <c r="A420" s="58"/>
      <c r="B420" s="15"/>
      <c r="C420" s="15"/>
      <c r="D420" s="15"/>
      <c r="E420" s="15"/>
      <c r="F420" s="15"/>
      <c r="G420" s="15"/>
      <c r="H420" s="15"/>
      <c r="I420" s="15"/>
      <c r="J420" s="15"/>
      <c r="K420" s="15"/>
      <c r="L420" s="15"/>
      <c r="M420" s="15"/>
      <c r="N420" s="15"/>
      <c r="O420" s="15"/>
    </row>
    <row r="421" spans="1:15" ht="19.8" x14ac:dyDescent="0.5">
      <c r="A421" s="58"/>
      <c r="B421" s="15"/>
      <c r="C421" s="15"/>
      <c r="D421" s="15"/>
      <c r="E421" s="15"/>
      <c r="F421" s="15"/>
      <c r="G421" s="15"/>
      <c r="H421" s="15"/>
      <c r="I421" s="15"/>
      <c r="J421" s="15"/>
      <c r="K421" s="15"/>
      <c r="L421" s="15"/>
      <c r="M421" s="15"/>
      <c r="N421" s="15"/>
      <c r="O421" s="15"/>
    </row>
    <row r="422" spans="1:15" ht="19.8" x14ac:dyDescent="0.5">
      <c r="A422" s="58"/>
      <c r="B422" s="15"/>
      <c r="C422" s="15"/>
      <c r="D422" s="15"/>
      <c r="E422" s="15"/>
      <c r="F422" s="15"/>
      <c r="G422" s="15"/>
      <c r="H422" s="15"/>
      <c r="I422" s="15"/>
      <c r="J422" s="15"/>
      <c r="K422" s="15"/>
      <c r="L422" s="15"/>
      <c r="M422" s="15"/>
      <c r="N422" s="15"/>
      <c r="O422" s="15"/>
    </row>
    <row r="423" spans="1:15" ht="19.8" x14ac:dyDescent="0.5">
      <c r="A423" s="58"/>
      <c r="B423" s="15"/>
      <c r="C423" s="15"/>
      <c r="D423" s="15"/>
      <c r="E423" s="15"/>
      <c r="F423" s="15"/>
      <c r="G423" s="15"/>
      <c r="H423" s="15"/>
      <c r="I423" s="15"/>
      <c r="J423" s="15"/>
      <c r="K423" s="15"/>
      <c r="L423" s="15"/>
      <c r="M423" s="15"/>
      <c r="N423" s="15"/>
      <c r="O423" s="15"/>
    </row>
    <row r="424" spans="1:15" ht="19.8" x14ac:dyDescent="0.5">
      <c r="A424" s="58"/>
      <c r="B424" s="15"/>
      <c r="C424" s="15"/>
      <c r="D424" s="15"/>
      <c r="E424" s="15"/>
      <c r="F424" s="15"/>
      <c r="G424" s="15"/>
      <c r="H424" s="15"/>
      <c r="I424" s="15"/>
      <c r="J424" s="15"/>
      <c r="K424" s="15"/>
      <c r="L424" s="15"/>
      <c r="M424" s="15"/>
      <c r="N424" s="15"/>
      <c r="O424" s="15"/>
    </row>
    <row r="425" spans="1:15" ht="19.8" x14ac:dyDescent="0.5">
      <c r="A425" s="58"/>
      <c r="B425" s="15"/>
      <c r="C425" s="15"/>
      <c r="D425" s="15"/>
      <c r="E425" s="15"/>
      <c r="F425" s="15"/>
      <c r="G425" s="15"/>
      <c r="H425" s="15"/>
      <c r="I425" s="15"/>
      <c r="J425" s="15"/>
      <c r="K425" s="15"/>
      <c r="L425" s="15"/>
      <c r="M425" s="15"/>
      <c r="N425" s="15"/>
      <c r="O425" s="15"/>
    </row>
    <row r="426" spans="1:15" ht="19.8" x14ac:dyDescent="0.5">
      <c r="A426" s="58"/>
      <c r="B426" s="15"/>
      <c r="C426" s="15"/>
      <c r="D426" s="15"/>
      <c r="E426" s="15"/>
      <c r="F426" s="15"/>
      <c r="G426" s="15"/>
      <c r="H426" s="15"/>
      <c r="I426" s="15"/>
      <c r="J426" s="15"/>
      <c r="K426" s="15"/>
      <c r="L426" s="15"/>
      <c r="M426" s="15"/>
      <c r="N426" s="15"/>
      <c r="O426" s="15"/>
    </row>
    <row r="427" spans="1:15" ht="19.8" x14ac:dyDescent="0.5">
      <c r="A427" s="58"/>
      <c r="B427" s="15"/>
      <c r="C427" s="15"/>
      <c r="D427" s="15"/>
      <c r="E427" s="15"/>
      <c r="F427" s="15"/>
      <c r="G427" s="15"/>
      <c r="H427" s="15"/>
      <c r="I427" s="15"/>
      <c r="J427" s="15"/>
      <c r="K427" s="15"/>
      <c r="L427" s="15"/>
      <c r="M427" s="15"/>
      <c r="N427" s="15"/>
      <c r="O427" s="15"/>
    </row>
    <row r="428" spans="1:15" ht="19.8" x14ac:dyDescent="0.5">
      <c r="A428" s="58"/>
      <c r="B428" s="15"/>
      <c r="C428" s="15"/>
      <c r="D428" s="15"/>
      <c r="E428" s="15"/>
      <c r="F428" s="15"/>
      <c r="G428" s="15"/>
      <c r="H428" s="15"/>
      <c r="I428" s="15"/>
      <c r="J428" s="15"/>
      <c r="K428" s="15"/>
      <c r="L428" s="15"/>
      <c r="M428" s="15"/>
      <c r="N428" s="15"/>
      <c r="O428" s="15"/>
    </row>
    <row r="429" spans="1:15" ht="19.8" x14ac:dyDescent="0.5">
      <c r="A429" s="58"/>
      <c r="B429" s="15"/>
      <c r="C429" s="15"/>
      <c r="D429" s="15"/>
      <c r="E429" s="15"/>
      <c r="F429" s="15"/>
      <c r="G429" s="15"/>
      <c r="H429" s="15"/>
      <c r="I429" s="15"/>
      <c r="J429" s="15"/>
      <c r="K429" s="15"/>
      <c r="L429" s="15"/>
      <c r="M429" s="15"/>
      <c r="N429" s="15"/>
      <c r="O429" s="15"/>
    </row>
    <row r="430" spans="1:15" ht="19.8" x14ac:dyDescent="0.5">
      <c r="A430" s="58"/>
      <c r="B430" s="15"/>
      <c r="C430" s="15"/>
      <c r="D430" s="15"/>
      <c r="E430" s="15"/>
      <c r="F430" s="15"/>
      <c r="G430" s="15"/>
      <c r="H430" s="15"/>
      <c r="I430" s="15"/>
      <c r="J430" s="15"/>
      <c r="K430" s="15"/>
      <c r="L430" s="15"/>
      <c r="M430" s="15"/>
      <c r="N430" s="15"/>
      <c r="O430" s="15"/>
    </row>
    <row r="431" spans="1:15" ht="19.8" x14ac:dyDescent="0.5">
      <c r="A431" s="58"/>
      <c r="B431" s="15"/>
      <c r="C431" s="15"/>
      <c r="D431" s="15"/>
      <c r="E431" s="15"/>
      <c r="F431" s="15"/>
      <c r="G431" s="15"/>
      <c r="H431" s="15"/>
      <c r="I431" s="15"/>
      <c r="J431" s="15"/>
      <c r="K431" s="15"/>
      <c r="L431" s="15"/>
      <c r="M431" s="15"/>
      <c r="N431" s="15"/>
      <c r="O431" s="15"/>
    </row>
    <row r="432" spans="1:15" ht="19.8" x14ac:dyDescent="0.5">
      <c r="A432" s="58"/>
      <c r="B432" s="15"/>
      <c r="C432" s="15"/>
      <c r="D432" s="15"/>
      <c r="E432" s="15"/>
      <c r="F432" s="15"/>
      <c r="G432" s="15"/>
      <c r="H432" s="15"/>
      <c r="I432" s="15"/>
      <c r="J432" s="15"/>
      <c r="K432" s="15"/>
      <c r="L432" s="15"/>
      <c r="M432" s="15"/>
      <c r="N432" s="15"/>
      <c r="O432" s="15"/>
    </row>
    <row r="433" spans="1:15" ht="19.8" x14ac:dyDescent="0.5">
      <c r="A433" s="58"/>
      <c r="B433" s="15"/>
      <c r="C433" s="15"/>
      <c r="D433" s="15"/>
      <c r="E433" s="15"/>
      <c r="F433" s="15"/>
      <c r="G433" s="15"/>
      <c r="H433" s="15"/>
      <c r="I433" s="15"/>
      <c r="J433" s="15"/>
      <c r="K433" s="15"/>
      <c r="L433" s="15"/>
      <c r="M433" s="15"/>
      <c r="N433" s="15"/>
      <c r="O433" s="15"/>
    </row>
    <row r="434" spans="1:15" ht="19.8" x14ac:dyDescent="0.5">
      <c r="A434" s="58"/>
      <c r="B434" s="15"/>
      <c r="C434" s="15"/>
      <c r="D434" s="15"/>
      <c r="E434" s="15"/>
      <c r="F434" s="15"/>
      <c r="G434" s="15"/>
      <c r="H434" s="15"/>
      <c r="I434" s="15"/>
      <c r="J434" s="15"/>
      <c r="K434" s="15"/>
      <c r="L434" s="15"/>
      <c r="M434" s="15"/>
      <c r="N434" s="15"/>
      <c r="O434" s="15"/>
    </row>
    <row r="435" spans="1:15" ht="19.8" x14ac:dyDescent="0.5">
      <c r="A435" s="58"/>
      <c r="B435" s="15"/>
      <c r="C435" s="15"/>
      <c r="D435" s="15"/>
      <c r="E435" s="15"/>
      <c r="F435" s="15"/>
      <c r="G435" s="15"/>
      <c r="H435" s="15"/>
      <c r="I435" s="15"/>
      <c r="J435" s="15"/>
      <c r="K435" s="15"/>
      <c r="L435" s="15"/>
      <c r="M435" s="15"/>
      <c r="N435" s="15"/>
      <c r="O435" s="15"/>
    </row>
    <row r="436" spans="1:15" ht="19.8" x14ac:dyDescent="0.5">
      <c r="A436" s="58"/>
      <c r="B436" s="15"/>
      <c r="C436" s="15"/>
      <c r="D436" s="15"/>
      <c r="E436" s="15"/>
      <c r="F436" s="15"/>
      <c r="G436" s="15"/>
      <c r="H436" s="15"/>
      <c r="I436" s="15"/>
      <c r="J436" s="15"/>
      <c r="K436" s="15"/>
      <c r="L436" s="15"/>
      <c r="M436" s="15"/>
      <c r="N436" s="15"/>
      <c r="O436" s="15"/>
    </row>
    <row r="437" spans="1:15" ht="19.8" x14ac:dyDescent="0.5">
      <c r="A437" s="58"/>
      <c r="B437" s="15"/>
      <c r="C437" s="15"/>
      <c r="D437" s="15"/>
      <c r="E437" s="15"/>
      <c r="F437" s="15"/>
      <c r="G437" s="15"/>
      <c r="H437" s="15"/>
      <c r="I437" s="15"/>
      <c r="J437" s="15"/>
      <c r="K437" s="15"/>
      <c r="L437" s="15"/>
      <c r="M437" s="15"/>
      <c r="N437" s="15"/>
      <c r="O437" s="15"/>
    </row>
    <row r="438" spans="1:15" ht="19.8" x14ac:dyDescent="0.5">
      <c r="A438" s="58"/>
      <c r="B438" s="15"/>
      <c r="C438" s="15"/>
      <c r="D438" s="15"/>
      <c r="E438" s="15"/>
      <c r="F438" s="15"/>
      <c r="G438" s="15"/>
      <c r="H438" s="15"/>
      <c r="I438" s="15"/>
      <c r="J438" s="15"/>
      <c r="K438" s="15"/>
      <c r="L438" s="15"/>
      <c r="M438" s="15"/>
      <c r="N438" s="15"/>
      <c r="O438" s="15"/>
    </row>
    <row r="439" spans="1:15" ht="19.8" x14ac:dyDescent="0.5">
      <c r="A439" s="58"/>
      <c r="B439" s="15"/>
      <c r="C439" s="15"/>
      <c r="D439" s="15"/>
      <c r="E439" s="15"/>
      <c r="F439" s="15"/>
      <c r="G439" s="15"/>
      <c r="H439" s="15"/>
      <c r="I439" s="15"/>
      <c r="J439" s="15"/>
      <c r="K439" s="15"/>
      <c r="L439" s="15"/>
      <c r="M439" s="15"/>
      <c r="N439" s="15"/>
      <c r="O439" s="15"/>
    </row>
    <row r="440" spans="1:15" ht="19.8" x14ac:dyDescent="0.5">
      <c r="A440" s="58"/>
      <c r="B440" s="15"/>
      <c r="C440" s="15"/>
      <c r="D440" s="15"/>
      <c r="E440" s="15"/>
      <c r="F440" s="15"/>
      <c r="G440" s="15"/>
      <c r="H440" s="15"/>
      <c r="I440" s="15"/>
      <c r="J440" s="15"/>
      <c r="K440" s="15"/>
      <c r="L440" s="15"/>
      <c r="M440" s="15"/>
      <c r="N440" s="15"/>
      <c r="O440" s="15"/>
    </row>
    <row r="441" spans="1:15" ht="19.8" x14ac:dyDescent="0.5">
      <c r="A441" s="58"/>
      <c r="B441" s="15"/>
      <c r="C441" s="15"/>
      <c r="D441" s="15"/>
      <c r="E441" s="15"/>
      <c r="F441" s="15"/>
      <c r="G441" s="15"/>
      <c r="H441" s="15"/>
      <c r="I441" s="15"/>
      <c r="J441" s="15"/>
      <c r="K441" s="15"/>
      <c r="L441" s="15"/>
      <c r="M441" s="15"/>
      <c r="N441" s="15"/>
      <c r="O441" s="15"/>
    </row>
    <row r="442" spans="1:15" ht="19.8" x14ac:dyDescent="0.5">
      <c r="A442" s="58"/>
      <c r="B442" s="15"/>
      <c r="C442" s="15"/>
      <c r="D442" s="15"/>
      <c r="E442" s="15"/>
      <c r="F442" s="15"/>
      <c r="G442" s="15"/>
      <c r="H442" s="15"/>
      <c r="I442" s="15"/>
      <c r="J442" s="15"/>
      <c r="K442" s="15"/>
      <c r="L442" s="15"/>
      <c r="M442" s="15"/>
      <c r="N442" s="15"/>
      <c r="O442" s="15"/>
    </row>
    <row r="443" spans="1:15" ht="19.8" x14ac:dyDescent="0.5">
      <c r="A443" s="58"/>
      <c r="B443" s="15"/>
      <c r="C443" s="15"/>
      <c r="D443" s="15"/>
      <c r="E443" s="15"/>
      <c r="F443" s="15"/>
      <c r="G443" s="15"/>
      <c r="H443" s="15"/>
      <c r="I443" s="15"/>
      <c r="J443" s="15"/>
      <c r="K443" s="15"/>
      <c r="L443" s="15"/>
      <c r="M443" s="15"/>
      <c r="N443" s="15"/>
      <c r="O443" s="15"/>
    </row>
    <row r="444" spans="1:15" ht="19.8" x14ac:dyDescent="0.5">
      <c r="A444" s="58"/>
      <c r="B444" s="15"/>
      <c r="C444" s="15"/>
      <c r="D444" s="15"/>
      <c r="E444" s="15"/>
      <c r="F444" s="15"/>
      <c r="G444" s="15"/>
      <c r="H444" s="15"/>
      <c r="I444" s="15"/>
      <c r="J444" s="15"/>
      <c r="K444" s="15"/>
      <c r="L444" s="15"/>
      <c r="M444" s="15"/>
      <c r="N444" s="15"/>
      <c r="O444" s="15"/>
    </row>
    <row r="445" spans="1:15" ht="19.8" x14ac:dyDescent="0.5">
      <c r="A445" s="58"/>
      <c r="B445" s="15"/>
      <c r="C445" s="15"/>
      <c r="D445" s="15"/>
      <c r="E445" s="15"/>
      <c r="F445" s="15"/>
      <c r="G445" s="15"/>
      <c r="H445" s="15"/>
      <c r="I445" s="15"/>
      <c r="J445" s="15"/>
      <c r="K445" s="15"/>
      <c r="L445" s="15"/>
      <c r="M445" s="15"/>
      <c r="N445" s="15"/>
      <c r="O445" s="15"/>
    </row>
    <row r="446" spans="1:15" ht="19.8" x14ac:dyDescent="0.5">
      <c r="A446" s="58"/>
      <c r="B446" s="15"/>
      <c r="C446" s="15"/>
      <c r="D446" s="15"/>
      <c r="E446" s="15"/>
      <c r="F446" s="15"/>
      <c r="G446" s="15"/>
      <c r="H446" s="15"/>
      <c r="I446" s="15"/>
      <c r="J446" s="15"/>
      <c r="K446" s="15"/>
      <c r="L446" s="15"/>
      <c r="M446" s="15"/>
      <c r="N446" s="15"/>
      <c r="O446" s="15"/>
    </row>
    <row r="447" spans="1:15" ht="19.8" x14ac:dyDescent="0.5">
      <c r="A447" s="58"/>
      <c r="B447" s="15"/>
      <c r="C447" s="15"/>
      <c r="D447" s="15"/>
      <c r="E447" s="15"/>
      <c r="F447" s="15"/>
      <c r="G447" s="15"/>
      <c r="H447" s="15"/>
      <c r="I447" s="15"/>
      <c r="J447" s="15"/>
      <c r="K447" s="15"/>
      <c r="L447" s="15"/>
      <c r="M447" s="15"/>
      <c r="N447" s="15"/>
      <c r="O447" s="15"/>
    </row>
    <row r="448" spans="1:15" ht="19.8" x14ac:dyDescent="0.5">
      <c r="A448" s="58"/>
      <c r="B448" s="15"/>
      <c r="C448" s="15"/>
      <c r="D448" s="15"/>
      <c r="E448" s="15"/>
      <c r="F448" s="15"/>
      <c r="G448" s="15"/>
      <c r="H448" s="15"/>
      <c r="I448" s="15"/>
      <c r="J448" s="15"/>
      <c r="K448" s="15"/>
      <c r="L448" s="15"/>
      <c r="M448" s="15"/>
      <c r="N448" s="15"/>
      <c r="O448" s="15"/>
    </row>
    <row r="449" spans="1:15" ht="19.8" x14ac:dyDescent="0.5">
      <c r="A449" s="58"/>
      <c r="B449" s="15"/>
      <c r="C449" s="15"/>
      <c r="D449" s="15"/>
      <c r="E449" s="15"/>
      <c r="F449" s="15"/>
      <c r="G449" s="15"/>
      <c r="H449" s="15"/>
      <c r="I449" s="15"/>
      <c r="J449" s="15"/>
      <c r="K449" s="15"/>
      <c r="L449" s="15"/>
      <c r="M449" s="15"/>
      <c r="N449" s="15"/>
      <c r="O449" s="15"/>
    </row>
    <row r="450" spans="1:15" ht="19.8" x14ac:dyDescent="0.5">
      <c r="A450" s="58"/>
      <c r="B450" s="15"/>
      <c r="C450" s="15"/>
      <c r="D450" s="15"/>
      <c r="E450" s="15"/>
      <c r="F450" s="15"/>
      <c r="G450" s="15"/>
      <c r="H450" s="15"/>
      <c r="I450" s="15"/>
      <c r="J450" s="15"/>
      <c r="K450" s="15"/>
      <c r="L450" s="15"/>
      <c r="M450" s="15"/>
      <c r="N450" s="15"/>
      <c r="O450" s="15"/>
    </row>
    <row r="451" spans="1:15" ht="19.8" x14ac:dyDescent="0.5">
      <c r="A451" s="58"/>
      <c r="B451" s="15"/>
      <c r="C451" s="15"/>
      <c r="D451" s="15"/>
      <c r="E451" s="15"/>
      <c r="F451" s="15"/>
      <c r="G451" s="15"/>
      <c r="H451" s="15"/>
      <c r="I451" s="15"/>
      <c r="J451" s="15"/>
      <c r="K451" s="15"/>
      <c r="L451" s="15"/>
      <c r="M451" s="15"/>
      <c r="N451" s="15"/>
      <c r="O451" s="15"/>
    </row>
    <row r="452" spans="1:15" ht="19.8" x14ac:dyDescent="0.5">
      <c r="A452" s="58"/>
      <c r="B452" s="15"/>
      <c r="C452" s="15"/>
      <c r="D452" s="15"/>
      <c r="E452" s="15"/>
      <c r="F452" s="15"/>
      <c r="G452" s="15"/>
      <c r="H452" s="15"/>
      <c r="I452" s="15"/>
      <c r="J452" s="15"/>
      <c r="K452" s="15"/>
      <c r="L452" s="15"/>
      <c r="M452" s="15"/>
      <c r="N452" s="15"/>
      <c r="O452" s="15"/>
    </row>
    <row r="453" spans="1:15" ht="19.8" x14ac:dyDescent="0.5">
      <c r="A453" s="58"/>
      <c r="B453" s="15"/>
      <c r="C453" s="15"/>
      <c r="D453" s="15"/>
      <c r="E453" s="15"/>
      <c r="F453" s="15"/>
      <c r="G453" s="15"/>
      <c r="H453" s="15"/>
      <c r="I453" s="15"/>
      <c r="J453" s="15"/>
      <c r="K453" s="15"/>
      <c r="L453" s="15"/>
      <c r="M453" s="15"/>
      <c r="N453" s="15"/>
      <c r="O453" s="15"/>
    </row>
    <row r="454" spans="1:15" ht="19.8" x14ac:dyDescent="0.5">
      <c r="A454" s="58"/>
      <c r="B454" s="15"/>
      <c r="C454" s="15"/>
      <c r="D454" s="15"/>
      <c r="E454" s="15"/>
      <c r="F454" s="15"/>
      <c r="G454" s="15"/>
      <c r="H454" s="15"/>
      <c r="I454" s="15"/>
      <c r="J454" s="15"/>
      <c r="K454" s="15"/>
      <c r="L454" s="15"/>
      <c r="M454" s="15"/>
      <c r="N454" s="15"/>
      <c r="O454" s="15"/>
    </row>
    <row r="455" spans="1:15" ht="19.8" x14ac:dyDescent="0.5">
      <c r="A455" s="58"/>
      <c r="B455" s="15"/>
      <c r="C455" s="15"/>
      <c r="D455" s="15"/>
      <c r="E455" s="15"/>
      <c r="F455" s="15"/>
      <c r="G455" s="15"/>
      <c r="H455" s="15"/>
      <c r="I455" s="15"/>
      <c r="J455" s="15"/>
      <c r="K455" s="15"/>
      <c r="L455" s="15"/>
      <c r="M455" s="15"/>
      <c r="N455" s="15"/>
      <c r="O455" s="15"/>
    </row>
    <row r="456" spans="1:15" ht="19.8" x14ac:dyDescent="0.5">
      <c r="A456" s="58"/>
      <c r="B456" s="15"/>
      <c r="C456" s="15"/>
      <c r="D456" s="15"/>
      <c r="E456" s="15"/>
      <c r="F456" s="15"/>
      <c r="G456" s="15"/>
      <c r="H456" s="15"/>
      <c r="I456" s="15"/>
      <c r="J456" s="15"/>
      <c r="K456" s="15"/>
      <c r="L456" s="15"/>
      <c r="M456" s="15"/>
      <c r="N456" s="15"/>
      <c r="O456" s="15"/>
    </row>
    <row r="457" spans="1:15" ht="19.8" x14ac:dyDescent="0.5">
      <c r="A457" s="58"/>
      <c r="B457" s="15"/>
      <c r="C457" s="15"/>
      <c r="D457" s="15"/>
      <c r="E457" s="15"/>
      <c r="F457" s="15"/>
      <c r="G457" s="15"/>
      <c r="H457" s="15"/>
      <c r="I457" s="15"/>
      <c r="J457" s="15"/>
      <c r="K457" s="15"/>
      <c r="L457" s="15"/>
      <c r="M457" s="15"/>
      <c r="N457" s="15"/>
      <c r="O457" s="15"/>
    </row>
    <row r="458" spans="1:15" ht="19.8" x14ac:dyDescent="0.5">
      <c r="A458" s="58"/>
      <c r="B458" s="15"/>
      <c r="C458" s="15"/>
      <c r="D458" s="15"/>
      <c r="E458" s="15"/>
      <c r="F458" s="15"/>
      <c r="G458" s="15"/>
      <c r="H458" s="15"/>
      <c r="I458" s="15"/>
      <c r="J458" s="15"/>
      <c r="K458" s="15"/>
      <c r="L458" s="15"/>
      <c r="M458" s="15"/>
      <c r="N458" s="15"/>
      <c r="O458" s="15"/>
    </row>
    <row r="459" spans="1:15" ht="19.8" x14ac:dyDescent="0.5">
      <c r="A459" s="58"/>
      <c r="B459" s="15"/>
      <c r="C459" s="15"/>
      <c r="D459" s="15"/>
      <c r="E459" s="15"/>
      <c r="F459" s="15"/>
      <c r="G459" s="15"/>
      <c r="H459" s="15"/>
      <c r="I459" s="15"/>
      <c r="J459" s="15"/>
      <c r="K459" s="15"/>
      <c r="L459" s="15"/>
      <c r="M459" s="15"/>
      <c r="N459" s="15"/>
      <c r="O459" s="15"/>
    </row>
    <row r="460" spans="1:15" ht="19.8" x14ac:dyDescent="0.5">
      <c r="A460" s="58"/>
      <c r="B460" s="15"/>
      <c r="C460" s="15"/>
      <c r="D460" s="15"/>
      <c r="E460" s="15"/>
      <c r="F460" s="15"/>
      <c r="G460" s="15"/>
      <c r="H460" s="15"/>
      <c r="I460" s="15"/>
      <c r="J460" s="15"/>
      <c r="K460" s="15"/>
      <c r="L460" s="15"/>
      <c r="M460" s="15"/>
      <c r="N460" s="15"/>
      <c r="O460" s="15"/>
    </row>
    <row r="461" spans="1:15" ht="19.8" x14ac:dyDescent="0.5">
      <c r="A461" s="58"/>
      <c r="B461" s="15"/>
      <c r="C461" s="15"/>
      <c r="D461" s="15"/>
      <c r="E461" s="15"/>
      <c r="F461" s="15"/>
      <c r="G461" s="15"/>
      <c r="H461" s="15"/>
      <c r="I461" s="15"/>
      <c r="J461" s="15"/>
      <c r="K461" s="15"/>
      <c r="L461" s="15"/>
      <c r="M461" s="15"/>
      <c r="N461" s="15"/>
      <c r="O461" s="15"/>
    </row>
    <row r="462" spans="1:15" ht="19.8" x14ac:dyDescent="0.5">
      <c r="A462" s="58"/>
      <c r="B462" s="15"/>
      <c r="C462" s="15"/>
      <c r="D462" s="15"/>
      <c r="E462" s="15"/>
      <c r="F462" s="15"/>
      <c r="G462" s="15"/>
      <c r="H462" s="15"/>
      <c r="I462" s="15"/>
      <c r="J462" s="15"/>
      <c r="K462" s="15"/>
      <c r="L462" s="15"/>
      <c r="M462" s="15"/>
      <c r="N462" s="15"/>
      <c r="O462" s="15"/>
    </row>
    <row r="463" spans="1:15" ht="19.8" x14ac:dyDescent="0.5">
      <c r="A463" s="58"/>
      <c r="B463" s="15"/>
      <c r="C463" s="15"/>
      <c r="D463" s="15"/>
      <c r="E463" s="15"/>
      <c r="F463" s="15"/>
      <c r="G463" s="15"/>
      <c r="H463" s="15"/>
      <c r="I463" s="15"/>
      <c r="J463" s="15"/>
      <c r="K463" s="15"/>
      <c r="L463" s="15"/>
      <c r="M463" s="15"/>
      <c r="N463" s="15"/>
      <c r="O463" s="15"/>
    </row>
    <row r="464" spans="1:15" ht="19.8" x14ac:dyDescent="0.5">
      <c r="A464" s="58"/>
      <c r="B464" s="15"/>
      <c r="C464" s="15"/>
      <c r="D464" s="15"/>
      <c r="E464" s="15"/>
      <c r="F464" s="15"/>
      <c r="G464" s="15"/>
      <c r="H464" s="15"/>
      <c r="I464" s="15"/>
      <c r="J464" s="15"/>
      <c r="K464" s="15"/>
      <c r="L464" s="15"/>
      <c r="M464" s="15"/>
      <c r="N464" s="15"/>
      <c r="O464" s="15"/>
    </row>
    <row r="465" spans="1:15" ht="19.8" x14ac:dyDescent="0.5">
      <c r="A465" s="58"/>
      <c r="B465" s="15"/>
      <c r="C465" s="15"/>
      <c r="D465" s="15"/>
      <c r="E465" s="15"/>
      <c r="F465" s="15"/>
      <c r="G465" s="15"/>
      <c r="H465" s="15"/>
      <c r="I465" s="15"/>
      <c r="J465" s="15"/>
      <c r="K465" s="15"/>
      <c r="L465" s="15"/>
      <c r="M465" s="15"/>
      <c r="N465" s="15"/>
      <c r="O465" s="15"/>
    </row>
    <row r="466" spans="1:15" ht="19.8" x14ac:dyDescent="0.5">
      <c r="A466" s="58"/>
      <c r="B466" s="15"/>
      <c r="C466" s="15"/>
      <c r="D466" s="15"/>
      <c r="E466" s="15"/>
      <c r="F466" s="15"/>
      <c r="G466" s="15"/>
      <c r="H466" s="15"/>
      <c r="I466" s="15"/>
      <c r="J466" s="15"/>
      <c r="K466" s="15"/>
      <c r="L466" s="15"/>
      <c r="M466" s="15"/>
      <c r="N466" s="15"/>
      <c r="O466" s="15"/>
    </row>
    <row r="467" spans="1:15" ht="19.8" x14ac:dyDescent="0.5">
      <c r="A467" s="58"/>
      <c r="B467" s="15"/>
      <c r="C467" s="15"/>
      <c r="D467" s="15"/>
      <c r="E467" s="15"/>
      <c r="F467" s="15"/>
      <c r="G467" s="15"/>
      <c r="H467" s="15"/>
      <c r="I467" s="15"/>
      <c r="J467" s="15"/>
      <c r="K467" s="15"/>
      <c r="L467" s="15"/>
      <c r="M467" s="15"/>
      <c r="N467" s="15"/>
      <c r="O467" s="15"/>
    </row>
    <row r="468" spans="1:15" ht="19.8" x14ac:dyDescent="0.5">
      <c r="A468" s="58"/>
      <c r="B468" s="15"/>
      <c r="C468" s="15"/>
      <c r="D468" s="15"/>
      <c r="E468" s="15"/>
      <c r="F468" s="15"/>
      <c r="G468" s="15"/>
      <c r="H468" s="15"/>
      <c r="I468" s="15"/>
      <c r="J468" s="15"/>
      <c r="K468" s="15"/>
      <c r="L468" s="15"/>
      <c r="M468" s="15"/>
      <c r="N468" s="15"/>
      <c r="O468" s="15"/>
    </row>
    <row r="469" spans="1:15" ht="19.8" x14ac:dyDescent="0.5">
      <c r="A469" s="58"/>
      <c r="B469" s="15"/>
      <c r="C469" s="15"/>
      <c r="D469" s="15"/>
      <c r="E469" s="15"/>
      <c r="F469" s="15"/>
      <c r="G469" s="15"/>
      <c r="H469" s="15"/>
      <c r="I469" s="15"/>
      <c r="J469" s="15"/>
      <c r="K469" s="15"/>
      <c r="L469" s="15"/>
      <c r="M469" s="15"/>
      <c r="N469" s="15"/>
      <c r="O469" s="15"/>
    </row>
    <row r="470" spans="1:15" ht="19.8" x14ac:dyDescent="0.5">
      <c r="A470" s="58"/>
      <c r="B470" s="15"/>
      <c r="C470" s="15"/>
      <c r="D470" s="15"/>
      <c r="E470" s="15"/>
      <c r="F470" s="15"/>
      <c r="G470" s="15"/>
      <c r="H470" s="15"/>
      <c r="I470" s="15"/>
      <c r="J470" s="15"/>
      <c r="K470" s="15"/>
      <c r="L470" s="15"/>
      <c r="M470" s="15"/>
      <c r="N470" s="15"/>
      <c r="O470" s="15"/>
    </row>
    <row r="471" spans="1:15" ht="19.8" x14ac:dyDescent="0.5">
      <c r="A471" s="58"/>
      <c r="B471" s="15"/>
      <c r="C471" s="15"/>
      <c r="D471" s="15"/>
      <c r="E471" s="15"/>
      <c r="F471" s="15"/>
      <c r="G471" s="15"/>
      <c r="H471" s="15"/>
      <c r="I471" s="15"/>
      <c r="J471" s="15"/>
      <c r="K471" s="15"/>
      <c r="L471" s="15"/>
      <c r="M471" s="15"/>
      <c r="N471" s="15"/>
      <c r="O471" s="15"/>
    </row>
    <row r="472" spans="1:15" ht="19.8" x14ac:dyDescent="0.5">
      <c r="A472" s="58"/>
      <c r="B472" s="15"/>
      <c r="C472" s="15"/>
      <c r="D472" s="15"/>
      <c r="E472" s="15"/>
      <c r="F472" s="15"/>
      <c r="G472" s="15"/>
      <c r="H472" s="15"/>
      <c r="I472" s="15"/>
      <c r="J472" s="15"/>
      <c r="K472" s="15"/>
      <c r="L472" s="15"/>
      <c r="M472" s="15"/>
      <c r="N472" s="15"/>
      <c r="O472" s="15"/>
    </row>
    <row r="473" spans="1:15" ht="19.8" x14ac:dyDescent="0.5">
      <c r="A473" s="58"/>
      <c r="B473" s="15"/>
      <c r="C473" s="15"/>
      <c r="D473" s="15"/>
      <c r="E473" s="15"/>
      <c r="F473" s="15"/>
      <c r="G473" s="15"/>
      <c r="H473" s="15"/>
      <c r="I473" s="15"/>
      <c r="J473" s="15"/>
      <c r="K473" s="15"/>
      <c r="L473" s="15"/>
      <c r="M473" s="15"/>
      <c r="N473" s="15"/>
      <c r="O473" s="15"/>
    </row>
    <row r="474" spans="1:15" ht="19.8" x14ac:dyDescent="0.5">
      <c r="A474" s="58"/>
      <c r="B474" s="15"/>
      <c r="C474" s="15"/>
      <c r="D474" s="15"/>
      <c r="E474" s="15"/>
      <c r="F474" s="15"/>
      <c r="G474" s="15"/>
      <c r="H474" s="15"/>
      <c r="I474" s="15"/>
      <c r="J474" s="15"/>
      <c r="K474" s="15"/>
      <c r="L474" s="15"/>
      <c r="M474" s="15"/>
      <c r="N474" s="15"/>
      <c r="O474" s="15"/>
    </row>
    <row r="475" spans="1:15" ht="19.8" x14ac:dyDescent="0.5">
      <c r="A475" s="58"/>
      <c r="B475" s="15"/>
      <c r="C475" s="15"/>
      <c r="D475" s="15"/>
      <c r="E475" s="15"/>
      <c r="F475" s="15"/>
      <c r="G475" s="15"/>
      <c r="H475" s="15"/>
      <c r="I475" s="15"/>
      <c r="J475" s="15"/>
      <c r="K475" s="15"/>
      <c r="L475" s="15"/>
      <c r="M475" s="15"/>
      <c r="N475" s="15"/>
      <c r="O475" s="15"/>
    </row>
    <row r="476" spans="1:15" ht="19.8" x14ac:dyDescent="0.5">
      <c r="A476" s="58"/>
      <c r="B476" s="15"/>
      <c r="C476" s="15"/>
      <c r="D476" s="15"/>
      <c r="E476" s="15"/>
      <c r="F476" s="15"/>
      <c r="G476" s="15"/>
      <c r="H476" s="15"/>
      <c r="I476" s="15"/>
      <c r="J476" s="15"/>
      <c r="K476" s="15"/>
      <c r="L476" s="15"/>
      <c r="M476" s="15"/>
      <c r="N476" s="15"/>
      <c r="O476" s="15"/>
    </row>
    <row r="477" spans="1:15" ht="19.8" x14ac:dyDescent="0.5">
      <c r="A477" s="58"/>
      <c r="B477" s="15"/>
      <c r="C477" s="15"/>
      <c r="D477" s="15"/>
      <c r="E477" s="15"/>
      <c r="F477" s="15"/>
      <c r="G477" s="15"/>
      <c r="H477" s="15"/>
      <c r="I477" s="15"/>
      <c r="J477" s="15"/>
      <c r="K477" s="15"/>
      <c r="L477" s="15"/>
      <c r="M477" s="15"/>
      <c r="N477" s="15"/>
      <c r="O477" s="15"/>
    </row>
    <row r="478" spans="1:15" ht="19.8" x14ac:dyDescent="0.5">
      <c r="A478" s="58"/>
      <c r="B478" s="15"/>
      <c r="C478" s="15"/>
      <c r="D478" s="15"/>
      <c r="E478" s="15"/>
      <c r="F478" s="15"/>
      <c r="G478" s="15"/>
      <c r="H478" s="15"/>
      <c r="I478" s="15"/>
      <c r="J478" s="15"/>
      <c r="K478" s="15"/>
      <c r="L478" s="15"/>
      <c r="M478" s="15"/>
      <c r="N478" s="15"/>
      <c r="O478" s="15"/>
    </row>
    <row r="479" spans="1:15" ht="19.8" x14ac:dyDescent="0.5">
      <c r="A479" s="58"/>
      <c r="B479" s="15"/>
      <c r="C479" s="15"/>
      <c r="D479" s="15"/>
      <c r="E479" s="15"/>
      <c r="F479" s="15"/>
      <c r="G479" s="15"/>
      <c r="H479" s="15"/>
      <c r="I479" s="15"/>
      <c r="J479" s="15"/>
      <c r="K479" s="15"/>
      <c r="L479" s="15"/>
      <c r="M479" s="15"/>
      <c r="N479" s="15"/>
      <c r="O479" s="15"/>
    </row>
    <row r="480" spans="1:15" ht="19.8" x14ac:dyDescent="0.5">
      <c r="A480" s="58"/>
      <c r="B480" s="15"/>
      <c r="C480" s="15"/>
      <c r="D480" s="15"/>
      <c r="E480" s="15"/>
      <c r="F480" s="15"/>
      <c r="G480" s="15"/>
      <c r="H480" s="15"/>
      <c r="I480" s="15"/>
      <c r="J480" s="15"/>
      <c r="K480" s="15"/>
      <c r="L480" s="15"/>
      <c r="M480" s="15"/>
      <c r="N480" s="15"/>
      <c r="O480" s="15"/>
    </row>
    <row r="481" spans="1:15" ht="19.8" x14ac:dyDescent="0.5">
      <c r="A481" s="58"/>
      <c r="B481" s="15"/>
      <c r="C481" s="15"/>
      <c r="D481" s="15"/>
      <c r="E481" s="15"/>
      <c r="F481" s="15"/>
      <c r="G481" s="15"/>
      <c r="H481" s="15"/>
      <c r="I481" s="15"/>
      <c r="J481" s="15"/>
      <c r="K481" s="15"/>
      <c r="L481" s="15"/>
      <c r="M481" s="15"/>
      <c r="N481" s="15"/>
      <c r="O481" s="15"/>
    </row>
    <row r="482" spans="1:15" ht="19.8" x14ac:dyDescent="0.5">
      <c r="A482" s="58"/>
      <c r="B482" s="15"/>
      <c r="C482" s="15"/>
      <c r="D482" s="15"/>
      <c r="E482" s="15"/>
      <c r="F482" s="15"/>
      <c r="G482" s="15"/>
      <c r="H482" s="15"/>
      <c r="I482" s="15"/>
      <c r="J482" s="15"/>
      <c r="K482" s="15"/>
      <c r="L482" s="15"/>
      <c r="M482" s="15"/>
      <c r="N482" s="15"/>
      <c r="O482" s="15"/>
    </row>
    <row r="483" spans="1:15" ht="19.8" x14ac:dyDescent="0.5">
      <c r="A483" s="58"/>
      <c r="B483" s="15"/>
      <c r="C483" s="15"/>
      <c r="D483" s="15"/>
      <c r="E483" s="15"/>
      <c r="F483" s="15"/>
      <c r="G483" s="15"/>
      <c r="H483" s="15"/>
      <c r="I483" s="15"/>
      <c r="J483" s="15"/>
      <c r="K483" s="15"/>
      <c r="L483" s="15"/>
      <c r="M483" s="15"/>
      <c r="N483" s="15"/>
      <c r="O483" s="15"/>
    </row>
    <row r="484" spans="1:15" ht="19.8" x14ac:dyDescent="0.5">
      <c r="A484" s="58"/>
      <c r="B484" s="15"/>
      <c r="C484" s="15"/>
      <c r="D484" s="15"/>
      <c r="E484" s="15"/>
      <c r="F484" s="15"/>
      <c r="G484" s="15"/>
      <c r="H484" s="15"/>
      <c r="I484" s="15"/>
      <c r="J484" s="15"/>
      <c r="K484" s="15"/>
      <c r="L484" s="15"/>
      <c r="M484" s="15"/>
      <c r="N484" s="15"/>
      <c r="O484" s="15"/>
    </row>
    <row r="485" spans="1:15" ht="19.8" x14ac:dyDescent="0.5">
      <c r="A485" s="58"/>
      <c r="B485" s="15"/>
      <c r="C485" s="15"/>
      <c r="D485" s="15"/>
      <c r="E485" s="15"/>
      <c r="F485" s="15"/>
      <c r="G485" s="15"/>
      <c r="H485" s="15"/>
      <c r="I485" s="15"/>
      <c r="J485" s="15"/>
      <c r="K485" s="15"/>
      <c r="L485" s="15"/>
      <c r="M485" s="15"/>
      <c r="N485" s="15"/>
      <c r="O485" s="15"/>
    </row>
    <row r="486" spans="1:15" ht="19.8" x14ac:dyDescent="0.5">
      <c r="A486" s="58"/>
      <c r="B486" s="15"/>
      <c r="C486" s="15"/>
      <c r="D486" s="15"/>
      <c r="E486" s="15"/>
      <c r="F486" s="15"/>
      <c r="G486" s="15"/>
      <c r="H486" s="15"/>
      <c r="I486" s="15"/>
      <c r="J486" s="15"/>
      <c r="K486" s="15"/>
      <c r="L486" s="15"/>
      <c r="M486" s="15"/>
      <c r="N486" s="15"/>
      <c r="O486" s="15"/>
    </row>
    <row r="487" spans="1:15" ht="19.8" x14ac:dyDescent="0.5">
      <c r="A487" s="58"/>
      <c r="B487" s="15"/>
      <c r="C487" s="15"/>
      <c r="D487" s="15"/>
      <c r="E487" s="15"/>
      <c r="F487" s="15"/>
      <c r="G487" s="15"/>
      <c r="H487" s="15"/>
      <c r="I487" s="15"/>
      <c r="J487" s="15"/>
      <c r="K487" s="15"/>
      <c r="L487" s="15"/>
      <c r="M487" s="15"/>
      <c r="N487" s="15"/>
      <c r="O487" s="15"/>
    </row>
    <row r="488" spans="1:15" ht="19.8" x14ac:dyDescent="0.5">
      <c r="A488" s="58"/>
      <c r="B488" s="15"/>
      <c r="C488" s="15"/>
      <c r="D488" s="15"/>
      <c r="E488" s="15"/>
      <c r="F488" s="15"/>
      <c r="G488" s="15"/>
      <c r="H488" s="15"/>
      <c r="I488" s="15"/>
      <c r="J488" s="15"/>
      <c r="K488" s="15"/>
      <c r="L488" s="15"/>
      <c r="M488" s="15"/>
      <c r="N488" s="15"/>
      <c r="O488" s="15"/>
    </row>
    <row r="489" spans="1:15" ht="19.8" x14ac:dyDescent="0.5">
      <c r="A489" s="58"/>
      <c r="B489" s="15"/>
      <c r="C489" s="15"/>
      <c r="D489" s="15"/>
      <c r="E489" s="15"/>
      <c r="F489" s="15"/>
      <c r="G489" s="15"/>
      <c r="H489" s="15"/>
      <c r="I489" s="15"/>
      <c r="J489" s="15"/>
      <c r="K489" s="15"/>
      <c r="L489" s="15"/>
      <c r="M489" s="15"/>
      <c r="N489" s="15"/>
      <c r="O489" s="15"/>
    </row>
    <row r="490" spans="1:15" ht="19.8" x14ac:dyDescent="0.5">
      <c r="A490" s="58"/>
      <c r="B490" s="15"/>
      <c r="C490" s="15"/>
      <c r="D490" s="15"/>
      <c r="E490" s="15"/>
      <c r="F490" s="15"/>
      <c r="G490" s="15"/>
      <c r="H490" s="15"/>
      <c r="I490" s="15"/>
      <c r="J490" s="15"/>
      <c r="K490" s="15"/>
      <c r="L490" s="15"/>
      <c r="M490" s="15"/>
      <c r="N490" s="15"/>
      <c r="O490" s="15"/>
    </row>
    <row r="491" spans="1:15" ht="19.8" x14ac:dyDescent="0.5">
      <c r="A491" s="58"/>
      <c r="B491" s="15"/>
      <c r="C491" s="15"/>
      <c r="D491" s="15"/>
      <c r="E491" s="15"/>
      <c r="F491" s="15"/>
      <c r="G491" s="15"/>
      <c r="H491" s="15"/>
      <c r="I491" s="15"/>
      <c r="J491" s="15"/>
      <c r="K491" s="15"/>
      <c r="L491" s="15"/>
      <c r="M491" s="15"/>
      <c r="N491" s="15"/>
      <c r="O491" s="15"/>
    </row>
    <row r="492" spans="1:15" ht="19.8" x14ac:dyDescent="0.5">
      <c r="A492" s="58"/>
      <c r="B492" s="15"/>
      <c r="C492" s="15"/>
      <c r="D492" s="15"/>
      <c r="E492" s="15"/>
      <c r="F492" s="15"/>
      <c r="G492" s="15"/>
      <c r="H492" s="15"/>
      <c r="I492" s="15"/>
      <c r="J492" s="15"/>
      <c r="K492" s="15"/>
      <c r="L492" s="15"/>
      <c r="M492" s="15"/>
      <c r="N492" s="15"/>
      <c r="O492" s="15"/>
    </row>
    <row r="493" spans="1:15" ht="19.8" x14ac:dyDescent="0.5">
      <c r="A493" s="58"/>
      <c r="B493" s="15"/>
      <c r="C493" s="15"/>
      <c r="D493" s="15"/>
      <c r="E493" s="15"/>
      <c r="F493" s="15"/>
      <c r="G493" s="15"/>
      <c r="H493" s="15"/>
      <c r="I493" s="15"/>
      <c r="J493" s="15"/>
      <c r="K493" s="15"/>
      <c r="L493" s="15"/>
      <c r="M493" s="15"/>
      <c r="N493" s="15"/>
      <c r="O493" s="15"/>
    </row>
    <row r="494" spans="1:15" ht="19.8" x14ac:dyDescent="0.5">
      <c r="A494" s="58"/>
      <c r="B494" s="15"/>
      <c r="C494" s="15"/>
      <c r="D494" s="15"/>
      <c r="E494" s="15"/>
      <c r="F494" s="15"/>
      <c r="G494" s="15"/>
      <c r="H494" s="15"/>
      <c r="I494" s="15"/>
      <c r="J494" s="15"/>
      <c r="K494" s="15"/>
      <c r="L494" s="15"/>
      <c r="M494" s="15"/>
      <c r="N494" s="15"/>
      <c r="O494" s="15"/>
    </row>
    <row r="495" spans="1:15" ht="19.8" x14ac:dyDescent="0.5">
      <c r="A495" s="58"/>
      <c r="B495" s="15"/>
      <c r="C495" s="15"/>
      <c r="D495" s="15"/>
      <c r="E495" s="15"/>
      <c r="F495" s="15"/>
      <c r="G495" s="15"/>
      <c r="H495" s="15"/>
      <c r="I495" s="15"/>
      <c r="J495" s="15"/>
      <c r="K495" s="15"/>
      <c r="L495" s="15"/>
      <c r="M495" s="15"/>
      <c r="N495" s="15"/>
      <c r="O495" s="15"/>
    </row>
    <row r="496" spans="1:15" ht="19.8" x14ac:dyDescent="0.5">
      <c r="A496" s="58"/>
      <c r="B496" s="15"/>
      <c r="C496" s="15"/>
      <c r="D496" s="15"/>
      <c r="E496" s="15"/>
      <c r="F496" s="15"/>
      <c r="G496" s="15"/>
      <c r="H496" s="15"/>
      <c r="I496" s="15"/>
      <c r="J496" s="15"/>
      <c r="K496" s="15"/>
      <c r="L496" s="15"/>
      <c r="M496" s="15"/>
      <c r="N496" s="15"/>
      <c r="O496" s="15"/>
    </row>
    <row r="497" spans="1:15" ht="19.8" x14ac:dyDescent="0.5">
      <c r="A497" s="58"/>
      <c r="B497" s="15"/>
      <c r="C497" s="15"/>
      <c r="D497" s="15"/>
      <c r="E497" s="15"/>
      <c r="F497" s="15"/>
      <c r="G497" s="15"/>
      <c r="H497" s="15"/>
      <c r="I497" s="15"/>
      <c r="J497" s="15"/>
      <c r="K497" s="15"/>
      <c r="L497" s="15"/>
      <c r="M497" s="15"/>
      <c r="N497" s="15"/>
      <c r="O497" s="15"/>
    </row>
    <row r="498" spans="1:15" ht="19.8" x14ac:dyDescent="0.5">
      <c r="A498" s="58"/>
      <c r="B498" s="15"/>
      <c r="C498" s="15"/>
      <c r="D498" s="15"/>
      <c r="E498" s="15"/>
      <c r="F498" s="15"/>
      <c r="G498" s="15"/>
      <c r="H498" s="15"/>
      <c r="I498" s="15"/>
      <c r="J498" s="15"/>
      <c r="K498" s="15"/>
      <c r="L498" s="15"/>
      <c r="M498" s="15"/>
      <c r="N498" s="15"/>
      <c r="O498" s="15"/>
    </row>
    <row r="499" spans="1:15" ht="19.8" x14ac:dyDescent="0.5">
      <c r="A499" s="58"/>
      <c r="B499" s="15"/>
      <c r="C499" s="15"/>
      <c r="D499" s="15"/>
      <c r="E499" s="15"/>
      <c r="F499" s="15"/>
      <c r="G499" s="15"/>
      <c r="H499" s="15"/>
      <c r="I499" s="15"/>
      <c r="J499" s="15"/>
      <c r="K499" s="15"/>
      <c r="L499" s="15"/>
      <c r="M499" s="15"/>
      <c r="N499" s="15"/>
      <c r="O499" s="15"/>
    </row>
    <row r="500" spans="1:15" ht="19.8" x14ac:dyDescent="0.5">
      <c r="A500" s="58"/>
      <c r="B500" s="15"/>
      <c r="C500" s="15"/>
      <c r="D500" s="15"/>
      <c r="E500" s="15"/>
      <c r="F500" s="15"/>
      <c r="G500" s="15"/>
      <c r="H500" s="15"/>
      <c r="I500" s="15"/>
      <c r="J500" s="15"/>
      <c r="K500" s="15"/>
      <c r="L500" s="15"/>
      <c r="M500" s="15"/>
      <c r="N500" s="15"/>
      <c r="O500" s="15"/>
    </row>
    <row r="501" spans="1:15" ht="19.8" x14ac:dyDescent="0.5">
      <c r="A501" s="58"/>
      <c r="B501" s="15"/>
      <c r="C501" s="15"/>
      <c r="D501" s="15"/>
      <c r="E501" s="15"/>
      <c r="F501" s="15"/>
      <c r="G501" s="15"/>
      <c r="H501" s="15"/>
      <c r="I501" s="15"/>
      <c r="J501" s="15"/>
      <c r="K501" s="15"/>
      <c r="L501" s="15"/>
      <c r="M501" s="15"/>
      <c r="N501" s="15"/>
      <c r="O501" s="15"/>
    </row>
    <row r="502" spans="1:15" ht="19.8" x14ac:dyDescent="0.5">
      <c r="A502" s="58"/>
      <c r="B502" s="15"/>
      <c r="C502" s="15"/>
      <c r="D502" s="15"/>
      <c r="E502" s="15"/>
      <c r="F502" s="15"/>
      <c r="G502" s="15"/>
      <c r="H502" s="15"/>
      <c r="I502" s="15"/>
      <c r="J502" s="15"/>
      <c r="K502" s="15"/>
      <c r="L502" s="15"/>
      <c r="M502" s="15"/>
      <c r="N502" s="15"/>
      <c r="O502" s="15"/>
    </row>
    <row r="503" spans="1:15" ht="19.8" x14ac:dyDescent="0.5">
      <c r="A503" s="58"/>
      <c r="B503" s="15"/>
      <c r="C503" s="15"/>
      <c r="D503" s="15"/>
      <c r="E503" s="15"/>
      <c r="F503" s="15"/>
      <c r="G503" s="15"/>
      <c r="H503" s="15"/>
      <c r="I503" s="15"/>
      <c r="J503" s="15"/>
      <c r="K503" s="15"/>
      <c r="L503" s="15"/>
      <c r="M503" s="15"/>
      <c r="N503" s="15"/>
      <c r="O503" s="15"/>
    </row>
    <row r="504" spans="1:15" ht="19.8" x14ac:dyDescent="0.5">
      <c r="A504" s="58"/>
      <c r="B504" s="15"/>
      <c r="C504" s="15"/>
      <c r="D504" s="15"/>
      <c r="E504" s="15"/>
      <c r="F504" s="15"/>
      <c r="G504" s="15"/>
      <c r="H504" s="15"/>
      <c r="I504" s="15"/>
      <c r="J504" s="15"/>
      <c r="K504" s="15"/>
      <c r="L504" s="15"/>
      <c r="M504" s="15"/>
      <c r="N504" s="15"/>
      <c r="O504" s="15"/>
    </row>
    <row r="505" spans="1:15" ht="19.8" x14ac:dyDescent="0.5">
      <c r="A505" s="58"/>
      <c r="B505" s="15"/>
      <c r="C505" s="15"/>
      <c r="D505" s="15"/>
      <c r="E505" s="15"/>
      <c r="F505" s="15"/>
      <c r="G505" s="15"/>
      <c r="H505" s="15"/>
      <c r="I505" s="15"/>
      <c r="J505" s="15"/>
      <c r="K505" s="15"/>
      <c r="L505" s="15"/>
      <c r="M505" s="15"/>
      <c r="N505" s="15"/>
      <c r="O505" s="15"/>
    </row>
    <row r="506" spans="1:15" ht="19.8" x14ac:dyDescent="0.5">
      <c r="A506" s="58"/>
      <c r="B506" s="15"/>
      <c r="C506" s="15"/>
      <c r="D506" s="15"/>
      <c r="E506" s="15"/>
      <c r="F506" s="15"/>
      <c r="G506" s="15"/>
      <c r="H506" s="15"/>
      <c r="I506" s="15"/>
      <c r="J506" s="15"/>
      <c r="K506" s="15"/>
      <c r="L506" s="15"/>
      <c r="M506" s="15"/>
      <c r="N506" s="15"/>
      <c r="O506" s="15"/>
    </row>
    <row r="507" spans="1:15" ht="19.8" x14ac:dyDescent="0.5">
      <c r="A507" s="58"/>
      <c r="B507" s="15"/>
      <c r="C507" s="15"/>
      <c r="D507" s="15"/>
      <c r="E507" s="15"/>
      <c r="F507" s="15"/>
      <c r="G507" s="15"/>
      <c r="H507" s="15"/>
      <c r="I507" s="15"/>
      <c r="J507" s="15"/>
      <c r="K507" s="15"/>
      <c r="L507" s="15"/>
      <c r="M507" s="15"/>
      <c r="N507" s="15"/>
      <c r="O507" s="15"/>
    </row>
    <row r="508" spans="1:15" ht="19.8" x14ac:dyDescent="0.5">
      <c r="A508" s="58"/>
      <c r="B508" s="15"/>
      <c r="C508" s="15"/>
      <c r="D508" s="15"/>
      <c r="E508" s="15"/>
      <c r="F508" s="15"/>
      <c r="G508" s="15"/>
      <c r="H508" s="15"/>
      <c r="I508" s="15"/>
      <c r="J508" s="15"/>
      <c r="K508" s="15"/>
      <c r="L508" s="15"/>
      <c r="M508" s="15"/>
      <c r="N508" s="15"/>
      <c r="O508" s="15"/>
    </row>
    <row r="509" spans="1:15" ht="19.8" x14ac:dyDescent="0.5">
      <c r="A509" s="58"/>
      <c r="B509" s="15"/>
      <c r="C509" s="15"/>
      <c r="D509" s="15"/>
      <c r="E509" s="15"/>
      <c r="F509" s="15"/>
      <c r="G509" s="15"/>
      <c r="H509" s="15"/>
      <c r="I509" s="15"/>
      <c r="J509" s="15"/>
      <c r="K509" s="15"/>
      <c r="L509" s="15"/>
      <c r="M509" s="15"/>
      <c r="N509" s="15"/>
      <c r="O509" s="15"/>
    </row>
    <row r="510" spans="1:15" ht="19.8" x14ac:dyDescent="0.5">
      <c r="A510" s="58"/>
      <c r="B510" s="15"/>
      <c r="C510" s="15"/>
      <c r="D510" s="15"/>
      <c r="E510" s="15"/>
      <c r="F510" s="15"/>
      <c r="G510" s="15"/>
      <c r="H510" s="15"/>
      <c r="I510" s="15"/>
      <c r="J510" s="15"/>
      <c r="K510" s="15"/>
      <c r="L510" s="15"/>
      <c r="M510" s="15"/>
      <c r="N510" s="15"/>
      <c r="O510" s="15"/>
    </row>
    <row r="511" spans="1:15" ht="19.8" x14ac:dyDescent="0.5">
      <c r="A511" s="58"/>
      <c r="B511" s="15"/>
      <c r="C511" s="15"/>
      <c r="D511" s="15"/>
      <c r="E511" s="15"/>
      <c r="F511" s="15"/>
      <c r="G511" s="15"/>
      <c r="H511" s="15"/>
      <c r="I511" s="15"/>
      <c r="J511" s="15"/>
      <c r="K511" s="15"/>
      <c r="L511" s="15"/>
      <c r="M511" s="15"/>
      <c r="N511" s="15"/>
      <c r="O511" s="15"/>
    </row>
    <row r="512" spans="1:15" ht="19.8" x14ac:dyDescent="0.5">
      <c r="A512" s="58"/>
      <c r="B512" s="15"/>
      <c r="C512" s="15"/>
      <c r="D512" s="15"/>
      <c r="E512" s="15"/>
      <c r="F512" s="15"/>
      <c r="G512" s="15"/>
      <c r="H512" s="15"/>
      <c r="I512" s="15"/>
      <c r="J512" s="15"/>
      <c r="K512" s="15"/>
      <c r="L512" s="15"/>
      <c r="M512" s="15"/>
      <c r="N512" s="15"/>
      <c r="O512" s="15"/>
    </row>
    <row r="513" spans="1:15" ht="19.8" x14ac:dyDescent="0.5">
      <c r="A513" s="58"/>
      <c r="B513" s="15"/>
      <c r="C513" s="15"/>
      <c r="D513" s="15"/>
      <c r="E513" s="15"/>
      <c r="F513" s="15"/>
      <c r="G513" s="15"/>
      <c r="H513" s="15"/>
      <c r="I513" s="15"/>
      <c r="J513" s="15"/>
      <c r="K513" s="15"/>
      <c r="L513" s="15"/>
      <c r="M513" s="15"/>
      <c r="N513" s="15"/>
      <c r="O513" s="15"/>
    </row>
    <row r="514" spans="1:15" ht="19.8" x14ac:dyDescent="0.5">
      <c r="A514" s="58"/>
      <c r="B514" s="15"/>
      <c r="C514" s="15"/>
      <c r="D514" s="15"/>
      <c r="E514" s="15"/>
      <c r="F514" s="15"/>
      <c r="G514" s="15"/>
      <c r="H514" s="15"/>
      <c r="I514" s="15"/>
      <c r="J514" s="15"/>
      <c r="K514" s="15"/>
      <c r="L514" s="15"/>
      <c r="M514" s="15"/>
      <c r="N514" s="15"/>
      <c r="O514" s="15"/>
    </row>
    <row r="515" spans="1:15" ht="19.8" x14ac:dyDescent="0.5">
      <c r="A515" s="58"/>
      <c r="B515" s="15"/>
      <c r="C515" s="15"/>
      <c r="D515" s="15"/>
      <c r="E515" s="15"/>
      <c r="F515" s="15"/>
      <c r="G515" s="15"/>
      <c r="H515" s="15"/>
      <c r="I515" s="15"/>
      <c r="J515" s="15"/>
      <c r="K515" s="15"/>
      <c r="L515" s="15"/>
      <c r="M515" s="15"/>
      <c r="N515" s="15"/>
      <c r="O515" s="15"/>
    </row>
    <row r="516" spans="1:15" ht="19.8" x14ac:dyDescent="0.5">
      <c r="A516" s="58"/>
      <c r="B516" s="15"/>
      <c r="C516" s="15"/>
      <c r="D516" s="15"/>
      <c r="E516" s="15"/>
      <c r="F516" s="15"/>
      <c r="G516" s="15"/>
      <c r="H516" s="15"/>
      <c r="I516" s="15"/>
      <c r="J516" s="15"/>
      <c r="K516" s="15"/>
      <c r="L516" s="15"/>
      <c r="M516" s="15"/>
      <c r="N516" s="15"/>
      <c r="O516" s="15"/>
    </row>
    <row r="517" spans="1:15" ht="19.8" x14ac:dyDescent="0.5">
      <c r="A517" s="58"/>
      <c r="B517" s="15"/>
      <c r="C517" s="15"/>
      <c r="D517" s="15"/>
      <c r="E517" s="15"/>
      <c r="F517" s="15"/>
      <c r="G517" s="15"/>
      <c r="H517" s="15"/>
      <c r="I517" s="15"/>
      <c r="J517" s="15"/>
      <c r="K517" s="15"/>
      <c r="L517" s="15"/>
      <c r="M517" s="15"/>
      <c r="N517" s="15"/>
      <c r="O517" s="15"/>
    </row>
    <row r="518" spans="1:15" ht="19.8" x14ac:dyDescent="0.5">
      <c r="A518" s="58"/>
      <c r="B518" s="15"/>
      <c r="C518" s="15"/>
      <c r="D518" s="15"/>
      <c r="E518" s="15"/>
      <c r="F518" s="15"/>
      <c r="G518" s="15"/>
      <c r="H518" s="15"/>
      <c r="I518" s="15"/>
      <c r="J518" s="15"/>
      <c r="K518" s="15"/>
      <c r="L518" s="15"/>
      <c r="M518" s="15"/>
      <c r="N518" s="15"/>
      <c r="O518" s="15"/>
    </row>
    <row r="519" spans="1:15" ht="19.8" x14ac:dyDescent="0.5">
      <c r="A519" s="58"/>
      <c r="B519" s="15"/>
      <c r="C519" s="15"/>
      <c r="D519" s="15"/>
      <c r="E519" s="15"/>
      <c r="F519" s="15"/>
      <c r="G519" s="15"/>
      <c r="H519" s="15"/>
      <c r="I519" s="15"/>
      <c r="J519" s="15"/>
      <c r="K519" s="15"/>
      <c r="L519" s="15"/>
      <c r="M519" s="15"/>
      <c r="N519" s="15"/>
      <c r="O519" s="15"/>
    </row>
    <row r="520" spans="1:15" ht="19.8" x14ac:dyDescent="0.5">
      <c r="A520" s="58"/>
      <c r="B520" s="15"/>
      <c r="C520" s="15"/>
      <c r="D520" s="15"/>
      <c r="E520" s="15"/>
      <c r="F520" s="15"/>
      <c r="G520" s="15"/>
      <c r="H520" s="15"/>
      <c r="I520" s="15"/>
      <c r="J520" s="15"/>
      <c r="K520" s="15"/>
      <c r="L520" s="15"/>
      <c r="M520" s="15"/>
      <c r="N520" s="15"/>
      <c r="O520" s="15"/>
    </row>
    <row r="521" spans="1:15" ht="19.8" x14ac:dyDescent="0.5">
      <c r="A521" s="58"/>
      <c r="B521" s="15"/>
      <c r="C521" s="15"/>
      <c r="D521" s="15"/>
      <c r="E521" s="15"/>
      <c r="F521" s="15"/>
      <c r="G521" s="15"/>
      <c r="H521" s="15"/>
      <c r="I521" s="15"/>
      <c r="J521" s="15"/>
      <c r="K521" s="15"/>
      <c r="L521" s="15"/>
      <c r="M521" s="15"/>
      <c r="N521" s="15"/>
      <c r="O521" s="15"/>
    </row>
    <row r="522" spans="1:15" ht="19.8" x14ac:dyDescent="0.5">
      <c r="A522" s="58"/>
      <c r="B522" s="15"/>
      <c r="C522" s="15"/>
      <c r="D522" s="15"/>
      <c r="E522" s="15"/>
      <c r="F522" s="15"/>
      <c r="G522" s="15"/>
      <c r="H522" s="15"/>
      <c r="I522" s="15"/>
      <c r="J522" s="15"/>
      <c r="K522" s="15"/>
      <c r="L522" s="15"/>
      <c r="M522" s="15"/>
      <c r="N522" s="15"/>
      <c r="O522" s="15"/>
    </row>
    <row r="523" spans="1:15" ht="19.8" x14ac:dyDescent="0.5">
      <c r="A523" s="58"/>
      <c r="B523" s="15"/>
      <c r="C523" s="15"/>
      <c r="D523" s="15"/>
      <c r="E523" s="15"/>
      <c r="F523" s="15"/>
      <c r="G523" s="15"/>
      <c r="H523" s="15"/>
      <c r="I523" s="15"/>
      <c r="J523" s="15"/>
      <c r="K523" s="15"/>
      <c r="L523" s="15"/>
      <c r="M523" s="15"/>
      <c r="N523" s="15"/>
      <c r="O523" s="15"/>
    </row>
    <row r="524" spans="1:15" ht="19.8" x14ac:dyDescent="0.5">
      <c r="A524" s="58"/>
      <c r="B524" s="15"/>
      <c r="C524" s="15"/>
      <c r="D524" s="15"/>
      <c r="E524" s="15"/>
      <c r="F524" s="15"/>
      <c r="G524" s="15"/>
      <c r="H524" s="15"/>
      <c r="I524" s="15"/>
      <c r="J524" s="15"/>
      <c r="K524" s="15"/>
      <c r="L524" s="15"/>
      <c r="M524" s="15"/>
      <c r="N524" s="15"/>
      <c r="O524" s="15"/>
    </row>
    <row r="525" spans="1:15" ht="19.8" x14ac:dyDescent="0.5">
      <c r="A525" s="58"/>
      <c r="B525" s="15"/>
      <c r="C525" s="15"/>
      <c r="D525" s="15"/>
      <c r="E525" s="15"/>
      <c r="F525" s="15"/>
      <c r="G525" s="15"/>
      <c r="H525" s="15"/>
      <c r="I525" s="15"/>
      <c r="J525" s="15"/>
      <c r="K525" s="15"/>
      <c r="L525" s="15"/>
      <c r="M525" s="15"/>
      <c r="N525" s="15"/>
      <c r="O525" s="15"/>
    </row>
    <row r="526" spans="1:15" ht="19.8" x14ac:dyDescent="0.5">
      <c r="A526" s="58"/>
      <c r="B526" s="15"/>
      <c r="C526" s="15"/>
      <c r="D526" s="15"/>
      <c r="E526" s="15"/>
      <c r="F526" s="15"/>
      <c r="G526" s="15"/>
      <c r="H526" s="15"/>
      <c r="I526" s="15"/>
      <c r="J526" s="15"/>
      <c r="K526" s="15"/>
      <c r="L526" s="15"/>
      <c r="M526" s="15"/>
      <c r="N526" s="15"/>
      <c r="O526" s="15"/>
    </row>
    <row r="527" spans="1:15" ht="19.8" x14ac:dyDescent="0.5">
      <c r="A527" s="58"/>
      <c r="B527" s="15"/>
      <c r="C527" s="15"/>
      <c r="D527" s="15"/>
      <c r="E527" s="15"/>
      <c r="F527" s="15"/>
      <c r="G527" s="15"/>
      <c r="H527" s="15"/>
      <c r="I527" s="15"/>
      <c r="J527" s="15"/>
      <c r="K527" s="15"/>
      <c r="L527" s="15"/>
      <c r="M527" s="15"/>
      <c r="N527" s="15"/>
      <c r="O527" s="15"/>
    </row>
    <row r="528" spans="1:15" ht="19.8" x14ac:dyDescent="0.5">
      <c r="A528" s="58"/>
      <c r="B528" s="15"/>
      <c r="C528" s="15"/>
      <c r="D528" s="15"/>
      <c r="E528" s="15"/>
      <c r="F528" s="15"/>
      <c r="G528" s="15"/>
      <c r="H528" s="15"/>
      <c r="I528" s="15"/>
      <c r="J528" s="15"/>
      <c r="K528" s="15"/>
      <c r="L528" s="15"/>
      <c r="M528" s="15"/>
      <c r="N528" s="15"/>
      <c r="O528" s="15"/>
    </row>
    <row r="529" spans="1:15" ht="19.8" x14ac:dyDescent="0.5">
      <c r="A529" s="58"/>
      <c r="B529" s="15"/>
      <c r="C529" s="15"/>
      <c r="D529" s="15"/>
      <c r="E529" s="15"/>
      <c r="F529" s="15"/>
      <c r="G529" s="15"/>
      <c r="H529" s="15"/>
      <c r="I529" s="15"/>
      <c r="J529" s="15"/>
      <c r="K529" s="15"/>
      <c r="L529" s="15"/>
      <c r="M529" s="15"/>
      <c r="N529" s="15"/>
      <c r="O529" s="15"/>
    </row>
    <row r="530" spans="1:15" ht="19.8" x14ac:dyDescent="0.5">
      <c r="A530" s="58"/>
      <c r="B530" s="15"/>
      <c r="C530" s="15"/>
      <c r="D530" s="15"/>
      <c r="E530" s="15"/>
      <c r="F530" s="15"/>
      <c r="G530" s="15"/>
      <c r="H530" s="15"/>
      <c r="I530" s="15"/>
      <c r="J530" s="15"/>
      <c r="K530" s="15"/>
      <c r="L530" s="15"/>
      <c r="M530" s="15"/>
      <c r="N530" s="15"/>
      <c r="O530" s="15"/>
    </row>
    <row r="531" spans="1:15" ht="19.8" x14ac:dyDescent="0.5">
      <c r="A531" s="58"/>
      <c r="B531" s="15"/>
      <c r="C531" s="15"/>
      <c r="D531" s="15"/>
      <c r="E531" s="15"/>
      <c r="F531" s="15"/>
      <c r="G531" s="15"/>
      <c r="H531" s="15"/>
      <c r="I531" s="15"/>
      <c r="J531" s="15"/>
      <c r="K531" s="15"/>
      <c r="L531" s="15"/>
      <c r="M531" s="15"/>
      <c r="N531" s="15"/>
      <c r="O531" s="15"/>
    </row>
    <row r="532" spans="1:15" ht="19.8" x14ac:dyDescent="0.5">
      <c r="A532" s="58"/>
      <c r="B532" s="15"/>
      <c r="C532" s="15"/>
      <c r="D532" s="15"/>
      <c r="E532" s="15"/>
      <c r="F532" s="15"/>
      <c r="G532" s="15"/>
      <c r="H532" s="15"/>
      <c r="I532" s="15"/>
      <c r="J532" s="15"/>
      <c r="K532" s="15"/>
      <c r="L532" s="15"/>
      <c r="M532" s="15"/>
      <c r="N532" s="15"/>
      <c r="O532" s="15"/>
    </row>
    <row r="533" spans="1:15" ht="19.8" x14ac:dyDescent="0.5">
      <c r="A533" s="58"/>
      <c r="B533" s="15"/>
      <c r="C533" s="15"/>
      <c r="D533" s="15"/>
      <c r="E533" s="15"/>
      <c r="F533" s="15"/>
      <c r="G533" s="15"/>
      <c r="H533" s="15"/>
      <c r="I533" s="15"/>
      <c r="J533" s="15"/>
      <c r="K533" s="15"/>
      <c r="L533" s="15"/>
      <c r="M533" s="15"/>
      <c r="N533" s="15"/>
      <c r="O533" s="15"/>
    </row>
    <row r="534" spans="1:15" ht="19.8" x14ac:dyDescent="0.5">
      <c r="A534" s="58"/>
      <c r="B534" s="15"/>
      <c r="C534" s="15"/>
      <c r="D534" s="15"/>
      <c r="E534" s="15"/>
      <c r="F534" s="15"/>
      <c r="G534" s="15"/>
      <c r="H534" s="15"/>
      <c r="I534" s="15"/>
      <c r="J534" s="15"/>
      <c r="K534" s="15"/>
      <c r="L534" s="15"/>
      <c r="M534" s="15"/>
      <c r="N534" s="15"/>
      <c r="O534" s="15"/>
    </row>
    <row r="535" spans="1:15" ht="19.8" x14ac:dyDescent="0.5">
      <c r="A535" s="58"/>
      <c r="B535" s="15"/>
      <c r="C535" s="15"/>
      <c r="D535" s="15"/>
      <c r="E535" s="15"/>
      <c r="F535" s="15"/>
      <c r="G535" s="15"/>
      <c r="H535" s="15"/>
      <c r="I535" s="15"/>
      <c r="J535" s="15"/>
      <c r="K535" s="15"/>
      <c r="L535" s="15"/>
      <c r="M535" s="15"/>
      <c r="N535" s="15"/>
      <c r="O535" s="15"/>
    </row>
    <row r="536" spans="1:15" ht="19.8" x14ac:dyDescent="0.5">
      <c r="A536" s="58"/>
      <c r="B536" s="15"/>
      <c r="C536" s="15"/>
      <c r="D536" s="15"/>
      <c r="E536" s="15"/>
      <c r="F536" s="15"/>
      <c r="G536" s="15"/>
      <c r="H536" s="15"/>
      <c r="I536" s="15"/>
      <c r="J536" s="15"/>
      <c r="K536" s="15"/>
      <c r="L536" s="15"/>
      <c r="M536" s="15"/>
      <c r="N536" s="15"/>
      <c r="O536" s="15"/>
    </row>
    <row r="537" spans="1:15" ht="19.8" x14ac:dyDescent="0.5">
      <c r="A537" s="58"/>
      <c r="B537" s="15"/>
      <c r="C537" s="15"/>
      <c r="D537" s="15"/>
      <c r="E537" s="15"/>
      <c r="F537" s="15"/>
      <c r="G537" s="15"/>
      <c r="H537" s="15"/>
      <c r="I537" s="15"/>
      <c r="J537" s="15"/>
      <c r="K537" s="15"/>
      <c r="L537" s="15"/>
      <c r="M537" s="15"/>
      <c r="N537" s="15"/>
      <c r="O537" s="15"/>
    </row>
    <row r="538" spans="1:15" ht="19.8" x14ac:dyDescent="0.5">
      <c r="A538" s="58"/>
      <c r="B538" s="15"/>
      <c r="C538" s="15"/>
      <c r="D538" s="15"/>
      <c r="E538" s="15"/>
      <c r="F538" s="15"/>
      <c r="G538" s="15"/>
      <c r="H538" s="15"/>
      <c r="I538" s="15"/>
      <c r="J538" s="15"/>
      <c r="K538" s="15"/>
      <c r="L538" s="15"/>
      <c r="M538" s="15"/>
      <c r="N538" s="15"/>
      <c r="O538" s="15"/>
    </row>
    <row r="539" spans="1:15" ht="19.8" x14ac:dyDescent="0.5">
      <c r="A539" s="58"/>
      <c r="B539" s="15"/>
      <c r="C539" s="15"/>
      <c r="D539" s="15"/>
      <c r="E539" s="15"/>
      <c r="F539" s="15"/>
      <c r="G539" s="15"/>
      <c r="H539" s="15"/>
      <c r="I539" s="15"/>
      <c r="J539" s="15"/>
      <c r="K539" s="15"/>
      <c r="L539" s="15"/>
      <c r="M539" s="15"/>
      <c r="N539" s="15"/>
      <c r="O539" s="15"/>
    </row>
    <row r="540" spans="1:15" ht="19.8" x14ac:dyDescent="0.5">
      <c r="A540" s="58"/>
      <c r="B540" s="15"/>
      <c r="C540" s="15"/>
      <c r="D540" s="15"/>
      <c r="E540" s="15"/>
      <c r="F540" s="15"/>
      <c r="G540" s="15"/>
      <c r="H540" s="15"/>
      <c r="I540" s="15"/>
      <c r="J540" s="15"/>
      <c r="K540" s="15"/>
      <c r="L540" s="15"/>
      <c r="M540" s="15"/>
      <c r="N540" s="15"/>
      <c r="O540" s="15"/>
    </row>
    <row r="541" spans="1:15" ht="19.8" x14ac:dyDescent="0.5">
      <c r="A541" s="58"/>
      <c r="B541" s="15"/>
      <c r="C541" s="15"/>
      <c r="D541" s="15"/>
      <c r="E541" s="15"/>
      <c r="F541" s="15"/>
      <c r="G541" s="15"/>
      <c r="H541" s="15"/>
      <c r="I541" s="15"/>
      <c r="J541" s="15"/>
      <c r="K541" s="15"/>
      <c r="L541" s="15"/>
      <c r="M541" s="15"/>
      <c r="N541" s="15"/>
      <c r="O541" s="15"/>
    </row>
    <row r="542" spans="1:15" ht="19.8" x14ac:dyDescent="0.5">
      <c r="A542" s="58"/>
      <c r="B542" s="15"/>
      <c r="C542" s="15"/>
      <c r="D542" s="15"/>
      <c r="E542" s="15"/>
      <c r="F542" s="15"/>
      <c r="G542" s="15"/>
      <c r="H542" s="15"/>
      <c r="I542" s="15"/>
      <c r="J542" s="15"/>
      <c r="K542" s="15"/>
      <c r="L542" s="15"/>
      <c r="M542" s="15"/>
      <c r="N542" s="15"/>
      <c r="O542" s="15"/>
    </row>
    <row r="543" spans="1:15" ht="19.8" x14ac:dyDescent="0.5">
      <c r="A543" s="58"/>
      <c r="B543" s="15"/>
      <c r="C543" s="15"/>
      <c r="D543" s="15"/>
      <c r="E543" s="15"/>
      <c r="F543" s="15"/>
      <c r="G543" s="15"/>
      <c r="H543" s="15"/>
      <c r="I543" s="15"/>
      <c r="J543" s="15"/>
      <c r="K543" s="15"/>
      <c r="L543" s="15"/>
      <c r="M543" s="15"/>
      <c r="N543" s="15"/>
      <c r="O543" s="15"/>
    </row>
    <row r="544" spans="1:15" ht="19.8" x14ac:dyDescent="0.5">
      <c r="A544" s="58"/>
      <c r="B544" s="15"/>
      <c r="C544" s="15"/>
      <c r="D544" s="15"/>
      <c r="E544" s="15"/>
      <c r="F544" s="15"/>
      <c r="G544" s="15"/>
      <c r="H544" s="15"/>
      <c r="I544" s="15"/>
      <c r="J544" s="15"/>
      <c r="K544" s="15"/>
      <c r="L544" s="15"/>
      <c r="M544" s="15"/>
      <c r="N544" s="15"/>
      <c r="O544" s="15"/>
    </row>
    <row r="545" spans="1:15" ht="19.8" x14ac:dyDescent="0.5">
      <c r="A545" s="58"/>
      <c r="B545" s="15"/>
      <c r="C545" s="15"/>
      <c r="D545" s="15"/>
      <c r="E545" s="15"/>
      <c r="F545" s="15"/>
      <c r="G545" s="15"/>
      <c r="H545" s="15"/>
      <c r="I545" s="15"/>
      <c r="J545" s="15"/>
      <c r="K545" s="15"/>
      <c r="L545" s="15"/>
      <c r="M545" s="15"/>
      <c r="N545" s="15"/>
      <c r="O545" s="15"/>
    </row>
    <row r="546" spans="1:15" ht="19.8" x14ac:dyDescent="0.5">
      <c r="A546" s="58"/>
      <c r="B546" s="15"/>
      <c r="C546" s="15"/>
      <c r="D546" s="15"/>
      <c r="E546" s="15"/>
      <c r="F546" s="15"/>
      <c r="G546" s="15"/>
      <c r="H546" s="15"/>
      <c r="I546" s="15"/>
      <c r="J546" s="15"/>
      <c r="K546" s="15"/>
      <c r="L546" s="15"/>
      <c r="M546" s="15"/>
      <c r="N546" s="15"/>
      <c r="O546" s="15"/>
    </row>
    <row r="547" spans="1:15" ht="19.8" x14ac:dyDescent="0.5">
      <c r="A547" s="58"/>
      <c r="B547" s="15"/>
      <c r="C547" s="15"/>
      <c r="D547" s="15"/>
      <c r="E547" s="15"/>
      <c r="F547" s="15"/>
      <c r="G547" s="15"/>
      <c r="H547" s="15"/>
      <c r="I547" s="15"/>
      <c r="J547" s="15"/>
      <c r="K547" s="15"/>
      <c r="L547" s="15"/>
      <c r="M547" s="15"/>
      <c r="N547" s="15"/>
      <c r="O547" s="15"/>
    </row>
    <row r="548" spans="1:15" ht="19.8" x14ac:dyDescent="0.5">
      <c r="A548" s="58"/>
      <c r="B548" s="15"/>
      <c r="C548" s="15"/>
      <c r="D548" s="15"/>
      <c r="E548" s="15"/>
      <c r="F548" s="15"/>
      <c r="G548" s="15"/>
      <c r="H548" s="15"/>
      <c r="I548" s="15"/>
      <c r="J548" s="15"/>
      <c r="K548" s="15"/>
      <c r="L548" s="15"/>
      <c r="M548" s="15"/>
      <c r="N548" s="15"/>
      <c r="O548" s="15"/>
    </row>
    <row r="549" spans="1:15" ht="19.8" x14ac:dyDescent="0.5">
      <c r="A549" s="58"/>
      <c r="B549" s="15"/>
      <c r="C549" s="15"/>
      <c r="D549" s="15"/>
      <c r="E549" s="15"/>
      <c r="F549" s="15"/>
      <c r="G549" s="15"/>
      <c r="H549" s="15"/>
      <c r="I549" s="15"/>
      <c r="J549" s="15"/>
      <c r="K549" s="15"/>
      <c r="L549" s="15"/>
      <c r="M549" s="15"/>
      <c r="N549" s="15"/>
      <c r="O549" s="15"/>
    </row>
    <row r="550" spans="1:15" ht="19.8" x14ac:dyDescent="0.5">
      <c r="A550" s="58"/>
      <c r="B550" s="15"/>
      <c r="C550" s="15"/>
      <c r="D550" s="15"/>
      <c r="E550" s="15"/>
      <c r="F550" s="15"/>
      <c r="G550" s="15"/>
      <c r="H550" s="15"/>
      <c r="I550" s="15"/>
      <c r="J550" s="15"/>
      <c r="K550" s="15"/>
      <c r="L550" s="15"/>
      <c r="M550" s="15"/>
      <c r="N550" s="15"/>
      <c r="O550" s="15"/>
    </row>
    <row r="551" spans="1:15" ht="19.8" x14ac:dyDescent="0.5">
      <c r="A551" s="58"/>
      <c r="B551" s="15"/>
      <c r="C551" s="15"/>
      <c r="D551" s="15"/>
      <c r="E551" s="15"/>
      <c r="F551" s="15"/>
      <c r="G551" s="15"/>
      <c r="H551" s="15"/>
      <c r="I551" s="15"/>
      <c r="J551" s="15"/>
      <c r="K551" s="15"/>
      <c r="L551" s="15"/>
      <c r="M551" s="15"/>
      <c r="N551" s="15"/>
      <c r="O551" s="15"/>
    </row>
    <row r="552" spans="1:15" ht="19.8" x14ac:dyDescent="0.5">
      <c r="A552" s="58"/>
      <c r="B552" s="15"/>
      <c r="C552" s="15"/>
      <c r="D552" s="15"/>
      <c r="E552" s="15"/>
      <c r="F552" s="15"/>
      <c r="G552" s="15"/>
      <c r="H552" s="15"/>
      <c r="I552" s="15"/>
      <c r="J552" s="15"/>
      <c r="K552" s="15"/>
      <c r="L552" s="15"/>
      <c r="M552" s="15"/>
      <c r="N552" s="15"/>
      <c r="O552" s="15"/>
    </row>
    <row r="553" spans="1:15" ht="19.8" x14ac:dyDescent="0.5">
      <c r="A553" s="58"/>
      <c r="B553" s="15"/>
      <c r="C553" s="15"/>
      <c r="D553" s="15"/>
      <c r="E553" s="15"/>
      <c r="F553" s="15"/>
      <c r="G553" s="15"/>
      <c r="H553" s="15"/>
      <c r="I553" s="15"/>
      <c r="J553" s="15"/>
      <c r="K553" s="15"/>
      <c r="L553" s="15"/>
      <c r="M553" s="15"/>
      <c r="N553" s="15"/>
      <c r="O553" s="15"/>
    </row>
    <row r="554" spans="1:15" ht="19.8" x14ac:dyDescent="0.5">
      <c r="A554" s="58"/>
      <c r="B554" s="15"/>
      <c r="C554" s="15"/>
      <c r="D554" s="15"/>
      <c r="E554" s="15"/>
      <c r="F554" s="15"/>
      <c r="G554" s="15"/>
      <c r="H554" s="15"/>
      <c r="I554" s="15"/>
      <c r="J554" s="15"/>
      <c r="K554" s="15"/>
      <c r="L554" s="15"/>
      <c r="M554" s="15"/>
      <c r="N554" s="15"/>
      <c r="O554" s="15"/>
    </row>
    <row r="555" spans="1:15" ht="19.8" x14ac:dyDescent="0.5">
      <c r="A555" s="58"/>
      <c r="B555" s="15"/>
      <c r="C555" s="15"/>
      <c r="D555" s="15"/>
      <c r="E555" s="15"/>
      <c r="F555" s="15"/>
      <c r="G555" s="15"/>
      <c r="H555" s="15"/>
      <c r="I555" s="15"/>
      <c r="J555" s="15"/>
      <c r="K555" s="15"/>
      <c r="L555" s="15"/>
      <c r="M555" s="15"/>
      <c r="N555" s="15"/>
      <c r="O555" s="15"/>
    </row>
    <row r="556" spans="1:15" ht="19.8" x14ac:dyDescent="0.5">
      <c r="A556" s="58"/>
      <c r="B556" s="15"/>
      <c r="C556" s="15"/>
      <c r="D556" s="15"/>
      <c r="E556" s="15"/>
      <c r="F556" s="15"/>
      <c r="G556" s="15"/>
      <c r="H556" s="15"/>
      <c r="I556" s="15"/>
      <c r="J556" s="15"/>
      <c r="K556" s="15"/>
      <c r="L556" s="15"/>
      <c r="M556" s="15"/>
      <c r="N556" s="15"/>
      <c r="O556" s="15"/>
    </row>
    <row r="557" spans="1:15" ht="19.8" x14ac:dyDescent="0.5">
      <c r="A557" s="58"/>
      <c r="B557" s="15"/>
      <c r="C557" s="15"/>
      <c r="D557" s="15"/>
      <c r="E557" s="15"/>
      <c r="F557" s="15"/>
      <c r="G557" s="15"/>
      <c r="H557" s="15"/>
      <c r="I557" s="15"/>
      <c r="J557" s="15"/>
      <c r="K557" s="15"/>
      <c r="L557" s="15"/>
      <c r="M557" s="15"/>
      <c r="N557" s="15"/>
      <c r="O557" s="15"/>
    </row>
    <row r="558" spans="1:15" ht="19.8" x14ac:dyDescent="0.5">
      <c r="A558" s="58"/>
      <c r="B558" s="15"/>
      <c r="C558" s="15"/>
      <c r="D558" s="15"/>
      <c r="E558" s="15"/>
      <c r="F558" s="15"/>
      <c r="G558" s="15"/>
      <c r="H558" s="15"/>
      <c r="I558" s="15"/>
      <c r="J558" s="15"/>
      <c r="K558" s="15"/>
      <c r="L558" s="15"/>
      <c r="M558" s="15"/>
      <c r="N558" s="15"/>
      <c r="O558" s="15"/>
    </row>
    <row r="559" spans="1:15" ht="19.8" x14ac:dyDescent="0.5">
      <c r="A559" s="58"/>
      <c r="B559" s="15"/>
      <c r="C559" s="15"/>
      <c r="D559" s="15"/>
      <c r="E559" s="15"/>
      <c r="F559" s="15"/>
      <c r="G559" s="15"/>
      <c r="H559" s="15"/>
      <c r="I559" s="15"/>
      <c r="J559" s="15"/>
      <c r="K559" s="15"/>
      <c r="L559" s="15"/>
      <c r="M559" s="15"/>
      <c r="N559" s="15"/>
      <c r="O559" s="15"/>
    </row>
    <row r="560" spans="1:15" ht="19.8" x14ac:dyDescent="0.5">
      <c r="A560" s="58"/>
      <c r="B560" s="15"/>
      <c r="C560" s="15"/>
      <c r="D560" s="15"/>
      <c r="E560" s="15"/>
      <c r="F560" s="15"/>
      <c r="G560" s="15"/>
      <c r="H560" s="15"/>
      <c r="I560" s="15"/>
      <c r="J560" s="15"/>
      <c r="K560" s="15"/>
      <c r="L560" s="15"/>
      <c r="M560" s="15"/>
      <c r="N560" s="15"/>
      <c r="O560" s="15"/>
    </row>
    <row r="561" spans="1:15" ht="19.8" x14ac:dyDescent="0.5">
      <c r="A561" s="58"/>
      <c r="B561" s="15"/>
      <c r="C561" s="15"/>
      <c r="D561" s="15"/>
      <c r="E561" s="15"/>
      <c r="F561" s="15"/>
      <c r="G561" s="15"/>
      <c r="H561" s="15"/>
      <c r="I561" s="15"/>
      <c r="J561" s="15"/>
      <c r="K561" s="15"/>
      <c r="L561" s="15"/>
      <c r="M561" s="15"/>
      <c r="N561" s="15"/>
      <c r="O561" s="15"/>
    </row>
    <row r="562" spans="1:15" ht="19.8" x14ac:dyDescent="0.5">
      <c r="A562" s="58"/>
      <c r="B562" s="15"/>
      <c r="C562" s="15"/>
      <c r="D562" s="15"/>
      <c r="E562" s="15"/>
      <c r="F562" s="15"/>
      <c r="G562" s="15"/>
      <c r="H562" s="15"/>
      <c r="I562" s="15"/>
      <c r="J562" s="15"/>
      <c r="K562" s="15"/>
      <c r="L562" s="15"/>
      <c r="M562" s="15"/>
      <c r="N562" s="15"/>
      <c r="O562" s="15"/>
    </row>
    <row r="563" spans="1:15" ht="19.8" x14ac:dyDescent="0.5">
      <c r="A563" s="58"/>
      <c r="B563" s="15"/>
      <c r="C563" s="15"/>
      <c r="D563" s="15"/>
      <c r="E563" s="15"/>
      <c r="F563" s="15"/>
      <c r="G563" s="15"/>
      <c r="H563" s="15"/>
      <c r="I563" s="15"/>
      <c r="J563" s="15"/>
      <c r="K563" s="15"/>
      <c r="L563" s="15"/>
      <c r="M563" s="15"/>
      <c r="N563" s="15"/>
      <c r="O563" s="15"/>
    </row>
    <row r="564" spans="1:15" ht="19.8" x14ac:dyDescent="0.5">
      <c r="A564" s="58"/>
      <c r="B564" s="15"/>
      <c r="C564" s="15"/>
      <c r="D564" s="15"/>
      <c r="E564" s="15"/>
      <c r="F564" s="15"/>
      <c r="G564" s="15"/>
      <c r="H564" s="15"/>
      <c r="I564" s="15"/>
      <c r="J564" s="15"/>
      <c r="K564" s="15"/>
      <c r="L564" s="15"/>
      <c r="M564" s="15"/>
      <c r="N564" s="15"/>
      <c r="O564" s="15"/>
    </row>
    <row r="565" spans="1:15" ht="19.8" x14ac:dyDescent="0.5">
      <c r="A565" s="58"/>
      <c r="B565" s="15"/>
      <c r="C565" s="15"/>
      <c r="D565" s="15"/>
      <c r="E565" s="15"/>
      <c r="F565" s="15"/>
      <c r="G565" s="15"/>
      <c r="H565" s="15"/>
      <c r="I565" s="15"/>
      <c r="J565" s="15"/>
      <c r="K565" s="15"/>
      <c r="L565" s="15"/>
      <c r="M565" s="15"/>
      <c r="N565" s="15"/>
      <c r="O565" s="15"/>
    </row>
    <row r="566" spans="1:15" ht="19.8" x14ac:dyDescent="0.5">
      <c r="A566" s="58"/>
      <c r="B566" s="15"/>
      <c r="C566" s="15"/>
      <c r="D566" s="15"/>
      <c r="E566" s="15"/>
      <c r="F566" s="15"/>
      <c r="G566" s="15"/>
      <c r="H566" s="15"/>
      <c r="I566" s="15"/>
      <c r="J566" s="15"/>
      <c r="K566" s="15"/>
      <c r="L566" s="15"/>
      <c r="M566" s="15"/>
      <c r="N566" s="15"/>
      <c r="O566" s="15"/>
    </row>
    <row r="567" spans="1:15" ht="19.8" x14ac:dyDescent="0.5">
      <c r="A567" s="58"/>
      <c r="B567" s="15"/>
      <c r="C567" s="15"/>
      <c r="D567" s="15"/>
      <c r="E567" s="15"/>
      <c r="F567" s="15"/>
      <c r="G567" s="15"/>
      <c r="H567" s="15"/>
      <c r="I567" s="15"/>
      <c r="J567" s="15"/>
      <c r="K567" s="15"/>
      <c r="L567" s="15"/>
      <c r="M567" s="15"/>
      <c r="N567" s="15"/>
      <c r="O567" s="15"/>
    </row>
    <row r="568" spans="1:15" ht="19.8" x14ac:dyDescent="0.5">
      <c r="A568" s="58"/>
      <c r="B568" s="15"/>
      <c r="C568" s="15"/>
      <c r="D568" s="15"/>
      <c r="E568" s="15"/>
      <c r="F568" s="15"/>
      <c r="G568" s="15"/>
      <c r="H568" s="15"/>
      <c r="I568" s="15"/>
      <c r="J568" s="15"/>
      <c r="K568" s="15"/>
      <c r="L568" s="15"/>
      <c r="M568" s="15"/>
      <c r="N568" s="15"/>
      <c r="O568" s="15"/>
    </row>
    <row r="569" spans="1:15" ht="19.8" x14ac:dyDescent="0.5">
      <c r="A569" s="58"/>
      <c r="B569" s="15"/>
      <c r="C569" s="15"/>
      <c r="D569" s="15"/>
      <c r="E569" s="15"/>
      <c r="F569" s="15"/>
      <c r="G569" s="15"/>
      <c r="H569" s="15"/>
      <c r="I569" s="15"/>
      <c r="J569" s="15"/>
      <c r="K569" s="15"/>
      <c r="L569" s="15"/>
      <c r="M569" s="15"/>
      <c r="N569" s="15"/>
      <c r="O569" s="15"/>
    </row>
    <row r="570" spans="1:15" ht="19.8" x14ac:dyDescent="0.5">
      <c r="A570" s="58"/>
      <c r="B570" s="15"/>
      <c r="C570" s="15"/>
      <c r="D570" s="15"/>
      <c r="E570" s="15"/>
      <c r="F570" s="15"/>
      <c r="G570" s="15"/>
      <c r="H570" s="15"/>
      <c r="I570" s="15"/>
      <c r="J570" s="15"/>
      <c r="K570" s="15"/>
      <c r="L570" s="15"/>
      <c r="M570" s="15"/>
      <c r="N570" s="15"/>
      <c r="O570" s="15"/>
    </row>
    <row r="571" spans="1:15" ht="19.8" x14ac:dyDescent="0.5">
      <c r="A571" s="58"/>
      <c r="B571" s="15"/>
      <c r="C571" s="15"/>
      <c r="D571" s="15"/>
      <c r="E571" s="15"/>
      <c r="F571" s="15"/>
      <c r="G571" s="15"/>
      <c r="H571" s="15"/>
      <c r="I571" s="15"/>
      <c r="J571" s="15"/>
      <c r="K571" s="15"/>
      <c r="L571" s="15"/>
      <c r="M571" s="15"/>
      <c r="N571" s="15"/>
      <c r="O571" s="15"/>
    </row>
    <row r="572" spans="1:15" ht="19.8" x14ac:dyDescent="0.5">
      <c r="A572" s="58"/>
      <c r="B572" s="15"/>
      <c r="C572" s="15"/>
      <c r="D572" s="15"/>
      <c r="E572" s="15"/>
      <c r="F572" s="15"/>
      <c r="G572" s="15"/>
      <c r="H572" s="15"/>
      <c r="I572" s="15"/>
      <c r="J572" s="15"/>
      <c r="K572" s="15"/>
      <c r="L572" s="15"/>
      <c r="M572" s="15"/>
      <c r="N572" s="15"/>
      <c r="O572" s="15"/>
    </row>
    <row r="573" spans="1:15" ht="19.8" x14ac:dyDescent="0.5">
      <c r="A573" s="58"/>
      <c r="B573" s="15"/>
      <c r="C573" s="15"/>
      <c r="D573" s="15"/>
      <c r="E573" s="15"/>
      <c r="F573" s="15"/>
      <c r="G573" s="15"/>
      <c r="H573" s="15"/>
      <c r="I573" s="15"/>
      <c r="J573" s="15"/>
      <c r="K573" s="15"/>
      <c r="L573" s="15"/>
      <c r="M573" s="15"/>
      <c r="N573" s="15"/>
      <c r="O573" s="15"/>
    </row>
    <row r="574" spans="1:15" ht="19.8" x14ac:dyDescent="0.5">
      <c r="A574" s="58"/>
      <c r="B574" s="15"/>
      <c r="C574" s="15"/>
      <c r="D574" s="15"/>
      <c r="E574" s="15"/>
      <c r="F574" s="15"/>
      <c r="G574" s="15"/>
      <c r="H574" s="15"/>
      <c r="I574" s="15"/>
      <c r="J574" s="15"/>
      <c r="K574" s="15"/>
      <c r="L574" s="15"/>
      <c r="M574" s="15"/>
      <c r="N574" s="15"/>
      <c r="O574" s="15"/>
    </row>
    <row r="575" spans="1:15" ht="19.8" x14ac:dyDescent="0.5">
      <c r="A575" s="58"/>
      <c r="B575" s="15"/>
      <c r="C575" s="15"/>
      <c r="D575" s="15"/>
      <c r="E575" s="15"/>
      <c r="F575" s="15"/>
      <c r="G575" s="15"/>
      <c r="H575" s="15"/>
      <c r="I575" s="15"/>
      <c r="J575" s="15"/>
      <c r="K575" s="15"/>
      <c r="L575" s="15"/>
      <c r="M575" s="15"/>
      <c r="N575" s="15"/>
      <c r="O575" s="15"/>
    </row>
    <row r="576" spans="1:15" ht="19.8" x14ac:dyDescent="0.5">
      <c r="A576" s="58"/>
      <c r="B576" s="15"/>
      <c r="C576" s="15"/>
      <c r="D576" s="15"/>
      <c r="E576" s="15"/>
      <c r="F576" s="15"/>
      <c r="G576" s="15"/>
      <c r="H576" s="15"/>
      <c r="I576" s="15"/>
      <c r="J576" s="15"/>
      <c r="K576" s="15"/>
      <c r="L576" s="15"/>
      <c r="M576" s="15"/>
      <c r="N576" s="15"/>
      <c r="O576" s="15"/>
    </row>
    <row r="577" spans="1:15" ht="19.8" x14ac:dyDescent="0.5">
      <c r="A577" s="58"/>
      <c r="B577" s="15"/>
      <c r="C577" s="15"/>
      <c r="D577" s="15"/>
      <c r="E577" s="15"/>
      <c r="F577" s="15"/>
      <c r="G577" s="15"/>
      <c r="H577" s="15"/>
      <c r="I577" s="15"/>
      <c r="J577" s="15"/>
      <c r="K577" s="15"/>
      <c r="L577" s="15"/>
      <c r="M577" s="15"/>
      <c r="N577" s="15"/>
      <c r="O577" s="15"/>
    </row>
    <row r="578" spans="1:15" ht="19.8" x14ac:dyDescent="0.5">
      <c r="A578" s="58"/>
      <c r="B578" s="15"/>
      <c r="C578" s="15"/>
      <c r="D578" s="15"/>
      <c r="E578" s="15"/>
      <c r="F578" s="15"/>
      <c r="G578" s="15"/>
      <c r="H578" s="15"/>
      <c r="I578" s="15"/>
      <c r="J578" s="15"/>
      <c r="K578" s="15"/>
      <c r="L578" s="15"/>
      <c r="M578" s="15"/>
      <c r="N578" s="15"/>
      <c r="O578" s="15"/>
    </row>
    <row r="579" spans="1:15" ht="19.8" x14ac:dyDescent="0.5">
      <c r="A579" s="58"/>
      <c r="B579" s="15"/>
      <c r="C579" s="15"/>
      <c r="D579" s="15"/>
      <c r="E579" s="15"/>
      <c r="F579" s="15"/>
      <c r="G579" s="15"/>
      <c r="H579" s="15"/>
      <c r="I579" s="15"/>
      <c r="J579" s="15"/>
      <c r="K579" s="15"/>
      <c r="L579" s="15"/>
      <c r="M579" s="15"/>
      <c r="N579" s="15"/>
      <c r="O579" s="15"/>
    </row>
    <row r="580" spans="1:15" ht="19.8" x14ac:dyDescent="0.5">
      <c r="A580" s="58"/>
      <c r="B580" s="15"/>
      <c r="C580" s="15"/>
      <c r="D580" s="15"/>
      <c r="E580" s="15"/>
      <c r="F580" s="15"/>
      <c r="G580" s="15"/>
      <c r="H580" s="15"/>
      <c r="I580" s="15"/>
      <c r="J580" s="15"/>
      <c r="K580" s="15"/>
      <c r="L580" s="15"/>
      <c r="M580" s="15"/>
      <c r="N580" s="15"/>
      <c r="O580" s="15"/>
    </row>
    <row r="581" spans="1:15" ht="19.8" x14ac:dyDescent="0.5">
      <c r="A581" s="58"/>
      <c r="B581" s="15"/>
      <c r="C581" s="15"/>
      <c r="D581" s="15"/>
      <c r="E581" s="15"/>
      <c r="F581" s="15"/>
      <c r="G581" s="15"/>
      <c r="H581" s="15"/>
      <c r="I581" s="15"/>
      <c r="J581" s="15"/>
      <c r="K581" s="15"/>
      <c r="L581" s="15"/>
      <c r="M581" s="15"/>
      <c r="N581" s="15"/>
      <c r="O581" s="15"/>
    </row>
    <row r="582" spans="1:15" ht="19.8" x14ac:dyDescent="0.5">
      <c r="A582" s="58"/>
      <c r="B582" s="15"/>
      <c r="C582" s="15"/>
      <c r="D582" s="15"/>
      <c r="E582" s="15"/>
      <c r="F582" s="15"/>
      <c r="G582" s="15"/>
      <c r="H582" s="15"/>
      <c r="I582" s="15"/>
      <c r="J582" s="15"/>
      <c r="K582" s="15"/>
      <c r="L582" s="15"/>
      <c r="M582" s="15"/>
      <c r="N582" s="15"/>
      <c r="O582" s="15"/>
    </row>
    <row r="583" spans="1:15" ht="19.8" x14ac:dyDescent="0.5">
      <c r="A583" s="58"/>
      <c r="B583" s="15"/>
      <c r="C583" s="15"/>
      <c r="D583" s="15"/>
      <c r="E583" s="15"/>
      <c r="F583" s="15"/>
      <c r="G583" s="15"/>
      <c r="H583" s="15"/>
      <c r="I583" s="15"/>
      <c r="J583" s="15"/>
      <c r="K583" s="15"/>
      <c r="L583" s="15"/>
      <c r="M583" s="15"/>
      <c r="N583" s="15"/>
      <c r="O583" s="15"/>
    </row>
    <row r="584" spans="1:15" ht="19.8" x14ac:dyDescent="0.5">
      <c r="A584" s="58"/>
      <c r="B584" s="15"/>
      <c r="C584" s="15"/>
      <c r="D584" s="15"/>
      <c r="E584" s="15"/>
      <c r="F584" s="15"/>
      <c r="G584" s="15"/>
      <c r="H584" s="15"/>
      <c r="I584" s="15"/>
      <c r="J584" s="15"/>
      <c r="K584" s="15"/>
      <c r="L584" s="15"/>
      <c r="M584" s="15"/>
      <c r="N584" s="15"/>
      <c r="O584" s="15"/>
    </row>
    <row r="585" spans="1:15" ht="19.8" x14ac:dyDescent="0.5">
      <c r="A585" s="58"/>
      <c r="B585" s="15"/>
      <c r="C585" s="15"/>
      <c r="D585" s="15"/>
      <c r="E585" s="15"/>
      <c r="F585" s="15"/>
      <c r="G585" s="15"/>
      <c r="H585" s="15"/>
      <c r="I585" s="15"/>
      <c r="J585" s="15"/>
      <c r="K585" s="15"/>
      <c r="L585" s="15"/>
      <c r="M585" s="15"/>
      <c r="N585" s="15"/>
      <c r="O585" s="15"/>
    </row>
    <row r="586" spans="1:15" ht="19.8" x14ac:dyDescent="0.5">
      <c r="A586" s="58"/>
      <c r="B586" s="15"/>
      <c r="C586" s="15"/>
      <c r="D586" s="15"/>
      <c r="E586" s="15"/>
      <c r="F586" s="15"/>
      <c r="G586" s="15"/>
      <c r="H586" s="15"/>
      <c r="I586" s="15"/>
      <c r="J586" s="15"/>
      <c r="K586" s="15"/>
      <c r="L586" s="15"/>
      <c r="M586" s="15"/>
      <c r="N586" s="15"/>
      <c r="O586" s="15"/>
    </row>
    <row r="587" spans="1:15" ht="19.8" x14ac:dyDescent="0.5">
      <c r="A587" s="58"/>
      <c r="B587" s="15"/>
      <c r="C587" s="15"/>
      <c r="D587" s="15"/>
      <c r="E587" s="15"/>
      <c r="F587" s="15"/>
      <c r="G587" s="15"/>
      <c r="H587" s="15"/>
      <c r="I587" s="15"/>
      <c r="J587" s="15"/>
      <c r="K587" s="15"/>
      <c r="L587" s="15"/>
      <c r="M587" s="15"/>
      <c r="N587" s="15"/>
      <c r="O587" s="15"/>
    </row>
    <row r="588" spans="1:15" ht="19.8" x14ac:dyDescent="0.5">
      <c r="A588" s="58"/>
      <c r="B588" s="15"/>
      <c r="C588" s="15"/>
      <c r="D588" s="15"/>
      <c r="E588" s="15"/>
      <c r="F588" s="15"/>
      <c r="G588" s="15"/>
      <c r="H588" s="15"/>
      <c r="I588" s="15"/>
      <c r="J588" s="15"/>
      <c r="K588" s="15"/>
      <c r="L588" s="15"/>
      <c r="M588" s="15"/>
      <c r="N588" s="15"/>
      <c r="O588" s="15"/>
    </row>
    <row r="589" spans="1:15" ht="19.8" x14ac:dyDescent="0.5">
      <c r="A589" s="58"/>
      <c r="B589" s="15"/>
      <c r="C589" s="15"/>
      <c r="D589" s="15"/>
      <c r="E589" s="15"/>
      <c r="F589" s="15"/>
      <c r="G589" s="15"/>
      <c r="H589" s="15"/>
      <c r="I589" s="15"/>
      <c r="J589" s="15"/>
      <c r="K589" s="15"/>
      <c r="L589" s="15"/>
      <c r="M589" s="15"/>
      <c r="N589" s="15"/>
      <c r="O589" s="15"/>
    </row>
    <row r="590" spans="1:15" ht="19.8" x14ac:dyDescent="0.5">
      <c r="A590" s="58"/>
      <c r="B590" s="15"/>
      <c r="C590" s="15"/>
      <c r="D590" s="15"/>
      <c r="E590" s="15"/>
      <c r="F590" s="15"/>
      <c r="G590" s="15"/>
      <c r="H590" s="15"/>
      <c r="I590" s="15"/>
      <c r="J590" s="15"/>
      <c r="K590" s="15"/>
      <c r="L590" s="15"/>
      <c r="M590" s="15"/>
      <c r="N590" s="15"/>
      <c r="O590" s="15"/>
    </row>
    <row r="591" spans="1:15" ht="19.8" x14ac:dyDescent="0.5">
      <c r="A591" s="58"/>
      <c r="B591" s="15"/>
      <c r="C591" s="15"/>
      <c r="D591" s="15"/>
      <c r="E591" s="15"/>
      <c r="F591" s="15"/>
      <c r="G591" s="15"/>
      <c r="H591" s="15"/>
      <c r="I591" s="15"/>
      <c r="J591" s="15"/>
      <c r="K591" s="15"/>
      <c r="L591" s="15"/>
      <c r="M591" s="15"/>
      <c r="N591" s="15"/>
      <c r="O591" s="15"/>
    </row>
    <row r="592" spans="1:15" ht="19.8" x14ac:dyDescent="0.5">
      <c r="A592" s="58"/>
      <c r="B592" s="15"/>
      <c r="C592" s="15"/>
      <c r="D592" s="15"/>
      <c r="E592" s="15"/>
      <c r="F592" s="15"/>
      <c r="G592" s="15"/>
      <c r="H592" s="15"/>
      <c r="I592" s="15"/>
      <c r="J592" s="15"/>
      <c r="K592" s="15"/>
      <c r="L592" s="15"/>
      <c r="M592" s="15"/>
      <c r="N592" s="15"/>
      <c r="O592" s="15"/>
    </row>
    <row r="593" spans="1:15" ht="19.8" x14ac:dyDescent="0.5">
      <c r="A593" s="58"/>
      <c r="B593" s="15"/>
      <c r="C593" s="15"/>
      <c r="D593" s="15"/>
      <c r="E593" s="15"/>
      <c r="F593" s="15"/>
      <c r="G593" s="15"/>
      <c r="H593" s="15"/>
      <c r="I593" s="15"/>
      <c r="J593" s="15"/>
      <c r="K593" s="15"/>
      <c r="L593" s="15"/>
      <c r="M593" s="15"/>
      <c r="N593" s="15"/>
      <c r="O593" s="15"/>
    </row>
    <row r="594" spans="1:15" ht="19.8" x14ac:dyDescent="0.5">
      <c r="A594" s="58"/>
      <c r="B594" s="15"/>
      <c r="C594" s="15"/>
      <c r="D594" s="15"/>
      <c r="E594" s="15"/>
      <c r="F594" s="15"/>
      <c r="G594" s="15"/>
      <c r="H594" s="15"/>
      <c r="I594" s="15"/>
      <c r="J594" s="15"/>
      <c r="K594" s="15"/>
      <c r="L594" s="15"/>
      <c r="M594" s="15"/>
      <c r="N594" s="15"/>
      <c r="O594" s="15"/>
    </row>
    <row r="595" spans="1:15" ht="19.8" x14ac:dyDescent="0.5">
      <c r="A595" s="58"/>
      <c r="B595" s="15"/>
      <c r="C595" s="15"/>
      <c r="D595" s="15"/>
      <c r="E595" s="15"/>
      <c r="F595" s="15"/>
      <c r="G595" s="15"/>
      <c r="H595" s="15"/>
      <c r="I595" s="15"/>
      <c r="J595" s="15"/>
      <c r="K595" s="15"/>
      <c r="L595" s="15"/>
      <c r="M595" s="15"/>
      <c r="N595" s="15"/>
      <c r="O595" s="15"/>
    </row>
    <row r="596" spans="1:15" ht="19.8" x14ac:dyDescent="0.5">
      <c r="A596" s="58"/>
      <c r="B596" s="15"/>
      <c r="C596" s="15"/>
      <c r="D596" s="15"/>
      <c r="E596" s="15"/>
      <c r="F596" s="15"/>
      <c r="G596" s="15"/>
      <c r="H596" s="15"/>
      <c r="I596" s="15"/>
      <c r="J596" s="15"/>
      <c r="K596" s="15"/>
      <c r="L596" s="15"/>
      <c r="M596" s="15"/>
      <c r="N596" s="15"/>
      <c r="O596" s="15"/>
    </row>
    <row r="597" spans="1:15" ht="19.8" x14ac:dyDescent="0.5">
      <c r="A597" s="58"/>
      <c r="B597" s="15"/>
      <c r="C597" s="15"/>
      <c r="D597" s="15"/>
      <c r="E597" s="15"/>
      <c r="F597" s="15"/>
      <c r="G597" s="15"/>
      <c r="H597" s="15"/>
      <c r="I597" s="15"/>
      <c r="J597" s="15"/>
      <c r="K597" s="15"/>
      <c r="L597" s="15"/>
      <c r="M597" s="15"/>
      <c r="N597" s="15"/>
      <c r="O597" s="15"/>
    </row>
    <row r="598" spans="1:15" ht="19.8" x14ac:dyDescent="0.5">
      <c r="A598" s="58"/>
      <c r="B598" s="15"/>
      <c r="C598" s="15"/>
      <c r="D598" s="15"/>
      <c r="E598" s="15"/>
      <c r="F598" s="15"/>
      <c r="G598" s="15"/>
      <c r="H598" s="15"/>
      <c r="I598" s="15"/>
      <c r="J598" s="15"/>
      <c r="K598" s="15"/>
      <c r="L598" s="15"/>
      <c r="M598" s="15"/>
      <c r="N598" s="15"/>
      <c r="O598" s="15"/>
    </row>
    <row r="599" spans="1:15" ht="19.8" x14ac:dyDescent="0.5">
      <c r="A599" s="58"/>
      <c r="B599" s="15"/>
      <c r="C599" s="15"/>
      <c r="D599" s="15"/>
      <c r="E599" s="15"/>
      <c r="F599" s="15"/>
      <c r="G599" s="15"/>
      <c r="H599" s="15"/>
      <c r="I599" s="15"/>
      <c r="J599" s="15"/>
      <c r="K599" s="15"/>
      <c r="L599" s="15"/>
      <c r="M599" s="15"/>
      <c r="N599" s="15"/>
      <c r="O599" s="15"/>
    </row>
    <row r="600" spans="1:15" ht="19.8" x14ac:dyDescent="0.5">
      <c r="A600" s="58"/>
      <c r="B600" s="15"/>
      <c r="C600" s="15"/>
      <c r="D600" s="15"/>
      <c r="E600" s="15"/>
      <c r="F600" s="15"/>
      <c r="G600" s="15"/>
      <c r="H600" s="15"/>
      <c r="I600" s="15"/>
      <c r="J600" s="15"/>
      <c r="K600" s="15"/>
      <c r="L600" s="15"/>
      <c r="M600" s="15"/>
      <c r="N600" s="15"/>
      <c r="O600" s="15"/>
    </row>
    <row r="601" spans="1:15" ht="19.8" x14ac:dyDescent="0.5">
      <c r="A601" s="58"/>
      <c r="B601" s="15"/>
      <c r="C601" s="15"/>
      <c r="D601" s="15"/>
      <c r="E601" s="15"/>
      <c r="F601" s="15"/>
      <c r="G601" s="15"/>
      <c r="H601" s="15"/>
      <c r="I601" s="15"/>
      <c r="J601" s="15"/>
      <c r="K601" s="15"/>
      <c r="L601" s="15"/>
      <c r="M601" s="15"/>
      <c r="N601" s="15"/>
      <c r="O601" s="15"/>
    </row>
    <row r="602" spans="1:15" ht="19.8" x14ac:dyDescent="0.5">
      <c r="A602" s="58"/>
      <c r="B602" s="15"/>
      <c r="C602" s="15"/>
      <c r="D602" s="15"/>
      <c r="E602" s="15"/>
      <c r="F602" s="15"/>
      <c r="G602" s="15"/>
      <c r="H602" s="15"/>
      <c r="I602" s="15"/>
      <c r="J602" s="15"/>
      <c r="K602" s="15"/>
      <c r="L602" s="15"/>
      <c r="M602" s="15"/>
      <c r="N602" s="15"/>
      <c r="O602" s="15"/>
    </row>
    <row r="603" spans="1:15" ht="19.8" x14ac:dyDescent="0.5">
      <c r="A603" s="58"/>
      <c r="B603" s="15"/>
      <c r="C603" s="15"/>
      <c r="D603" s="15"/>
      <c r="E603" s="15"/>
      <c r="F603" s="15"/>
      <c r="G603" s="15"/>
      <c r="H603" s="15"/>
      <c r="I603" s="15"/>
      <c r="J603" s="15"/>
      <c r="K603" s="15"/>
      <c r="L603" s="15"/>
      <c r="M603" s="15"/>
      <c r="N603" s="15"/>
      <c r="O603" s="15"/>
    </row>
    <row r="604" spans="1:15" ht="19.8" x14ac:dyDescent="0.5">
      <c r="A604" s="58"/>
      <c r="B604" s="15"/>
      <c r="C604" s="15"/>
      <c r="D604" s="15"/>
      <c r="E604" s="15"/>
      <c r="F604" s="15"/>
      <c r="G604" s="15"/>
      <c r="H604" s="15"/>
      <c r="I604" s="15"/>
      <c r="J604" s="15"/>
      <c r="K604" s="15"/>
      <c r="L604" s="15"/>
      <c r="M604" s="15"/>
      <c r="N604" s="15"/>
      <c r="O604" s="15"/>
    </row>
    <row r="605" spans="1:15" ht="19.8" x14ac:dyDescent="0.5">
      <c r="A605" s="58"/>
      <c r="B605" s="15"/>
      <c r="C605" s="15"/>
      <c r="D605" s="15"/>
      <c r="E605" s="15"/>
      <c r="F605" s="15"/>
      <c r="G605" s="15"/>
      <c r="H605" s="15"/>
      <c r="I605" s="15"/>
      <c r="J605" s="15"/>
      <c r="K605" s="15"/>
      <c r="L605" s="15"/>
      <c r="M605" s="15"/>
      <c r="N605" s="15"/>
      <c r="O605" s="15"/>
    </row>
    <row r="606" spans="1:15" ht="19.8" x14ac:dyDescent="0.5">
      <c r="A606" s="58"/>
      <c r="B606" s="15"/>
      <c r="C606" s="15"/>
      <c r="D606" s="15"/>
      <c r="E606" s="15"/>
      <c r="F606" s="15"/>
      <c r="G606" s="15"/>
      <c r="H606" s="15"/>
      <c r="I606" s="15"/>
      <c r="J606" s="15"/>
      <c r="K606" s="15"/>
      <c r="L606" s="15"/>
      <c r="M606" s="15"/>
      <c r="N606" s="15"/>
      <c r="O606" s="15"/>
    </row>
    <row r="607" spans="1:15" ht="19.8" x14ac:dyDescent="0.5">
      <c r="A607" s="58"/>
      <c r="B607" s="15"/>
      <c r="C607" s="15"/>
      <c r="D607" s="15"/>
      <c r="E607" s="15"/>
      <c r="F607" s="15"/>
      <c r="G607" s="15"/>
      <c r="H607" s="15"/>
      <c r="I607" s="15"/>
      <c r="J607" s="15"/>
      <c r="K607" s="15"/>
      <c r="L607" s="15"/>
      <c r="M607" s="15"/>
      <c r="N607" s="15"/>
      <c r="O607" s="15"/>
    </row>
    <row r="608" spans="1:15" ht="19.8" x14ac:dyDescent="0.5">
      <c r="A608" s="58"/>
      <c r="B608" s="15"/>
      <c r="C608" s="15"/>
      <c r="D608" s="15"/>
      <c r="E608" s="15"/>
      <c r="F608" s="15"/>
      <c r="G608" s="15"/>
      <c r="H608" s="15"/>
      <c r="I608" s="15"/>
      <c r="J608" s="15"/>
      <c r="K608" s="15"/>
      <c r="L608" s="15"/>
      <c r="M608" s="15"/>
      <c r="N608" s="15"/>
      <c r="O608" s="15"/>
    </row>
    <row r="609" spans="1:15" ht="19.8" x14ac:dyDescent="0.5">
      <c r="A609" s="58"/>
      <c r="B609" s="15"/>
      <c r="C609" s="15"/>
      <c r="D609" s="15"/>
      <c r="E609" s="15"/>
      <c r="F609" s="15"/>
      <c r="G609" s="15"/>
      <c r="H609" s="15"/>
      <c r="I609" s="15"/>
      <c r="J609" s="15"/>
      <c r="K609" s="15"/>
      <c r="L609" s="15"/>
      <c r="M609" s="15"/>
      <c r="N609" s="15"/>
      <c r="O609" s="15"/>
    </row>
    <row r="610" spans="1:15" ht="19.8" x14ac:dyDescent="0.5">
      <c r="A610" s="58"/>
      <c r="B610" s="15"/>
      <c r="C610" s="15"/>
      <c r="D610" s="15"/>
      <c r="E610" s="15"/>
      <c r="F610" s="15"/>
      <c r="G610" s="15"/>
      <c r="H610" s="15"/>
      <c r="I610" s="15"/>
      <c r="J610" s="15"/>
      <c r="K610" s="15"/>
      <c r="L610" s="15"/>
      <c r="M610" s="15"/>
      <c r="N610" s="15"/>
      <c r="O610" s="15"/>
    </row>
    <row r="611" spans="1:15" ht="19.8" x14ac:dyDescent="0.5">
      <c r="A611" s="58"/>
      <c r="B611" s="15"/>
      <c r="C611" s="15"/>
      <c r="D611" s="15"/>
      <c r="E611" s="15"/>
      <c r="F611" s="15"/>
      <c r="G611" s="15"/>
      <c r="H611" s="15"/>
      <c r="I611" s="15"/>
      <c r="J611" s="15"/>
      <c r="K611" s="15"/>
      <c r="L611" s="15"/>
      <c r="M611" s="15"/>
      <c r="N611" s="15"/>
      <c r="O611" s="15"/>
    </row>
    <row r="612" spans="1:15" ht="19.8" x14ac:dyDescent="0.5">
      <c r="A612" s="58"/>
      <c r="B612" s="15"/>
      <c r="C612" s="15"/>
      <c r="D612" s="15"/>
      <c r="E612" s="15"/>
      <c r="F612" s="15"/>
      <c r="G612" s="15"/>
      <c r="H612" s="15"/>
      <c r="I612" s="15"/>
      <c r="J612" s="15"/>
      <c r="K612" s="15"/>
      <c r="L612" s="15"/>
      <c r="M612" s="15"/>
      <c r="N612" s="15"/>
      <c r="O612" s="15"/>
    </row>
    <row r="613" spans="1:15" ht="19.8" x14ac:dyDescent="0.5">
      <c r="A613" s="58"/>
      <c r="B613" s="15"/>
      <c r="C613" s="15"/>
      <c r="D613" s="15"/>
      <c r="E613" s="15"/>
      <c r="F613" s="15"/>
      <c r="G613" s="15"/>
      <c r="H613" s="15"/>
      <c r="I613" s="15"/>
      <c r="J613" s="15"/>
      <c r="K613" s="15"/>
      <c r="L613" s="15"/>
      <c r="M613" s="15"/>
      <c r="N613" s="15"/>
      <c r="O613" s="15"/>
    </row>
    <row r="614" spans="1:15" ht="19.8" x14ac:dyDescent="0.5">
      <c r="A614" s="58"/>
      <c r="B614" s="15"/>
      <c r="C614" s="15"/>
      <c r="D614" s="15"/>
      <c r="E614" s="15"/>
      <c r="F614" s="15"/>
      <c r="G614" s="15"/>
      <c r="H614" s="15"/>
      <c r="I614" s="15"/>
      <c r="J614" s="15"/>
      <c r="K614" s="15"/>
      <c r="L614" s="15"/>
      <c r="M614" s="15"/>
      <c r="N614" s="15"/>
      <c r="O614" s="15"/>
    </row>
    <row r="615" spans="1:15" ht="19.8" x14ac:dyDescent="0.5">
      <c r="A615" s="58"/>
      <c r="B615" s="15"/>
      <c r="C615" s="15"/>
      <c r="D615" s="15"/>
      <c r="E615" s="15"/>
      <c r="F615" s="15"/>
      <c r="G615" s="15"/>
      <c r="H615" s="15"/>
      <c r="I615" s="15"/>
      <c r="J615" s="15"/>
      <c r="K615" s="15"/>
      <c r="L615" s="15"/>
      <c r="M615" s="15"/>
      <c r="N615" s="15"/>
      <c r="O615" s="15"/>
    </row>
    <row r="616" spans="1:15" ht="19.8" x14ac:dyDescent="0.5">
      <c r="A616" s="58"/>
      <c r="B616" s="15"/>
      <c r="C616" s="15"/>
      <c r="D616" s="15"/>
      <c r="E616" s="15"/>
      <c r="F616" s="15"/>
      <c r="G616" s="15"/>
      <c r="H616" s="15"/>
      <c r="I616" s="15"/>
      <c r="J616" s="15"/>
      <c r="K616" s="15"/>
      <c r="L616" s="15"/>
      <c r="M616" s="15"/>
      <c r="N616" s="15"/>
      <c r="O616" s="15"/>
    </row>
    <row r="617" spans="1:15" ht="19.8" x14ac:dyDescent="0.5">
      <c r="A617" s="58"/>
      <c r="B617" s="15"/>
      <c r="C617" s="15"/>
      <c r="D617" s="15"/>
      <c r="E617" s="15"/>
      <c r="F617" s="15"/>
      <c r="G617" s="15"/>
      <c r="H617" s="15"/>
      <c r="I617" s="15"/>
      <c r="J617" s="15"/>
      <c r="K617" s="15"/>
      <c r="L617" s="15"/>
      <c r="M617" s="15"/>
      <c r="N617" s="15"/>
      <c r="O617" s="15"/>
    </row>
    <row r="618" spans="1:15" ht="19.8" x14ac:dyDescent="0.5">
      <c r="A618" s="58"/>
      <c r="B618" s="15"/>
      <c r="C618" s="15"/>
      <c r="D618" s="15"/>
      <c r="E618" s="15"/>
      <c r="F618" s="15"/>
      <c r="G618" s="15"/>
      <c r="H618" s="15"/>
      <c r="I618" s="15"/>
      <c r="J618" s="15"/>
      <c r="K618" s="15"/>
      <c r="L618" s="15"/>
      <c r="M618" s="15"/>
      <c r="N618" s="15"/>
      <c r="O618" s="15"/>
    </row>
    <row r="619" spans="1:15" ht="19.8" x14ac:dyDescent="0.5">
      <c r="A619" s="58"/>
      <c r="B619" s="15"/>
      <c r="C619" s="15"/>
      <c r="D619" s="15"/>
      <c r="E619" s="15"/>
      <c r="F619" s="15"/>
      <c r="G619" s="15"/>
      <c r="H619" s="15"/>
      <c r="I619" s="15"/>
      <c r="J619" s="15"/>
      <c r="K619" s="15"/>
      <c r="L619" s="15"/>
      <c r="M619" s="15"/>
      <c r="N619" s="15"/>
      <c r="O619" s="15"/>
    </row>
    <row r="620" spans="1:15" ht="19.8" x14ac:dyDescent="0.5">
      <c r="A620" s="58"/>
      <c r="B620" s="15"/>
      <c r="C620" s="15"/>
      <c r="D620" s="15"/>
      <c r="E620" s="15"/>
      <c r="F620" s="15"/>
      <c r="G620" s="15"/>
      <c r="H620" s="15"/>
      <c r="I620" s="15"/>
      <c r="J620" s="15"/>
      <c r="K620" s="15"/>
      <c r="L620" s="15"/>
      <c r="M620" s="15"/>
      <c r="N620" s="15"/>
      <c r="O620" s="15"/>
    </row>
    <row r="621" spans="1:15" ht="19.8" x14ac:dyDescent="0.5">
      <c r="A621" s="58"/>
      <c r="B621" s="15"/>
      <c r="C621" s="15"/>
      <c r="D621" s="15"/>
      <c r="E621" s="15"/>
      <c r="F621" s="15"/>
      <c r="G621" s="15"/>
      <c r="H621" s="15"/>
      <c r="I621" s="15"/>
      <c r="J621" s="15"/>
      <c r="K621" s="15"/>
      <c r="L621" s="15"/>
      <c r="M621" s="15"/>
      <c r="N621" s="15"/>
      <c r="O621" s="15"/>
    </row>
    <row r="622" spans="1:15" ht="19.8" x14ac:dyDescent="0.5">
      <c r="A622" s="58"/>
      <c r="B622" s="15"/>
      <c r="C622" s="15"/>
      <c r="D622" s="15"/>
      <c r="E622" s="15"/>
      <c r="F622" s="15"/>
      <c r="G622" s="15"/>
      <c r="H622" s="15"/>
      <c r="I622" s="15"/>
      <c r="J622" s="15"/>
      <c r="K622" s="15"/>
      <c r="L622" s="15"/>
      <c r="M622" s="15"/>
      <c r="N622" s="15"/>
      <c r="O622" s="15"/>
    </row>
    <row r="623" spans="1:15" ht="19.8" x14ac:dyDescent="0.5">
      <c r="A623" s="58"/>
      <c r="B623" s="15"/>
      <c r="C623" s="15"/>
      <c r="D623" s="15"/>
      <c r="E623" s="15"/>
      <c r="F623" s="15"/>
      <c r="G623" s="15"/>
      <c r="H623" s="15"/>
      <c r="I623" s="15"/>
      <c r="J623" s="15"/>
      <c r="K623" s="15"/>
      <c r="L623" s="15"/>
      <c r="M623" s="15"/>
      <c r="N623" s="15"/>
      <c r="O623" s="15"/>
    </row>
    <row r="624" spans="1:15" ht="19.8" x14ac:dyDescent="0.5">
      <c r="A624" s="58"/>
      <c r="B624" s="15"/>
      <c r="C624" s="15"/>
      <c r="D624" s="15"/>
      <c r="E624" s="15"/>
      <c r="F624" s="15"/>
      <c r="G624" s="15"/>
      <c r="H624" s="15"/>
      <c r="I624" s="15"/>
      <c r="J624" s="15"/>
      <c r="K624" s="15"/>
      <c r="L624" s="15"/>
      <c r="M624" s="15"/>
      <c r="N624" s="15"/>
      <c r="O624" s="15"/>
    </row>
    <row r="625" spans="1:15" ht="19.8" x14ac:dyDescent="0.5">
      <c r="A625" s="58"/>
      <c r="B625" s="15"/>
      <c r="C625" s="15"/>
      <c r="D625" s="15"/>
      <c r="E625" s="15"/>
      <c r="F625" s="15"/>
      <c r="G625" s="15"/>
      <c r="H625" s="15"/>
      <c r="I625" s="15"/>
      <c r="J625" s="15"/>
      <c r="K625" s="15"/>
      <c r="L625" s="15"/>
      <c r="M625" s="15"/>
      <c r="N625" s="15"/>
      <c r="O625" s="15"/>
    </row>
    <row r="626" spans="1:15" ht="19.8" x14ac:dyDescent="0.5">
      <c r="A626" s="58"/>
      <c r="B626" s="15"/>
      <c r="C626" s="15"/>
      <c r="D626" s="15"/>
      <c r="E626" s="15"/>
      <c r="F626" s="15"/>
      <c r="G626" s="15"/>
      <c r="H626" s="15"/>
      <c r="I626" s="15"/>
      <c r="J626" s="15"/>
      <c r="K626" s="15"/>
      <c r="L626" s="15"/>
      <c r="M626" s="15"/>
      <c r="N626" s="15"/>
      <c r="O626" s="15"/>
    </row>
    <row r="627" spans="1:15" ht="19.8" x14ac:dyDescent="0.5">
      <c r="A627" s="58"/>
      <c r="B627" s="15"/>
      <c r="C627" s="15"/>
      <c r="D627" s="15"/>
      <c r="E627" s="15"/>
      <c r="F627" s="15"/>
      <c r="G627" s="15"/>
      <c r="H627" s="15"/>
      <c r="I627" s="15"/>
      <c r="J627" s="15"/>
      <c r="K627" s="15"/>
      <c r="L627" s="15"/>
      <c r="M627" s="15"/>
      <c r="N627" s="15"/>
      <c r="O627" s="15"/>
    </row>
    <row r="628" spans="1:15" ht="19.8" x14ac:dyDescent="0.5">
      <c r="A628" s="58"/>
      <c r="B628" s="15"/>
      <c r="C628" s="15"/>
      <c r="D628" s="15"/>
      <c r="E628" s="15"/>
      <c r="F628" s="15"/>
      <c r="G628" s="15"/>
      <c r="H628" s="15"/>
      <c r="I628" s="15"/>
      <c r="J628" s="15"/>
      <c r="K628" s="15"/>
      <c r="L628" s="15"/>
      <c r="M628" s="15"/>
      <c r="N628" s="15"/>
      <c r="O628" s="15"/>
    </row>
    <row r="629" spans="1:15" ht="19.8" x14ac:dyDescent="0.5">
      <c r="A629" s="58"/>
      <c r="B629" s="15"/>
      <c r="C629" s="15"/>
      <c r="D629" s="15"/>
      <c r="E629" s="15"/>
      <c r="F629" s="15"/>
      <c r="G629" s="15"/>
      <c r="H629" s="15"/>
      <c r="I629" s="15"/>
      <c r="J629" s="15"/>
      <c r="K629" s="15"/>
      <c r="L629" s="15"/>
      <c r="M629" s="15"/>
      <c r="N629" s="15"/>
      <c r="O629" s="15"/>
    </row>
    <row r="630" spans="1:15" ht="19.8" x14ac:dyDescent="0.5">
      <c r="A630" s="58"/>
      <c r="B630" s="15"/>
      <c r="C630" s="15"/>
      <c r="D630" s="15"/>
      <c r="E630" s="15"/>
      <c r="F630" s="15"/>
      <c r="G630" s="15"/>
      <c r="H630" s="15"/>
      <c r="I630" s="15"/>
      <c r="J630" s="15"/>
      <c r="K630" s="15"/>
      <c r="L630" s="15"/>
      <c r="M630" s="15"/>
      <c r="N630" s="15"/>
      <c r="O630" s="15"/>
    </row>
    <row r="631" spans="1:15" ht="19.8" x14ac:dyDescent="0.5">
      <c r="A631" s="58"/>
      <c r="B631" s="15"/>
      <c r="C631" s="15"/>
      <c r="D631" s="15"/>
      <c r="E631" s="15"/>
      <c r="F631" s="15"/>
      <c r="G631" s="15"/>
      <c r="H631" s="15"/>
      <c r="I631" s="15"/>
      <c r="J631" s="15"/>
      <c r="K631" s="15"/>
      <c r="L631" s="15"/>
      <c r="M631" s="15"/>
      <c r="N631" s="15"/>
      <c r="O631" s="15"/>
    </row>
    <row r="632" spans="1:15" ht="19.8" x14ac:dyDescent="0.5">
      <c r="A632" s="58"/>
      <c r="B632" s="15"/>
      <c r="C632" s="15"/>
      <c r="D632" s="15"/>
      <c r="E632" s="15"/>
      <c r="F632" s="15"/>
      <c r="G632" s="15"/>
      <c r="H632" s="15"/>
      <c r="I632" s="15"/>
      <c r="J632" s="15"/>
      <c r="K632" s="15"/>
      <c r="L632" s="15"/>
      <c r="M632" s="15"/>
      <c r="N632" s="15"/>
      <c r="O632" s="15"/>
    </row>
    <row r="633" spans="1:15" ht="19.8" x14ac:dyDescent="0.5">
      <c r="A633" s="58"/>
      <c r="B633" s="15"/>
      <c r="C633" s="15"/>
      <c r="D633" s="15"/>
      <c r="E633" s="15"/>
      <c r="F633" s="15"/>
      <c r="G633" s="15"/>
      <c r="H633" s="15"/>
      <c r="I633" s="15"/>
      <c r="J633" s="15"/>
      <c r="K633" s="15"/>
      <c r="L633" s="15"/>
      <c r="M633" s="15"/>
      <c r="N633" s="15"/>
      <c r="O633" s="15"/>
    </row>
    <row r="634" spans="1:15" ht="19.8" x14ac:dyDescent="0.5">
      <c r="A634" s="58"/>
      <c r="B634" s="15"/>
      <c r="C634" s="15"/>
      <c r="D634" s="15"/>
      <c r="E634" s="15"/>
      <c r="F634" s="15"/>
      <c r="G634" s="15"/>
      <c r="H634" s="15"/>
      <c r="I634" s="15"/>
      <c r="J634" s="15"/>
      <c r="K634" s="15"/>
      <c r="L634" s="15"/>
      <c r="M634" s="15"/>
      <c r="N634" s="15"/>
      <c r="O634" s="15"/>
    </row>
    <row r="635" spans="1:15" ht="19.8" x14ac:dyDescent="0.5">
      <c r="A635" s="58"/>
      <c r="B635" s="15"/>
      <c r="C635" s="15"/>
      <c r="D635" s="15"/>
      <c r="E635" s="15"/>
      <c r="F635" s="15"/>
      <c r="G635" s="15"/>
      <c r="H635" s="15"/>
      <c r="I635" s="15"/>
      <c r="J635" s="15"/>
      <c r="K635" s="15"/>
      <c r="L635" s="15"/>
      <c r="M635" s="15"/>
      <c r="N635" s="15"/>
      <c r="O635" s="15"/>
    </row>
    <row r="636" spans="1:15" ht="19.8" x14ac:dyDescent="0.5">
      <c r="A636" s="58"/>
      <c r="B636" s="15"/>
      <c r="C636" s="15"/>
      <c r="D636" s="15"/>
      <c r="E636" s="15"/>
      <c r="F636" s="15"/>
      <c r="G636" s="15"/>
      <c r="H636" s="15"/>
      <c r="I636" s="15"/>
      <c r="J636" s="15"/>
      <c r="K636" s="15"/>
      <c r="L636" s="15"/>
      <c r="M636" s="15"/>
      <c r="N636" s="15"/>
      <c r="O636" s="15"/>
    </row>
    <row r="637" spans="1:15" ht="19.8" x14ac:dyDescent="0.5">
      <c r="A637" s="58"/>
      <c r="B637" s="15"/>
      <c r="C637" s="15"/>
      <c r="D637" s="15"/>
      <c r="E637" s="15"/>
      <c r="F637" s="15"/>
      <c r="G637" s="15"/>
      <c r="H637" s="15"/>
      <c r="I637" s="15"/>
      <c r="J637" s="15"/>
      <c r="K637" s="15"/>
      <c r="L637" s="15"/>
      <c r="M637" s="15"/>
      <c r="N637" s="15"/>
      <c r="O637" s="15"/>
    </row>
    <row r="638" spans="1:15" ht="19.8" x14ac:dyDescent="0.5">
      <c r="A638" s="58"/>
      <c r="B638" s="15"/>
      <c r="C638" s="15"/>
      <c r="D638" s="15"/>
      <c r="E638" s="15"/>
      <c r="F638" s="15"/>
      <c r="G638" s="15"/>
      <c r="H638" s="15"/>
      <c r="I638" s="15"/>
      <c r="J638" s="15"/>
      <c r="K638" s="15"/>
      <c r="L638" s="15"/>
      <c r="M638" s="15"/>
      <c r="N638" s="15"/>
      <c r="O638" s="15"/>
    </row>
    <row r="639" spans="1:15" ht="19.8" x14ac:dyDescent="0.5">
      <c r="A639" s="58"/>
      <c r="B639" s="15"/>
      <c r="C639" s="15"/>
      <c r="D639" s="15"/>
      <c r="E639" s="15"/>
      <c r="F639" s="15"/>
      <c r="G639" s="15"/>
      <c r="H639" s="15"/>
      <c r="I639" s="15"/>
      <c r="J639" s="15"/>
      <c r="K639" s="15"/>
      <c r="L639" s="15"/>
      <c r="M639" s="15"/>
      <c r="N639" s="15"/>
      <c r="O639" s="15"/>
    </row>
    <row r="640" spans="1:15" ht="19.8" x14ac:dyDescent="0.5">
      <c r="A640" s="58"/>
      <c r="B640" s="15"/>
      <c r="C640" s="15"/>
      <c r="D640" s="15"/>
      <c r="E640" s="15"/>
      <c r="F640" s="15"/>
      <c r="G640" s="15"/>
      <c r="H640" s="15"/>
      <c r="I640" s="15"/>
      <c r="J640" s="15"/>
      <c r="K640" s="15"/>
      <c r="L640" s="15"/>
      <c r="M640" s="15"/>
      <c r="N640" s="15"/>
      <c r="O640" s="15"/>
    </row>
    <row r="641" spans="1:15" ht="19.8" x14ac:dyDescent="0.5">
      <c r="A641" s="58"/>
      <c r="B641" s="15"/>
      <c r="C641" s="15"/>
      <c r="D641" s="15"/>
      <c r="E641" s="15"/>
      <c r="F641" s="15"/>
      <c r="G641" s="15"/>
      <c r="H641" s="15"/>
      <c r="I641" s="15"/>
      <c r="J641" s="15"/>
      <c r="K641" s="15"/>
      <c r="L641" s="15"/>
      <c r="M641" s="15"/>
      <c r="N641" s="15"/>
      <c r="O641" s="15"/>
    </row>
    <row r="642" spans="1:15" ht="19.8" x14ac:dyDescent="0.5">
      <c r="A642" s="58"/>
      <c r="B642" s="15"/>
      <c r="C642" s="15"/>
      <c r="D642" s="15"/>
      <c r="E642" s="15"/>
      <c r="F642" s="15"/>
      <c r="G642" s="15"/>
      <c r="H642" s="15"/>
      <c r="I642" s="15"/>
      <c r="J642" s="15"/>
      <c r="K642" s="15"/>
      <c r="L642" s="15"/>
      <c r="M642" s="15"/>
      <c r="N642" s="15"/>
      <c r="O642" s="15"/>
    </row>
    <row r="643" spans="1:15" ht="19.8" x14ac:dyDescent="0.5">
      <c r="A643" s="58"/>
      <c r="B643" s="15"/>
      <c r="C643" s="15"/>
      <c r="D643" s="15"/>
      <c r="E643" s="15"/>
      <c r="F643" s="15"/>
      <c r="G643" s="15"/>
      <c r="H643" s="15"/>
      <c r="I643" s="15"/>
      <c r="J643" s="15"/>
      <c r="K643" s="15"/>
      <c r="L643" s="15"/>
      <c r="M643" s="15"/>
      <c r="N643" s="15"/>
      <c r="O643" s="15"/>
    </row>
    <row r="644" spans="1:15" ht="19.8" x14ac:dyDescent="0.5">
      <c r="A644" s="58"/>
      <c r="B644" s="15"/>
      <c r="C644" s="15"/>
      <c r="D644" s="15"/>
      <c r="E644" s="15"/>
      <c r="F644" s="15"/>
      <c r="G644" s="15"/>
      <c r="H644" s="15"/>
      <c r="I644" s="15"/>
      <c r="J644" s="15"/>
      <c r="K644" s="15"/>
      <c r="L644" s="15"/>
      <c r="M644" s="15"/>
      <c r="N644" s="15"/>
      <c r="O644" s="15"/>
    </row>
    <row r="645" spans="1:15" ht="19.8" x14ac:dyDescent="0.5">
      <c r="A645" s="58"/>
      <c r="B645" s="15"/>
      <c r="C645" s="15"/>
      <c r="D645" s="15"/>
      <c r="E645" s="15"/>
      <c r="F645" s="15"/>
      <c r="G645" s="15"/>
      <c r="H645" s="15"/>
      <c r="I645" s="15"/>
      <c r="J645" s="15"/>
      <c r="K645" s="15"/>
      <c r="L645" s="15"/>
      <c r="M645" s="15"/>
      <c r="N645" s="15"/>
      <c r="O645" s="15"/>
    </row>
    <row r="646" spans="1:15" ht="19.8" x14ac:dyDescent="0.5">
      <c r="A646" s="58"/>
      <c r="B646" s="15"/>
      <c r="C646" s="15"/>
      <c r="D646" s="15"/>
      <c r="E646" s="15"/>
      <c r="F646" s="15"/>
      <c r="G646" s="15"/>
      <c r="H646" s="15"/>
      <c r="I646" s="15"/>
      <c r="J646" s="15"/>
      <c r="K646" s="15"/>
      <c r="L646" s="15"/>
      <c r="M646" s="15"/>
      <c r="N646" s="15"/>
      <c r="O646" s="15"/>
    </row>
    <row r="647" spans="1:15" ht="19.8" x14ac:dyDescent="0.5">
      <c r="A647" s="58"/>
      <c r="B647" s="15"/>
      <c r="C647" s="15"/>
      <c r="D647" s="15"/>
      <c r="E647" s="15"/>
      <c r="F647" s="15"/>
      <c r="G647" s="15"/>
      <c r="H647" s="15"/>
      <c r="I647" s="15"/>
      <c r="J647" s="15"/>
      <c r="K647" s="15"/>
      <c r="L647" s="15"/>
      <c r="M647" s="15"/>
      <c r="N647" s="15"/>
      <c r="O647" s="15"/>
    </row>
    <row r="648" spans="1:15" ht="19.8" x14ac:dyDescent="0.5">
      <c r="A648" s="58"/>
      <c r="B648" s="15"/>
      <c r="C648" s="15"/>
      <c r="D648" s="15"/>
      <c r="E648" s="15"/>
      <c r="F648" s="15"/>
      <c r="G648" s="15"/>
      <c r="H648" s="15"/>
      <c r="I648" s="15"/>
      <c r="J648" s="15"/>
      <c r="K648" s="15"/>
      <c r="L648" s="15"/>
      <c r="M648" s="15"/>
      <c r="N648" s="15"/>
      <c r="O648" s="15"/>
    </row>
    <row r="649" spans="1:15" ht="19.8" x14ac:dyDescent="0.5">
      <c r="A649" s="58"/>
      <c r="B649" s="15"/>
      <c r="C649" s="15"/>
      <c r="D649" s="15"/>
      <c r="E649" s="15"/>
      <c r="F649" s="15"/>
      <c r="G649" s="15"/>
      <c r="H649" s="15"/>
      <c r="I649" s="15"/>
      <c r="J649" s="15"/>
      <c r="K649" s="15"/>
      <c r="L649" s="15"/>
      <c r="M649" s="15"/>
      <c r="N649" s="15"/>
      <c r="O649" s="15"/>
    </row>
    <row r="650" spans="1:15" ht="19.8" x14ac:dyDescent="0.5">
      <c r="A650" s="58"/>
      <c r="B650" s="15"/>
      <c r="C650" s="15"/>
      <c r="D650" s="15"/>
      <c r="E650" s="15"/>
      <c r="F650" s="15"/>
      <c r="G650" s="15"/>
      <c r="H650" s="15"/>
      <c r="I650" s="15"/>
      <c r="J650" s="15"/>
      <c r="K650" s="15"/>
      <c r="L650" s="15"/>
      <c r="M650" s="15"/>
      <c r="N650" s="15"/>
      <c r="O650" s="15"/>
    </row>
    <row r="651" spans="1:15" ht="19.8" x14ac:dyDescent="0.5">
      <c r="A651" s="58"/>
      <c r="B651" s="15"/>
      <c r="C651" s="15"/>
      <c r="D651" s="15"/>
      <c r="E651" s="15"/>
      <c r="F651" s="15"/>
      <c r="G651" s="15"/>
      <c r="H651" s="15"/>
      <c r="I651" s="15"/>
      <c r="J651" s="15"/>
      <c r="K651" s="15"/>
      <c r="L651" s="15"/>
      <c r="M651" s="15"/>
      <c r="N651" s="15"/>
      <c r="O651" s="15"/>
    </row>
    <row r="652" spans="1:15" ht="19.8" x14ac:dyDescent="0.5">
      <c r="A652" s="58"/>
      <c r="B652" s="15"/>
      <c r="C652" s="15"/>
      <c r="D652" s="15"/>
      <c r="E652" s="15"/>
      <c r="F652" s="15"/>
      <c r="G652" s="15"/>
      <c r="H652" s="15"/>
      <c r="I652" s="15"/>
      <c r="J652" s="15"/>
      <c r="K652" s="15"/>
      <c r="L652" s="15"/>
      <c r="M652" s="15"/>
      <c r="N652" s="15"/>
      <c r="O652" s="15"/>
    </row>
    <row r="653" spans="1:15" ht="19.8" x14ac:dyDescent="0.5">
      <c r="A653" s="58"/>
      <c r="B653" s="15"/>
      <c r="C653" s="15"/>
      <c r="D653" s="15"/>
      <c r="E653" s="15"/>
      <c r="F653" s="15"/>
      <c r="G653" s="15"/>
      <c r="H653" s="15"/>
      <c r="I653" s="15"/>
      <c r="J653" s="15"/>
      <c r="K653" s="15"/>
      <c r="L653" s="15"/>
      <c r="M653" s="15"/>
      <c r="N653" s="15"/>
      <c r="O653" s="15"/>
    </row>
    <row r="654" spans="1:15" ht="19.8" x14ac:dyDescent="0.5">
      <c r="A654" s="58"/>
      <c r="B654" s="15"/>
      <c r="C654" s="15"/>
      <c r="D654" s="15"/>
      <c r="E654" s="15"/>
      <c r="F654" s="15"/>
      <c r="G654" s="15"/>
      <c r="H654" s="15"/>
      <c r="I654" s="15"/>
      <c r="J654" s="15"/>
      <c r="K654" s="15"/>
      <c r="L654" s="15"/>
      <c r="M654" s="15"/>
      <c r="N654" s="15"/>
      <c r="O654" s="15"/>
    </row>
    <row r="655" spans="1:15" ht="19.8" x14ac:dyDescent="0.5">
      <c r="A655" s="58"/>
      <c r="B655" s="15"/>
      <c r="C655" s="15"/>
      <c r="D655" s="15"/>
      <c r="E655" s="15"/>
      <c r="F655" s="15"/>
      <c r="G655" s="15"/>
      <c r="H655" s="15"/>
      <c r="I655" s="15"/>
      <c r="J655" s="15"/>
      <c r="K655" s="15"/>
      <c r="L655" s="15"/>
      <c r="M655" s="15"/>
      <c r="N655" s="15"/>
      <c r="O655" s="15"/>
    </row>
    <row r="656" spans="1:15" ht="19.8" x14ac:dyDescent="0.5">
      <c r="A656" s="58"/>
      <c r="B656" s="15"/>
      <c r="C656" s="15"/>
      <c r="D656" s="15"/>
      <c r="E656" s="15"/>
      <c r="F656" s="15"/>
      <c r="G656" s="15"/>
      <c r="H656" s="15"/>
      <c r="I656" s="15"/>
      <c r="J656" s="15"/>
      <c r="K656" s="15"/>
      <c r="L656" s="15"/>
      <c r="M656" s="15"/>
      <c r="N656" s="15"/>
      <c r="O656" s="15"/>
    </row>
    <row r="657" spans="1:15" ht="19.8" x14ac:dyDescent="0.5">
      <c r="A657" s="58"/>
      <c r="B657" s="15"/>
      <c r="C657" s="15"/>
      <c r="D657" s="15"/>
      <c r="E657" s="15"/>
      <c r="F657" s="15"/>
      <c r="G657" s="15"/>
      <c r="H657" s="15"/>
      <c r="I657" s="15"/>
      <c r="J657" s="15"/>
      <c r="K657" s="15"/>
      <c r="L657" s="15"/>
      <c r="M657" s="15"/>
      <c r="N657" s="15"/>
      <c r="O657" s="15"/>
    </row>
    <row r="658" spans="1:15" ht="19.8" x14ac:dyDescent="0.5">
      <c r="A658" s="58"/>
      <c r="B658" s="15"/>
      <c r="C658" s="15"/>
      <c r="D658" s="15"/>
      <c r="E658" s="15"/>
      <c r="F658" s="15"/>
      <c r="G658" s="15"/>
      <c r="H658" s="15"/>
      <c r="I658" s="15"/>
      <c r="J658" s="15"/>
      <c r="K658" s="15"/>
      <c r="L658" s="15"/>
      <c r="M658" s="15"/>
      <c r="N658" s="15"/>
      <c r="O658" s="15"/>
    </row>
    <row r="659" spans="1:15" ht="19.8" x14ac:dyDescent="0.5">
      <c r="A659" s="58"/>
      <c r="B659" s="15"/>
      <c r="C659" s="15"/>
      <c r="D659" s="15"/>
      <c r="E659" s="15"/>
      <c r="F659" s="15"/>
      <c r="G659" s="15"/>
      <c r="H659" s="15"/>
      <c r="I659" s="15"/>
      <c r="J659" s="15"/>
      <c r="K659" s="15"/>
      <c r="L659" s="15"/>
      <c r="M659" s="15"/>
      <c r="N659" s="15"/>
      <c r="O659" s="15"/>
    </row>
    <row r="660" spans="1:15" ht="19.8" x14ac:dyDescent="0.5">
      <c r="A660" s="58"/>
      <c r="B660" s="15"/>
      <c r="C660" s="15"/>
      <c r="D660" s="15"/>
      <c r="E660" s="15"/>
      <c r="F660" s="15"/>
      <c r="G660" s="15"/>
      <c r="H660" s="15"/>
      <c r="I660" s="15"/>
      <c r="J660" s="15"/>
      <c r="K660" s="15"/>
      <c r="L660" s="15"/>
      <c r="M660" s="15"/>
      <c r="N660" s="15"/>
      <c r="O660" s="15"/>
    </row>
    <row r="661" spans="1:15" ht="19.8" x14ac:dyDescent="0.5">
      <c r="A661" s="58"/>
      <c r="B661" s="15"/>
      <c r="C661" s="15"/>
      <c r="D661" s="15"/>
      <c r="E661" s="15"/>
      <c r="F661" s="15"/>
      <c r="G661" s="15"/>
      <c r="H661" s="15"/>
      <c r="I661" s="15"/>
      <c r="J661" s="15"/>
      <c r="K661" s="15"/>
      <c r="L661" s="15"/>
      <c r="M661" s="15"/>
      <c r="N661" s="15"/>
      <c r="O661" s="15"/>
    </row>
    <row r="662" spans="1:15" ht="19.8" x14ac:dyDescent="0.5">
      <c r="A662" s="58"/>
      <c r="B662" s="15"/>
      <c r="C662" s="15"/>
      <c r="D662" s="15"/>
      <c r="E662" s="15"/>
      <c r="F662" s="15"/>
      <c r="G662" s="15"/>
      <c r="H662" s="15"/>
      <c r="I662" s="15"/>
      <c r="J662" s="15"/>
      <c r="K662" s="15"/>
      <c r="L662" s="15"/>
      <c r="M662" s="15"/>
      <c r="N662" s="15"/>
      <c r="O662" s="15"/>
    </row>
    <row r="663" spans="1:15" ht="19.8" x14ac:dyDescent="0.5">
      <c r="A663" s="58"/>
      <c r="B663" s="15"/>
      <c r="C663" s="15"/>
      <c r="D663" s="15"/>
      <c r="E663" s="15"/>
      <c r="F663" s="15"/>
      <c r="G663" s="15"/>
      <c r="H663" s="15"/>
      <c r="I663" s="15"/>
      <c r="J663" s="15"/>
      <c r="K663" s="15"/>
      <c r="L663" s="15"/>
      <c r="M663" s="15"/>
      <c r="N663" s="15"/>
      <c r="O663" s="15"/>
    </row>
    <row r="664" spans="1:15" ht="19.8" x14ac:dyDescent="0.5">
      <c r="A664" s="58"/>
      <c r="B664" s="15"/>
      <c r="C664" s="15"/>
      <c r="D664" s="15"/>
      <c r="E664" s="15"/>
      <c r="F664" s="15"/>
      <c r="G664" s="15"/>
      <c r="H664" s="15"/>
      <c r="I664" s="15"/>
      <c r="J664" s="15"/>
      <c r="K664" s="15"/>
      <c r="L664" s="15"/>
      <c r="M664" s="15"/>
      <c r="N664" s="15"/>
      <c r="O664" s="15"/>
    </row>
    <row r="665" spans="1:15" ht="19.8" x14ac:dyDescent="0.5">
      <c r="A665" s="58"/>
      <c r="B665" s="15"/>
      <c r="C665" s="15"/>
      <c r="D665" s="15"/>
      <c r="E665" s="15"/>
      <c r="F665" s="15"/>
      <c r="G665" s="15"/>
      <c r="H665" s="15"/>
      <c r="I665" s="15"/>
      <c r="J665" s="15"/>
      <c r="K665" s="15"/>
      <c r="L665" s="15"/>
      <c r="M665" s="15"/>
      <c r="N665" s="15"/>
      <c r="O665" s="15"/>
    </row>
    <row r="666" spans="1:15" ht="19.8" x14ac:dyDescent="0.5">
      <c r="A666" s="58"/>
      <c r="B666" s="15"/>
      <c r="C666" s="15"/>
      <c r="D666" s="15"/>
      <c r="E666" s="15"/>
      <c r="F666" s="15"/>
      <c r="G666" s="15"/>
      <c r="H666" s="15"/>
      <c r="I666" s="15"/>
      <c r="J666" s="15"/>
      <c r="K666" s="15"/>
      <c r="L666" s="15"/>
      <c r="M666" s="15"/>
      <c r="N666" s="15"/>
      <c r="O666" s="15"/>
    </row>
    <row r="667" spans="1:15" ht="19.8" x14ac:dyDescent="0.5">
      <c r="A667" s="58"/>
      <c r="B667" s="15"/>
      <c r="C667" s="15"/>
      <c r="D667" s="15"/>
      <c r="E667" s="15"/>
      <c r="F667" s="15"/>
      <c r="G667" s="15"/>
      <c r="H667" s="15"/>
      <c r="I667" s="15"/>
      <c r="J667" s="15"/>
      <c r="K667" s="15"/>
      <c r="L667" s="15"/>
      <c r="M667" s="15"/>
      <c r="N667" s="15"/>
      <c r="O667" s="15"/>
    </row>
    <row r="668" spans="1:15" ht="19.8" x14ac:dyDescent="0.5">
      <c r="A668" s="58"/>
      <c r="B668" s="15"/>
      <c r="C668" s="15"/>
      <c r="D668" s="15"/>
      <c r="E668" s="15"/>
      <c r="F668" s="15"/>
      <c r="G668" s="15"/>
      <c r="H668" s="15"/>
      <c r="I668" s="15"/>
      <c r="J668" s="15"/>
      <c r="K668" s="15"/>
      <c r="L668" s="15"/>
      <c r="M668" s="15"/>
      <c r="N668" s="15"/>
      <c r="O668" s="15"/>
    </row>
    <row r="669" spans="1:15" ht="19.8" x14ac:dyDescent="0.5">
      <c r="A669" s="58"/>
      <c r="B669" s="15"/>
      <c r="C669" s="15"/>
      <c r="D669" s="15"/>
      <c r="E669" s="15"/>
      <c r="F669" s="15"/>
      <c r="G669" s="15"/>
      <c r="H669" s="15"/>
      <c r="I669" s="15"/>
      <c r="J669" s="15"/>
      <c r="K669" s="15"/>
      <c r="L669" s="15"/>
      <c r="M669" s="15"/>
      <c r="N669" s="15"/>
      <c r="O669" s="15"/>
    </row>
    <row r="670" spans="1:15" ht="19.8" x14ac:dyDescent="0.5">
      <c r="A670" s="58"/>
      <c r="B670" s="15"/>
      <c r="C670" s="15"/>
      <c r="D670" s="15"/>
      <c r="E670" s="15"/>
      <c r="F670" s="15"/>
      <c r="G670" s="15"/>
      <c r="H670" s="15"/>
      <c r="I670" s="15"/>
      <c r="J670" s="15"/>
      <c r="K670" s="15"/>
      <c r="L670" s="15"/>
      <c r="M670" s="15"/>
      <c r="N670" s="15"/>
      <c r="O670" s="15"/>
    </row>
    <row r="671" spans="1:15" ht="19.8" x14ac:dyDescent="0.5">
      <c r="A671" s="58"/>
      <c r="B671" s="15"/>
      <c r="C671" s="15"/>
      <c r="D671" s="15"/>
      <c r="E671" s="15"/>
      <c r="F671" s="15"/>
      <c r="G671" s="15"/>
      <c r="H671" s="15"/>
      <c r="I671" s="15"/>
      <c r="J671" s="15"/>
      <c r="K671" s="15"/>
      <c r="L671" s="15"/>
      <c r="M671" s="15"/>
      <c r="N671" s="15"/>
      <c r="O671" s="15"/>
    </row>
    <row r="672" spans="1:15" ht="19.8" x14ac:dyDescent="0.5">
      <c r="A672" s="58"/>
      <c r="B672" s="15"/>
      <c r="C672" s="15"/>
      <c r="D672" s="15"/>
      <c r="E672" s="15"/>
      <c r="F672" s="15"/>
      <c r="G672" s="15"/>
      <c r="H672" s="15"/>
      <c r="I672" s="15"/>
      <c r="J672" s="15"/>
      <c r="K672" s="15"/>
      <c r="L672" s="15"/>
      <c r="M672" s="15"/>
      <c r="N672" s="15"/>
      <c r="O672" s="15"/>
    </row>
    <row r="673" spans="1:15" ht="19.8" x14ac:dyDescent="0.5">
      <c r="A673" s="58"/>
      <c r="B673" s="15"/>
      <c r="C673" s="15"/>
      <c r="D673" s="15"/>
      <c r="E673" s="15"/>
      <c r="F673" s="15"/>
      <c r="G673" s="15"/>
      <c r="H673" s="15"/>
      <c r="I673" s="15"/>
      <c r="J673" s="15"/>
      <c r="K673" s="15"/>
      <c r="L673" s="15"/>
      <c r="M673" s="15"/>
      <c r="N673" s="15"/>
      <c r="O673" s="15"/>
    </row>
    <row r="674" spans="1:15" ht="19.8" x14ac:dyDescent="0.5">
      <c r="A674" s="58"/>
      <c r="B674" s="15"/>
      <c r="C674" s="15"/>
      <c r="D674" s="15"/>
      <c r="E674" s="15"/>
      <c r="F674" s="15"/>
      <c r="G674" s="15"/>
      <c r="H674" s="15"/>
      <c r="I674" s="15"/>
      <c r="J674" s="15"/>
      <c r="K674" s="15"/>
      <c r="L674" s="15"/>
      <c r="M674" s="15"/>
      <c r="N674" s="15"/>
      <c r="O674" s="15"/>
    </row>
    <row r="675" spans="1:15" ht="19.8" x14ac:dyDescent="0.5">
      <c r="A675" s="58"/>
      <c r="B675" s="15"/>
      <c r="C675" s="15"/>
      <c r="D675" s="15"/>
      <c r="E675" s="15"/>
      <c r="F675" s="15"/>
      <c r="G675" s="15"/>
      <c r="H675" s="15"/>
      <c r="I675" s="15"/>
      <c r="J675" s="15"/>
      <c r="K675" s="15"/>
      <c r="L675" s="15"/>
      <c r="M675" s="15"/>
      <c r="N675" s="15"/>
      <c r="O675" s="15"/>
    </row>
    <row r="676" spans="1:15" ht="19.8" x14ac:dyDescent="0.5">
      <c r="A676" s="58"/>
      <c r="B676" s="15"/>
      <c r="C676" s="15"/>
      <c r="D676" s="15"/>
      <c r="E676" s="15"/>
      <c r="F676" s="15"/>
      <c r="G676" s="15"/>
      <c r="H676" s="15"/>
      <c r="I676" s="15"/>
      <c r="J676" s="15"/>
      <c r="K676" s="15"/>
      <c r="L676" s="15"/>
      <c r="M676" s="15"/>
      <c r="N676" s="15"/>
      <c r="O676" s="15"/>
    </row>
    <row r="677" spans="1:15" ht="19.8" x14ac:dyDescent="0.5">
      <c r="A677" s="58"/>
      <c r="B677" s="15"/>
      <c r="C677" s="15"/>
      <c r="D677" s="15"/>
      <c r="E677" s="15"/>
      <c r="F677" s="15"/>
      <c r="G677" s="15"/>
      <c r="H677" s="15"/>
      <c r="I677" s="15"/>
      <c r="J677" s="15"/>
      <c r="K677" s="15"/>
      <c r="L677" s="15"/>
      <c r="M677" s="15"/>
      <c r="N677" s="15"/>
      <c r="O677" s="15"/>
    </row>
    <row r="678" spans="1:15" ht="19.8" x14ac:dyDescent="0.5">
      <c r="A678" s="58"/>
      <c r="B678" s="15"/>
      <c r="C678" s="15"/>
      <c r="D678" s="15"/>
      <c r="E678" s="15"/>
      <c r="F678" s="15"/>
      <c r="G678" s="15"/>
      <c r="H678" s="15"/>
      <c r="I678" s="15"/>
      <c r="J678" s="15"/>
      <c r="K678" s="15"/>
      <c r="L678" s="15"/>
      <c r="M678" s="15"/>
      <c r="N678" s="15"/>
      <c r="O678" s="15"/>
    </row>
    <row r="679" spans="1:15" ht="19.8" x14ac:dyDescent="0.5">
      <c r="A679" s="58"/>
      <c r="B679" s="15"/>
      <c r="C679" s="15"/>
      <c r="D679" s="15"/>
      <c r="E679" s="15"/>
      <c r="F679" s="15"/>
      <c r="G679" s="15"/>
      <c r="H679" s="15"/>
      <c r="I679" s="15"/>
      <c r="J679" s="15"/>
      <c r="K679" s="15"/>
      <c r="L679" s="15"/>
      <c r="M679" s="15"/>
      <c r="N679" s="15"/>
      <c r="O679" s="15"/>
    </row>
    <row r="680" spans="1:15" ht="19.8" x14ac:dyDescent="0.5">
      <c r="A680" s="58"/>
      <c r="B680" s="15"/>
      <c r="C680" s="15"/>
      <c r="D680" s="15"/>
      <c r="E680" s="15"/>
      <c r="F680" s="15"/>
      <c r="G680" s="15"/>
      <c r="H680" s="15"/>
      <c r="I680" s="15"/>
      <c r="J680" s="15"/>
      <c r="K680" s="15"/>
      <c r="L680" s="15"/>
      <c r="M680" s="15"/>
      <c r="N680" s="15"/>
      <c r="O680" s="15"/>
    </row>
    <row r="681" spans="1:15" ht="19.8" x14ac:dyDescent="0.5">
      <c r="A681" s="58"/>
      <c r="B681" s="15"/>
      <c r="C681" s="15"/>
      <c r="D681" s="15"/>
      <c r="E681" s="15"/>
      <c r="F681" s="15"/>
      <c r="G681" s="15"/>
      <c r="H681" s="15"/>
      <c r="I681" s="15"/>
      <c r="J681" s="15"/>
      <c r="K681" s="15"/>
      <c r="L681" s="15"/>
      <c r="M681" s="15"/>
      <c r="N681" s="15"/>
      <c r="O681" s="15"/>
    </row>
    <row r="682" spans="1:15" ht="19.8" x14ac:dyDescent="0.5">
      <c r="A682" s="58"/>
      <c r="B682" s="15"/>
      <c r="C682" s="15"/>
      <c r="D682" s="15"/>
      <c r="E682" s="15"/>
      <c r="F682" s="15"/>
      <c r="G682" s="15"/>
      <c r="H682" s="15"/>
      <c r="I682" s="15"/>
      <c r="J682" s="15"/>
      <c r="K682" s="15"/>
      <c r="L682" s="15"/>
      <c r="M682" s="15"/>
      <c r="N682" s="15"/>
      <c r="O682" s="15"/>
    </row>
    <row r="683" spans="1:15" ht="19.8" x14ac:dyDescent="0.5">
      <c r="A683" s="58"/>
      <c r="B683" s="15"/>
      <c r="C683" s="15"/>
      <c r="D683" s="15"/>
      <c r="E683" s="15"/>
      <c r="F683" s="15"/>
      <c r="G683" s="15"/>
      <c r="H683" s="15"/>
      <c r="I683" s="15"/>
      <c r="J683" s="15"/>
      <c r="K683" s="15"/>
      <c r="L683" s="15"/>
      <c r="M683" s="15"/>
      <c r="N683" s="15"/>
      <c r="O683" s="15"/>
    </row>
    <row r="684" spans="1:15" ht="19.8" x14ac:dyDescent="0.5">
      <c r="A684" s="58"/>
      <c r="B684" s="15"/>
      <c r="C684" s="15"/>
      <c r="D684" s="15"/>
      <c r="E684" s="15"/>
      <c r="F684" s="15"/>
      <c r="G684" s="15"/>
      <c r="H684" s="15"/>
      <c r="I684" s="15"/>
      <c r="J684" s="15"/>
      <c r="K684" s="15"/>
      <c r="L684" s="15"/>
      <c r="M684" s="15"/>
      <c r="N684" s="15"/>
      <c r="O684" s="15"/>
    </row>
    <row r="685" spans="1:15" ht="19.8" x14ac:dyDescent="0.5">
      <c r="A685" s="58"/>
      <c r="B685" s="15"/>
      <c r="C685" s="15"/>
      <c r="D685" s="15"/>
      <c r="E685" s="15"/>
      <c r="F685" s="15"/>
      <c r="G685" s="15"/>
      <c r="H685" s="15"/>
      <c r="I685" s="15"/>
      <c r="J685" s="15"/>
      <c r="K685" s="15"/>
      <c r="L685" s="15"/>
      <c r="M685" s="15"/>
      <c r="N685" s="15"/>
      <c r="O685" s="15"/>
    </row>
    <row r="686" spans="1:15" ht="19.8" x14ac:dyDescent="0.5">
      <c r="A686" s="58"/>
      <c r="B686" s="15"/>
      <c r="C686" s="15"/>
      <c r="D686" s="15"/>
      <c r="E686" s="15"/>
      <c r="F686" s="15"/>
      <c r="G686" s="15"/>
      <c r="H686" s="15"/>
      <c r="I686" s="15"/>
      <c r="J686" s="15"/>
      <c r="K686" s="15"/>
      <c r="L686" s="15"/>
      <c r="M686" s="15"/>
      <c r="N686" s="15"/>
      <c r="O686" s="15"/>
    </row>
    <row r="687" spans="1:15" ht="19.8" x14ac:dyDescent="0.5">
      <c r="A687" s="58"/>
      <c r="B687" s="15"/>
      <c r="C687" s="15"/>
      <c r="D687" s="15"/>
      <c r="E687" s="15"/>
      <c r="F687" s="15"/>
      <c r="G687" s="15"/>
      <c r="H687" s="15"/>
      <c r="I687" s="15"/>
      <c r="J687" s="15"/>
      <c r="K687" s="15"/>
      <c r="L687" s="15"/>
      <c r="M687" s="15"/>
      <c r="N687" s="15"/>
      <c r="O687" s="15"/>
    </row>
    <row r="688" spans="1:15" ht="19.8" x14ac:dyDescent="0.5">
      <c r="A688" s="58"/>
      <c r="B688" s="15"/>
      <c r="C688" s="15"/>
      <c r="D688" s="15"/>
      <c r="E688" s="15"/>
      <c r="F688" s="15"/>
      <c r="G688" s="15"/>
      <c r="H688" s="15"/>
      <c r="I688" s="15"/>
      <c r="J688" s="15"/>
      <c r="K688" s="15"/>
      <c r="L688" s="15"/>
      <c r="M688" s="15"/>
      <c r="N688" s="15"/>
      <c r="O688" s="15"/>
    </row>
    <row r="689" spans="1:15" ht="19.8" x14ac:dyDescent="0.5">
      <c r="A689" s="58"/>
      <c r="B689" s="15"/>
      <c r="C689" s="15"/>
      <c r="D689" s="15"/>
      <c r="E689" s="15"/>
      <c r="F689" s="15"/>
      <c r="G689" s="15"/>
      <c r="H689" s="15"/>
      <c r="I689" s="15"/>
      <c r="J689" s="15"/>
      <c r="K689" s="15"/>
      <c r="L689" s="15"/>
      <c r="M689" s="15"/>
      <c r="N689" s="15"/>
      <c r="O689" s="15"/>
    </row>
    <row r="690" spans="1:15" ht="19.8" x14ac:dyDescent="0.5">
      <c r="A690" s="58"/>
      <c r="B690" s="15"/>
      <c r="C690" s="15"/>
      <c r="D690" s="15"/>
      <c r="E690" s="15"/>
      <c r="F690" s="15"/>
      <c r="G690" s="15"/>
      <c r="H690" s="15"/>
      <c r="I690" s="15"/>
      <c r="J690" s="15"/>
      <c r="K690" s="15"/>
      <c r="L690" s="15"/>
      <c r="M690" s="15"/>
      <c r="N690" s="15"/>
      <c r="O690" s="15"/>
    </row>
    <row r="691" spans="1:15" ht="19.8" x14ac:dyDescent="0.5">
      <c r="A691" s="58"/>
      <c r="B691" s="15"/>
      <c r="C691" s="15"/>
      <c r="D691" s="15"/>
      <c r="E691" s="15"/>
      <c r="F691" s="15"/>
      <c r="G691" s="15"/>
      <c r="H691" s="15"/>
      <c r="I691" s="15"/>
      <c r="J691" s="15"/>
      <c r="K691" s="15"/>
      <c r="L691" s="15"/>
      <c r="M691" s="15"/>
      <c r="N691" s="15"/>
      <c r="O691" s="15"/>
    </row>
    <row r="692" spans="1:15" ht="19.8" x14ac:dyDescent="0.5">
      <c r="A692" s="58"/>
      <c r="B692" s="15"/>
      <c r="C692" s="15"/>
      <c r="D692" s="15"/>
      <c r="E692" s="15"/>
      <c r="F692" s="15"/>
      <c r="G692" s="15"/>
      <c r="H692" s="15"/>
      <c r="I692" s="15"/>
      <c r="J692" s="15"/>
      <c r="K692" s="15"/>
      <c r="L692" s="15"/>
      <c r="M692" s="15"/>
      <c r="N692" s="15"/>
      <c r="O692" s="15"/>
    </row>
    <row r="693" spans="1:15" ht="19.8" x14ac:dyDescent="0.5">
      <c r="A693" s="58"/>
      <c r="B693" s="15"/>
      <c r="C693" s="15"/>
      <c r="D693" s="15"/>
      <c r="E693" s="15"/>
      <c r="F693" s="15"/>
      <c r="G693" s="15"/>
      <c r="H693" s="15"/>
      <c r="I693" s="15"/>
      <c r="J693" s="15"/>
      <c r="K693" s="15"/>
      <c r="L693" s="15"/>
      <c r="M693" s="15"/>
      <c r="N693" s="15"/>
      <c r="O693" s="15"/>
    </row>
    <row r="694" spans="1:15" ht="19.8" x14ac:dyDescent="0.5">
      <c r="A694" s="58"/>
      <c r="B694" s="15"/>
      <c r="C694" s="15"/>
      <c r="D694" s="15"/>
      <c r="E694" s="15"/>
      <c r="F694" s="15"/>
      <c r="G694" s="15"/>
      <c r="H694" s="15"/>
      <c r="I694" s="15"/>
      <c r="J694" s="15"/>
      <c r="K694" s="15"/>
      <c r="L694" s="15"/>
      <c r="M694" s="15"/>
      <c r="N694" s="15"/>
      <c r="O694" s="15"/>
    </row>
    <row r="695" spans="1:15" ht="19.8" x14ac:dyDescent="0.5">
      <c r="A695" s="58"/>
      <c r="B695" s="15"/>
      <c r="C695" s="15"/>
      <c r="D695" s="15"/>
      <c r="E695" s="15"/>
      <c r="F695" s="15"/>
      <c r="G695" s="15"/>
      <c r="H695" s="15"/>
      <c r="I695" s="15"/>
      <c r="J695" s="15"/>
      <c r="K695" s="15"/>
      <c r="L695" s="15"/>
      <c r="M695" s="15"/>
      <c r="N695" s="15"/>
      <c r="O695" s="15"/>
    </row>
    <row r="696" spans="1:15" ht="19.8" x14ac:dyDescent="0.5">
      <c r="A696" s="58"/>
      <c r="B696" s="15"/>
      <c r="C696" s="15"/>
      <c r="D696" s="15"/>
      <c r="E696" s="15"/>
      <c r="F696" s="15"/>
      <c r="G696" s="15"/>
      <c r="H696" s="15"/>
      <c r="I696" s="15"/>
      <c r="J696" s="15"/>
      <c r="K696" s="15"/>
      <c r="L696" s="15"/>
      <c r="M696" s="15"/>
      <c r="N696" s="15"/>
      <c r="O696" s="15"/>
    </row>
    <row r="697" spans="1:15" ht="19.8" x14ac:dyDescent="0.5">
      <c r="A697" s="58"/>
      <c r="B697" s="15"/>
      <c r="C697" s="15"/>
      <c r="D697" s="15"/>
      <c r="E697" s="15"/>
      <c r="F697" s="15"/>
      <c r="G697" s="15"/>
      <c r="H697" s="15"/>
      <c r="I697" s="15"/>
      <c r="J697" s="15"/>
      <c r="K697" s="15"/>
      <c r="L697" s="15"/>
      <c r="M697" s="15"/>
      <c r="N697" s="15"/>
      <c r="O697" s="15"/>
    </row>
    <row r="698" spans="1:15" ht="19.8" x14ac:dyDescent="0.5">
      <c r="A698" s="58"/>
      <c r="B698" s="15"/>
      <c r="C698" s="15"/>
      <c r="D698" s="15"/>
      <c r="E698" s="15"/>
      <c r="F698" s="15"/>
      <c r="G698" s="15"/>
      <c r="H698" s="15"/>
      <c r="I698" s="15"/>
      <c r="J698" s="15"/>
      <c r="K698" s="15"/>
      <c r="L698" s="15"/>
      <c r="M698" s="15"/>
      <c r="N698" s="15"/>
      <c r="O698" s="15"/>
    </row>
    <row r="699" spans="1:15" ht="19.8" x14ac:dyDescent="0.5">
      <c r="A699" s="58"/>
      <c r="B699" s="15"/>
      <c r="C699" s="15"/>
      <c r="D699" s="15"/>
      <c r="E699" s="15"/>
      <c r="F699" s="15"/>
      <c r="G699" s="15"/>
      <c r="H699" s="15"/>
      <c r="I699" s="15"/>
      <c r="J699" s="15"/>
      <c r="K699" s="15"/>
      <c r="L699" s="15"/>
      <c r="M699" s="15"/>
      <c r="N699" s="15"/>
      <c r="O699" s="15"/>
    </row>
    <row r="700" spans="1:15" ht="19.8" x14ac:dyDescent="0.5">
      <c r="A700" s="58"/>
      <c r="B700" s="15"/>
      <c r="C700" s="15"/>
      <c r="D700" s="15"/>
      <c r="E700" s="15"/>
      <c r="F700" s="15"/>
      <c r="G700" s="15"/>
      <c r="H700" s="15"/>
      <c r="I700" s="15"/>
      <c r="J700" s="15"/>
      <c r="K700" s="15"/>
      <c r="L700" s="15"/>
      <c r="M700" s="15"/>
      <c r="N700" s="15"/>
      <c r="O700" s="15"/>
    </row>
    <row r="701" spans="1:15" ht="19.8" x14ac:dyDescent="0.5">
      <c r="A701" s="58"/>
      <c r="B701" s="15"/>
      <c r="C701" s="15"/>
      <c r="D701" s="15"/>
      <c r="E701" s="15"/>
      <c r="F701" s="15"/>
      <c r="G701" s="15"/>
      <c r="H701" s="15"/>
      <c r="I701" s="15"/>
      <c r="J701" s="15"/>
      <c r="K701" s="15"/>
      <c r="L701" s="15"/>
      <c r="M701" s="15"/>
      <c r="N701" s="15"/>
      <c r="O701" s="15"/>
    </row>
    <row r="702" spans="1:15" ht="19.8" x14ac:dyDescent="0.5">
      <c r="A702" s="58"/>
      <c r="B702" s="15"/>
      <c r="C702" s="15"/>
      <c r="D702" s="15"/>
      <c r="E702" s="15"/>
      <c r="F702" s="15"/>
      <c r="G702" s="15"/>
      <c r="H702" s="15"/>
      <c r="I702" s="15"/>
      <c r="J702" s="15"/>
      <c r="K702" s="15"/>
      <c r="L702" s="15"/>
      <c r="M702" s="15"/>
      <c r="N702" s="15"/>
      <c r="O702" s="15"/>
    </row>
    <row r="703" spans="1:15" ht="19.8" x14ac:dyDescent="0.5">
      <c r="A703" s="58"/>
      <c r="B703" s="15"/>
      <c r="C703" s="15"/>
      <c r="D703" s="15"/>
      <c r="E703" s="15"/>
      <c r="F703" s="15"/>
      <c r="G703" s="15"/>
      <c r="H703" s="15"/>
      <c r="I703" s="15"/>
      <c r="J703" s="15"/>
      <c r="K703" s="15"/>
      <c r="L703" s="15"/>
      <c r="M703" s="15"/>
      <c r="N703" s="15"/>
      <c r="O703" s="15"/>
    </row>
    <row r="704" spans="1:15" ht="19.8" x14ac:dyDescent="0.5">
      <c r="A704" s="58"/>
      <c r="B704" s="15"/>
      <c r="C704" s="15"/>
      <c r="D704" s="15"/>
      <c r="E704" s="15"/>
      <c r="F704" s="15"/>
      <c r="G704" s="15"/>
      <c r="H704" s="15"/>
      <c r="I704" s="15"/>
      <c r="J704" s="15"/>
      <c r="K704" s="15"/>
      <c r="L704" s="15"/>
      <c r="M704" s="15"/>
      <c r="N704" s="15"/>
      <c r="O704" s="15"/>
    </row>
    <row r="705" spans="1:15" ht="19.8" x14ac:dyDescent="0.5">
      <c r="A705" s="58"/>
      <c r="B705" s="15"/>
      <c r="C705" s="15"/>
      <c r="D705" s="15"/>
      <c r="E705" s="15"/>
      <c r="F705" s="15"/>
      <c r="G705" s="15"/>
      <c r="H705" s="15"/>
      <c r="I705" s="15"/>
      <c r="J705" s="15"/>
      <c r="K705" s="15"/>
      <c r="L705" s="15"/>
      <c r="M705" s="15"/>
      <c r="N705" s="15"/>
      <c r="O705" s="15"/>
    </row>
    <row r="706" spans="1:15" ht="19.8" x14ac:dyDescent="0.5">
      <c r="A706" s="58"/>
      <c r="B706" s="15"/>
      <c r="C706" s="15"/>
      <c r="D706" s="15"/>
      <c r="E706" s="15"/>
      <c r="F706" s="15"/>
      <c r="G706" s="15"/>
      <c r="H706" s="15"/>
      <c r="I706" s="15"/>
      <c r="J706" s="15"/>
      <c r="K706" s="15"/>
      <c r="L706" s="15"/>
      <c r="M706" s="15"/>
      <c r="N706" s="15"/>
      <c r="O706" s="15"/>
    </row>
    <row r="707" spans="1:15" ht="19.8" x14ac:dyDescent="0.5">
      <c r="A707" s="58"/>
      <c r="B707" s="15"/>
      <c r="C707" s="15"/>
      <c r="D707" s="15"/>
      <c r="E707" s="15"/>
      <c r="F707" s="15"/>
      <c r="G707" s="15"/>
      <c r="H707" s="15"/>
      <c r="I707" s="15"/>
      <c r="J707" s="15"/>
      <c r="K707" s="15"/>
      <c r="L707" s="15"/>
      <c r="M707" s="15"/>
      <c r="N707" s="15"/>
      <c r="O707" s="15"/>
    </row>
    <row r="708" spans="1:15" ht="19.8" x14ac:dyDescent="0.5">
      <c r="A708" s="58"/>
      <c r="B708" s="15"/>
      <c r="C708" s="15"/>
      <c r="D708" s="15"/>
      <c r="E708" s="15"/>
      <c r="F708" s="15"/>
      <c r="G708" s="15"/>
      <c r="H708" s="15"/>
      <c r="I708" s="15"/>
      <c r="J708" s="15"/>
      <c r="K708" s="15"/>
      <c r="L708" s="15"/>
      <c r="M708" s="15"/>
      <c r="N708" s="15"/>
      <c r="O708" s="15"/>
    </row>
    <row r="709" spans="1:15" ht="19.8" x14ac:dyDescent="0.5">
      <c r="A709" s="58"/>
      <c r="B709" s="15"/>
      <c r="C709" s="15"/>
      <c r="D709" s="15"/>
      <c r="E709" s="15"/>
      <c r="F709" s="15"/>
      <c r="G709" s="15"/>
      <c r="H709" s="15"/>
      <c r="I709" s="15"/>
      <c r="J709" s="15"/>
      <c r="K709" s="15"/>
      <c r="L709" s="15"/>
      <c r="M709" s="15"/>
      <c r="N709" s="15"/>
      <c r="O709" s="15"/>
    </row>
    <row r="710" spans="1:15" ht="19.8" x14ac:dyDescent="0.5">
      <c r="A710" s="58"/>
      <c r="B710" s="15"/>
      <c r="C710" s="15"/>
      <c r="D710" s="15"/>
      <c r="E710" s="15"/>
      <c r="F710" s="15"/>
      <c r="G710" s="15"/>
      <c r="H710" s="15"/>
      <c r="I710" s="15"/>
      <c r="J710" s="15"/>
      <c r="K710" s="15"/>
      <c r="L710" s="15"/>
      <c r="M710" s="15"/>
      <c r="N710" s="15"/>
      <c r="O710" s="15"/>
    </row>
    <row r="711" spans="1:15" ht="19.8" x14ac:dyDescent="0.5">
      <c r="A711" s="58"/>
      <c r="B711" s="15"/>
      <c r="C711" s="15"/>
      <c r="D711" s="15"/>
      <c r="E711" s="15"/>
      <c r="F711" s="15"/>
      <c r="G711" s="15"/>
      <c r="H711" s="15"/>
      <c r="I711" s="15"/>
      <c r="J711" s="15"/>
      <c r="K711" s="15"/>
      <c r="L711" s="15"/>
      <c r="M711" s="15"/>
      <c r="N711" s="15"/>
      <c r="O711" s="15"/>
    </row>
    <row r="712" spans="1:15" ht="19.8" x14ac:dyDescent="0.5">
      <c r="A712" s="58"/>
      <c r="B712" s="15"/>
      <c r="C712" s="15"/>
      <c r="D712" s="15"/>
      <c r="E712" s="15"/>
      <c r="F712" s="15"/>
      <c r="G712" s="15"/>
      <c r="H712" s="15"/>
      <c r="I712" s="15"/>
      <c r="J712" s="15"/>
      <c r="K712" s="15"/>
      <c r="L712" s="15"/>
      <c r="M712" s="15"/>
      <c r="N712" s="15"/>
      <c r="O712" s="15"/>
    </row>
    <row r="713" spans="1:15" ht="19.8" x14ac:dyDescent="0.5">
      <c r="A713" s="58"/>
      <c r="B713" s="15"/>
      <c r="C713" s="15"/>
      <c r="D713" s="15"/>
      <c r="E713" s="15"/>
      <c r="F713" s="15"/>
      <c r="G713" s="15"/>
      <c r="H713" s="15"/>
      <c r="I713" s="15"/>
      <c r="J713" s="15"/>
      <c r="K713" s="15"/>
      <c r="L713" s="15"/>
      <c r="M713" s="15"/>
      <c r="N713" s="15"/>
      <c r="O713" s="15"/>
    </row>
    <row r="714" spans="1:15" ht="19.8" x14ac:dyDescent="0.5">
      <c r="A714" s="58"/>
      <c r="B714" s="15"/>
      <c r="C714" s="15"/>
      <c r="D714" s="15"/>
      <c r="E714" s="15"/>
      <c r="F714" s="15"/>
      <c r="G714" s="15"/>
      <c r="H714" s="15"/>
      <c r="I714" s="15"/>
      <c r="J714" s="15"/>
      <c r="K714" s="15"/>
      <c r="L714" s="15"/>
      <c r="M714" s="15"/>
      <c r="N714" s="15"/>
      <c r="O714" s="15"/>
    </row>
    <row r="715" spans="1:15" ht="19.8" x14ac:dyDescent="0.5">
      <c r="A715" s="58"/>
      <c r="B715" s="15"/>
      <c r="C715" s="15"/>
      <c r="D715" s="15"/>
      <c r="E715" s="15"/>
      <c r="F715" s="15"/>
      <c r="G715" s="15"/>
      <c r="H715" s="15"/>
      <c r="I715" s="15"/>
      <c r="J715" s="15"/>
      <c r="K715" s="15"/>
      <c r="L715" s="15"/>
      <c r="M715" s="15"/>
      <c r="N715" s="15"/>
      <c r="O715" s="15"/>
    </row>
    <row r="716" spans="1:15" ht="19.8" x14ac:dyDescent="0.5">
      <c r="A716" s="58"/>
      <c r="B716" s="15"/>
      <c r="C716" s="15"/>
      <c r="D716" s="15"/>
      <c r="E716" s="15"/>
      <c r="F716" s="15"/>
      <c r="G716" s="15"/>
      <c r="H716" s="15"/>
      <c r="I716" s="15"/>
      <c r="J716" s="15"/>
      <c r="K716" s="15"/>
      <c r="L716" s="15"/>
      <c r="M716" s="15"/>
      <c r="N716" s="15"/>
      <c r="O716" s="15"/>
    </row>
    <row r="717" spans="1:15" ht="19.8" x14ac:dyDescent="0.5">
      <c r="A717" s="58"/>
      <c r="B717" s="15"/>
      <c r="C717" s="15"/>
      <c r="D717" s="15"/>
      <c r="E717" s="15"/>
      <c r="F717" s="15"/>
      <c r="G717" s="15"/>
      <c r="H717" s="15"/>
      <c r="I717" s="15"/>
      <c r="J717" s="15"/>
      <c r="K717" s="15"/>
      <c r="L717" s="15"/>
      <c r="M717" s="15"/>
      <c r="N717" s="15"/>
      <c r="O717" s="15"/>
    </row>
    <row r="718" spans="1:15" ht="19.8" x14ac:dyDescent="0.5">
      <c r="A718" s="58"/>
      <c r="B718" s="15"/>
      <c r="C718" s="15"/>
      <c r="D718" s="15"/>
      <c r="E718" s="15"/>
      <c r="F718" s="15"/>
      <c r="G718" s="15"/>
      <c r="H718" s="15"/>
      <c r="I718" s="15"/>
      <c r="J718" s="15"/>
      <c r="K718" s="15"/>
      <c r="L718" s="15"/>
      <c r="M718" s="15"/>
      <c r="N718" s="15"/>
      <c r="O718" s="15"/>
    </row>
    <row r="719" spans="1:15" ht="19.8" x14ac:dyDescent="0.5">
      <c r="A719" s="58"/>
      <c r="B719" s="15"/>
      <c r="C719" s="15"/>
      <c r="D719" s="15"/>
      <c r="E719" s="15"/>
      <c r="F719" s="15"/>
      <c r="G719" s="15"/>
      <c r="H719" s="15"/>
      <c r="I719" s="15"/>
      <c r="J719" s="15"/>
      <c r="K719" s="15"/>
      <c r="L719" s="15"/>
      <c r="M719" s="15"/>
      <c r="N719" s="15"/>
      <c r="O719" s="15"/>
    </row>
    <row r="720" spans="1:15" ht="19.8" x14ac:dyDescent="0.5">
      <c r="A720" s="58"/>
      <c r="B720" s="15"/>
      <c r="C720" s="15"/>
      <c r="D720" s="15"/>
      <c r="E720" s="15"/>
      <c r="F720" s="15"/>
      <c r="G720" s="15"/>
      <c r="H720" s="15"/>
      <c r="I720" s="15"/>
      <c r="J720" s="15"/>
      <c r="K720" s="15"/>
      <c r="L720" s="15"/>
      <c r="M720" s="15"/>
      <c r="N720" s="15"/>
      <c r="O720" s="15"/>
    </row>
    <row r="721" spans="1:15" ht="19.8" x14ac:dyDescent="0.5">
      <c r="A721" s="58"/>
      <c r="B721" s="15"/>
      <c r="C721" s="15"/>
      <c r="D721" s="15"/>
      <c r="E721" s="15"/>
      <c r="F721" s="15"/>
      <c r="G721" s="15"/>
      <c r="H721" s="15"/>
      <c r="I721" s="15"/>
      <c r="J721" s="15"/>
      <c r="K721" s="15"/>
      <c r="L721" s="15"/>
      <c r="M721" s="15"/>
      <c r="N721" s="15"/>
      <c r="O721" s="15"/>
    </row>
    <row r="722" spans="1:15" ht="19.8" x14ac:dyDescent="0.5">
      <c r="A722" s="58"/>
      <c r="B722" s="15"/>
      <c r="C722" s="15"/>
      <c r="D722" s="15"/>
      <c r="E722" s="15"/>
      <c r="F722" s="15"/>
      <c r="G722" s="15"/>
      <c r="H722" s="15"/>
      <c r="I722" s="15"/>
      <c r="J722" s="15"/>
      <c r="K722" s="15"/>
      <c r="L722" s="15"/>
      <c r="M722" s="15"/>
      <c r="N722" s="15"/>
      <c r="O722" s="15"/>
    </row>
    <row r="723" spans="1:15" ht="19.8" x14ac:dyDescent="0.5">
      <c r="A723" s="58"/>
      <c r="B723" s="15"/>
      <c r="C723" s="15"/>
      <c r="D723" s="15"/>
      <c r="E723" s="15"/>
      <c r="F723" s="15"/>
      <c r="G723" s="15"/>
      <c r="H723" s="15"/>
      <c r="I723" s="15"/>
      <c r="J723" s="15"/>
      <c r="K723" s="15"/>
      <c r="L723" s="15"/>
      <c r="M723" s="15"/>
      <c r="N723" s="15"/>
      <c r="O723" s="15"/>
    </row>
    <row r="724" spans="1:15" ht="19.8" x14ac:dyDescent="0.5">
      <c r="A724" s="58"/>
      <c r="B724" s="15"/>
      <c r="C724" s="15"/>
      <c r="D724" s="15"/>
      <c r="E724" s="15"/>
      <c r="F724" s="15"/>
      <c r="G724" s="15"/>
      <c r="H724" s="15"/>
      <c r="I724" s="15"/>
      <c r="J724" s="15"/>
      <c r="K724" s="15"/>
      <c r="L724" s="15"/>
      <c r="M724" s="15"/>
      <c r="N724" s="15"/>
      <c r="O724" s="15"/>
    </row>
    <row r="725" spans="1:15" ht="19.8" x14ac:dyDescent="0.5">
      <c r="A725" s="58"/>
      <c r="B725" s="15"/>
      <c r="C725" s="15"/>
      <c r="D725" s="15"/>
      <c r="E725" s="15"/>
      <c r="F725" s="15"/>
      <c r="G725" s="15"/>
      <c r="H725" s="15"/>
      <c r="I725" s="15"/>
      <c r="J725" s="15"/>
      <c r="K725" s="15"/>
      <c r="L725" s="15"/>
      <c r="M725" s="15"/>
      <c r="N725" s="15"/>
      <c r="O725" s="15"/>
    </row>
    <row r="726" spans="1:15" ht="19.8" x14ac:dyDescent="0.5">
      <c r="A726" s="58"/>
      <c r="B726" s="15"/>
      <c r="C726" s="15"/>
      <c r="D726" s="15"/>
      <c r="E726" s="15"/>
      <c r="F726" s="15"/>
      <c r="G726" s="15"/>
      <c r="H726" s="15"/>
      <c r="I726" s="15"/>
      <c r="J726" s="15"/>
      <c r="K726" s="15"/>
      <c r="L726" s="15"/>
      <c r="M726" s="15"/>
      <c r="N726" s="15"/>
      <c r="O726" s="15"/>
    </row>
    <row r="727" spans="1:15" ht="19.8" x14ac:dyDescent="0.5">
      <c r="A727" s="58"/>
      <c r="B727" s="15"/>
      <c r="C727" s="15"/>
      <c r="D727" s="15"/>
      <c r="E727" s="15"/>
      <c r="F727" s="15"/>
      <c r="G727" s="15"/>
      <c r="H727" s="15"/>
      <c r="I727" s="15"/>
      <c r="J727" s="15"/>
      <c r="K727" s="15"/>
      <c r="L727" s="15"/>
      <c r="M727" s="15"/>
      <c r="N727" s="15"/>
      <c r="O727" s="15"/>
    </row>
    <row r="728" spans="1:15" ht="19.8" x14ac:dyDescent="0.5">
      <c r="A728" s="58"/>
      <c r="B728" s="15"/>
      <c r="C728" s="15"/>
      <c r="D728" s="15"/>
      <c r="E728" s="15"/>
      <c r="F728" s="15"/>
      <c r="G728" s="15"/>
      <c r="H728" s="15"/>
      <c r="I728" s="15"/>
      <c r="J728" s="15"/>
      <c r="K728" s="15"/>
      <c r="L728" s="15"/>
      <c r="M728" s="15"/>
      <c r="N728" s="15"/>
      <c r="O728" s="15"/>
    </row>
    <row r="729" spans="1:15" ht="19.8" x14ac:dyDescent="0.5">
      <c r="A729" s="58"/>
      <c r="B729" s="15"/>
      <c r="C729" s="15"/>
      <c r="D729" s="15"/>
      <c r="E729" s="15"/>
      <c r="F729" s="15"/>
      <c r="G729" s="15"/>
      <c r="H729" s="15"/>
      <c r="I729" s="15"/>
      <c r="J729" s="15"/>
      <c r="K729" s="15"/>
      <c r="L729" s="15"/>
      <c r="M729" s="15"/>
      <c r="N729" s="15"/>
      <c r="O729" s="15"/>
    </row>
    <row r="730" spans="1:15" ht="19.8" x14ac:dyDescent="0.5">
      <c r="A730" s="58"/>
      <c r="B730" s="15"/>
      <c r="C730" s="15"/>
      <c r="D730" s="15"/>
      <c r="E730" s="15"/>
      <c r="F730" s="15"/>
      <c r="G730" s="15"/>
      <c r="H730" s="15"/>
      <c r="I730" s="15"/>
      <c r="J730" s="15"/>
      <c r="K730" s="15"/>
      <c r="L730" s="15"/>
      <c r="M730" s="15"/>
      <c r="N730" s="15"/>
      <c r="O730" s="15"/>
    </row>
    <row r="731" spans="1:15" ht="19.8" x14ac:dyDescent="0.5">
      <c r="A731" s="58"/>
      <c r="B731" s="15"/>
      <c r="C731" s="15"/>
      <c r="D731" s="15"/>
      <c r="E731" s="15"/>
      <c r="F731" s="15"/>
      <c r="G731" s="15"/>
      <c r="H731" s="15"/>
      <c r="I731" s="15"/>
      <c r="J731" s="15"/>
      <c r="K731" s="15"/>
      <c r="L731" s="15"/>
      <c r="M731" s="15"/>
      <c r="N731" s="15"/>
      <c r="O731" s="15"/>
    </row>
    <row r="732" spans="1:15" ht="19.8" x14ac:dyDescent="0.5">
      <c r="A732" s="58"/>
      <c r="B732" s="15"/>
      <c r="C732" s="15"/>
      <c r="D732" s="15"/>
      <c r="E732" s="15"/>
      <c r="F732" s="15"/>
      <c r="G732" s="15"/>
      <c r="H732" s="15"/>
      <c r="I732" s="15"/>
      <c r="J732" s="15"/>
      <c r="K732" s="15"/>
      <c r="L732" s="15"/>
      <c r="M732" s="15"/>
      <c r="N732" s="15"/>
      <c r="O732" s="15"/>
    </row>
    <row r="733" spans="1:15" ht="19.8" x14ac:dyDescent="0.5">
      <c r="A733" s="58"/>
      <c r="B733" s="15"/>
      <c r="C733" s="15"/>
      <c r="D733" s="15"/>
      <c r="E733" s="15"/>
      <c r="F733" s="15"/>
      <c r="G733" s="15"/>
      <c r="H733" s="15"/>
      <c r="I733" s="15"/>
      <c r="J733" s="15"/>
      <c r="K733" s="15"/>
      <c r="L733" s="15"/>
      <c r="M733" s="15"/>
      <c r="N733" s="15"/>
      <c r="O733" s="15"/>
    </row>
    <row r="734" spans="1:15" ht="19.8" x14ac:dyDescent="0.5">
      <c r="A734" s="58"/>
      <c r="B734" s="15"/>
      <c r="C734" s="15"/>
      <c r="D734" s="15"/>
      <c r="E734" s="15"/>
      <c r="F734" s="15"/>
      <c r="G734" s="15"/>
      <c r="H734" s="15"/>
      <c r="I734" s="15"/>
      <c r="J734" s="15"/>
      <c r="K734" s="15"/>
      <c r="L734" s="15"/>
      <c r="M734" s="15"/>
      <c r="N734" s="15"/>
      <c r="O734" s="15"/>
    </row>
    <row r="735" spans="1:15" ht="19.8" x14ac:dyDescent="0.5">
      <c r="A735" s="58"/>
      <c r="B735" s="15"/>
      <c r="C735" s="15"/>
      <c r="D735" s="15"/>
      <c r="E735" s="15"/>
      <c r="F735" s="15"/>
      <c r="G735" s="15"/>
      <c r="H735" s="15"/>
      <c r="I735" s="15"/>
      <c r="J735" s="15"/>
      <c r="K735" s="15"/>
      <c r="L735" s="15"/>
      <c r="M735" s="15"/>
      <c r="N735" s="15"/>
      <c r="O735" s="15"/>
    </row>
    <row r="736" spans="1:15" ht="19.8" x14ac:dyDescent="0.5">
      <c r="A736" s="58"/>
      <c r="B736" s="15"/>
      <c r="C736" s="15"/>
      <c r="D736" s="15"/>
      <c r="E736" s="15"/>
      <c r="F736" s="15"/>
      <c r="G736" s="15"/>
      <c r="H736" s="15"/>
      <c r="I736" s="15"/>
      <c r="J736" s="15"/>
      <c r="K736" s="15"/>
      <c r="L736" s="15"/>
      <c r="M736" s="15"/>
      <c r="N736" s="15"/>
      <c r="O736" s="15"/>
    </row>
    <row r="737" spans="1:15" ht="19.8" x14ac:dyDescent="0.5">
      <c r="A737" s="58"/>
      <c r="B737" s="15"/>
      <c r="C737" s="15"/>
      <c r="D737" s="15"/>
      <c r="E737" s="15"/>
      <c r="F737" s="15"/>
      <c r="G737" s="15"/>
      <c r="H737" s="15"/>
      <c r="I737" s="15"/>
      <c r="J737" s="15"/>
      <c r="K737" s="15"/>
      <c r="L737" s="15"/>
      <c r="M737" s="15"/>
      <c r="N737" s="15"/>
      <c r="O737" s="15"/>
    </row>
    <row r="738" spans="1:15" ht="19.8" x14ac:dyDescent="0.5">
      <c r="A738" s="58"/>
      <c r="B738" s="15"/>
      <c r="C738" s="15"/>
      <c r="D738" s="15"/>
      <c r="E738" s="15"/>
      <c r="F738" s="15"/>
      <c r="G738" s="15"/>
      <c r="H738" s="15"/>
      <c r="I738" s="15"/>
      <c r="J738" s="15"/>
      <c r="K738" s="15"/>
      <c r="L738" s="15"/>
      <c r="M738" s="15"/>
      <c r="N738" s="15"/>
      <c r="O738" s="15"/>
    </row>
    <row r="739" spans="1:15" ht="19.8" x14ac:dyDescent="0.5">
      <c r="A739" s="58"/>
      <c r="B739" s="15"/>
      <c r="C739" s="15"/>
      <c r="D739" s="15"/>
      <c r="E739" s="15"/>
      <c r="F739" s="15"/>
      <c r="G739" s="15"/>
      <c r="H739" s="15"/>
      <c r="I739" s="15"/>
      <c r="J739" s="15"/>
      <c r="K739" s="15"/>
      <c r="L739" s="15"/>
      <c r="M739" s="15"/>
      <c r="N739" s="15"/>
      <c r="O739" s="15"/>
    </row>
    <row r="740" spans="1:15" ht="19.8" x14ac:dyDescent="0.5">
      <c r="A740" s="58"/>
      <c r="B740" s="15"/>
      <c r="C740" s="15"/>
      <c r="D740" s="15"/>
      <c r="E740" s="15"/>
      <c r="F740" s="15"/>
      <c r="G740" s="15"/>
      <c r="H740" s="15"/>
      <c r="I740" s="15"/>
      <c r="J740" s="15"/>
      <c r="K740" s="15"/>
      <c r="L740" s="15"/>
      <c r="M740" s="15"/>
      <c r="N740" s="15"/>
      <c r="O740" s="15"/>
    </row>
    <row r="741" spans="1:15" ht="19.8" x14ac:dyDescent="0.5">
      <c r="A741" s="58"/>
      <c r="B741" s="15"/>
      <c r="C741" s="15"/>
      <c r="D741" s="15"/>
      <c r="E741" s="15"/>
      <c r="F741" s="15"/>
      <c r="G741" s="15"/>
      <c r="H741" s="15"/>
      <c r="I741" s="15"/>
      <c r="J741" s="15"/>
      <c r="K741" s="15"/>
      <c r="L741" s="15"/>
      <c r="M741" s="15"/>
      <c r="N741" s="15"/>
      <c r="O741" s="15"/>
    </row>
    <row r="742" spans="1:15" ht="19.8" x14ac:dyDescent="0.5">
      <c r="A742" s="58"/>
      <c r="B742" s="15"/>
      <c r="C742" s="15"/>
      <c r="D742" s="15"/>
      <c r="E742" s="15"/>
      <c r="F742" s="15"/>
      <c r="G742" s="15"/>
      <c r="H742" s="15"/>
      <c r="I742" s="15"/>
      <c r="J742" s="15"/>
      <c r="K742" s="15"/>
      <c r="L742" s="15"/>
      <c r="M742" s="15"/>
      <c r="N742" s="15"/>
      <c r="O742" s="15"/>
    </row>
    <row r="743" spans="1:15" ht="19.8" x14ac:dyDescent="0.5">
      <c r="A743" s="58"/>
      <c r="B743" s="15"/>
      <c r="C743" s="15"/>
      <c r="D743" s="15"/>
      <c r="E743" s="15"/>
      <c r="F743" s="15"/>
      <c r="G743" s="15"/>
      <c r="H743" s="15"/>
      <c r="I743" s="15"/>
      <c r="J743" s="15"/>
      <c r="K743" s="15"/>
      <c r="L743" s="15"/>
      <c r="M743" s="15"/>
      <c r="N743" s="15"/>
      <c r="O743" s="15"/>
    </row>
    <row r="744" spans="1:15" ht="19.8" x14ac:dyDescent="0.5">
      <c r="A744" s="58"/>
      <c r="B744" s="15"/>
      <c r="C744" s="15"/>
      <c r="D744" s="15"/>
      <c r="E744" s="15"/>
      <c r="F744" s="15"/>
      <c r="G744" s="15"/>
      <c r="H744" s="15"/>
      <c r="I744" s="15"/>
      <c r="J744" s="15"/>
      <c r="K744" s="15"/>
      <c r="L744" s="15"/>
      <c r="M744" s="15"/>
      <c r="N744" s="15"/>
      <c r="O744" s="15"/>
    </row>
    <row r="745" spans="1:15" ht="19.8" x14ac:dyDescent="0.5">
      <c r="A745" s="58"/>
      <c r="B745" s="15"/>
      <c r="C745" s="15"/>
      <c r="D745" s="15"/>
      <c r="E745" s="15"/>
      <c r="F745" s="15"/>
      <c r="G745" s="15"/>
      <c r="H745" s="15"/>
      <c r="I745" s="15"/>
      <c r="J745" s="15"/>
      <c r="K745" s="15"/>
      <c r="L745" s="15"/>
      <c r="M745" s="15"/>
      <c r="N745" s="15"/>
      <c r="O745" s="15"/>
    </row>
    <row r="746" spans="1:15" ht="19.8" x14ac:dyDescent="0.5">
      <c r="A746" s="58"/>
      <c r="B746" s="15"/>
      <c r="C746" s="15"/>
      <c r="D746" s="15"/>
      <c r="E746" s="15"/>
      <c r="F746" s="15"/>
      <c r="G746" s="15"/>
      <c r="H746" s="15"/>
      <c r="I746" s="15"/>
      <c r="J746" s="15"/>
      <c r="K746" s="15"/>
      <c r="L746" s="15"/>
      <c r="M746" s="15"/>
      <c r="N746" s="15"/>
      <c r="O746" s="15"/>
    </row>
    <row r="747" spans="1:15" ht="19.8" x14ac:dyDescent="0.5">
      <c r="A747" s="58"/>
      <c r="B747" s="15"/>
      <c r="C747" s="15"/>
      <c r="D747" s="15"/>
      <c r="E747" s="15"/>
      <c r="F747" s="15"/>
      <c r="G747" s="15"/>
      <c r="H747" s="15"/>
      <c r="I747" s="15"/>
      <c r="J747" s="15"/>
      <c r="K747" s="15"/>
      <c r="L747" s="15"/>
      <c r="M747" s="15"/>
      <c r="N747" s="15"/>
      <c r="O747" s="15"/>
    </row>
    <row r="748" spans="1:15" ht="19.8" x14ac:dyDescent="0.5">
      <c r="A748" s="58"/>
      <c r="B748" s="15"/>
      <c r="C748" s="15"/>
      <c r="D748" s="15"/>
      <c r="E748" s="15"/>
      <c r="F748" s="15"/>
      <c r="G748" s="15"/>
      <c r="H748" s="15"/>
      <c r="I748" s="15"/>
      <c r="J748" s="15"/>
      <c r="K748" s="15"/>
      <c r="L748" s="15"/>
      <c r="M748" s="15"/>
      <c r="N748" s="15"/>
      <c r="O748" s="15"/>
    </row>
    <row r="749" spans="1:15" ht="19.8" x14ac:dyDescent="0.5">
      <c r="A749" s="58"/>
      <c r="B749" s="15"/>
      <c r="C749" s="15"/>
      <c r="D749" s="15"/>
      <c r="E749" s="15"/>
      <c r="F749" s="15"/>
      <c r="G749" s="15"/>
      <c r="H749" s="15"/>
      <c r="I749" s="15"/>
      <c r="J749" s="15"/>
      <c r="K749" s="15"/>
      <c r="L749" s="15"/>
      <c r="M749" s="15"/>
      <c r="N749" s="15"/>
      <c r="O749" s="15"/>
    </row>
    <row r="750" spans="1:15" ht="19.8" x14ac:dyDescent="0.5">
      <c r="A750" s="58"/>
      <c r="B750" s="15"/>
      <c r="C750" s="15"/>
      <c r="D750" s="15"/>
      <c r="E750" s="15"/>
      <c r="F750" s="15"/>
      <c r="G750" s="15"/>
      <c r="H750" s="15"/>
      <c r="I750" s="15"/>
      <c r="J750" s="15"/>
      <c r="K750" s="15"/>
      <c r="L750" s="15"/>
      <c r="M750" s="15"/>
      <c r="N750" s="15"/>
      <c r="O750" s="15"/>
    </row>
    <row r="751" spans="1:15" ht="19.8" x14ac:dyDescent="0.5">
      <c r="A751" s="58"/>
      <c r="B751" s="15"/>
      <c r="C751" s="15"/>
      <c r="D751" s="15"/>
      <c r="E751" s="15"/>
      <c r="F751" s="15"/>
      <c r="G751" s="15"/>
      <c r="H751" s="15"/>
      <c r="I751" s="15"/>
      <c r="J751" s="15"/>
      <c r="K751" s="15"/>
      <c r="L751" s="15"/>
      <c r="M751" s="15"/>
      <c r="N751" s="15"/>
      <c r="O751" s="15"/>
    </row>
    <row r="752" spans="1:15" ht="19.8" x14ac:dyDescent="0.5">
      <c r="A752" s="58"/>
      <c r="B752" s="15"/>
      <c r="C752" s="15"/>
      <c r="D752" s="15"/>
      <c r="E752" s="15"/>
      <c r="F752" s="15"/>
      <c r="G752" s="15"/>
      <c r="H752" s="15"/>
      <c r="I752" s="15"/>
      <c r="J752" s="15"/>
      <c r="K752" s="15"/>
      <c r="L752" s="15"/>
      <c r="M752" s="15"/>
      <c r="N752" s="15"/>
      <c r="O752" s="15"/>
    </row>
    <row r="753" spans="1:15" ht="19.8" x14ac:dyDescent="0.5">
      <c r="A753" s="58"/>
      <c r="B753" s="15"/>
      <c r="C753" s="15"/>
      <c r="D753" s="15"/>
      <c r="E753" s="15"/>
      <c r="F753" s="15"/>
      <c r="G753" s="15"/>
      <c r="H753" s="15"/>
      <c r="I753" s="15"/>
      <c r="J753" s="15"/>
      <c r="K753" s="15"/>
      <c r="L753" s="15"/>
      <c r="M753" s="15"/>
      <c r="N753" s="15"/>
      <c r="O753" s="15"/>
    </row>
    <row r="754" spans="1:15" ht="19.8" x14ac:dyDescent="0.5">
      <c r="A754" s="58"/>
      <c r="B754" s="15"/>
      <c r="C754" s="15"/>
      <c r="D754" s="15"/>
      <c r="E754" s="15"/>
      <c r="F754" s="15"/>
      <c r="G754" s="15"/>
      <c r="H754" s="15"/>
      <c r="I754" s="15"/>
      <c r="J754" s="15"/>
      <c r="K754" s="15"/>
      <c r="L754" s="15"/>
      <c r="M754" s="15"/>
      <c r="N754" s="15"/>
      <c r="O754" s="15"/>
    </row>
    <row r="755" spans="1:15" ht="19.8" x14ac:dyDescent="0.5">
      <c r="A755" s="58"/>
      <c r="B755" s="15"/>
      <c r="C755" s="15"/>
      <c r="D755" s="15"/>
      <c r="E755" s="15"/>
      <c r="F755" s="15"/>
      <c r="G755" s="15"/>
      <c r="H755" s="15"/>
      <c r="I755" s="15"/>
      <c r="J755" s="15"/>
      <c r="K755" s="15"/>
      <c r="L755" s="15"/>
      <c r="M755" s="15"/>
      <c r="N755" s="15"/>
      <c r="O755" s="15"/>
    </row>
    <row r="756" spans="1:15" ht="19.8" x14ac:dyDescent="0.5">
      <c r="A756" s="58"/>
      <c r="B756" s="15"/>
      <c r="C756" s="15"/>
      <c r="D756" s="15"/>
      <c r="E756" s="15"/>
      <c r="F756" s="15"/>
      <c r="G756" s="15"/>
      <c r="H756" s="15"/>
      <c r="I756" s="15"/>
      <c r="J756" s="15"/>
      <c r="K756" s="15"/>
      <c r="L756" s="15"/>
      <c r="M756" s="15"/>
      <c r="N756" s="15"/>
      <c r="O756" s="15"/>
    </row>
    <row r="757" spans="1:15" ht="19.8" x14ac:dyDescent="0.5">
      <c r="A757" s="58"/>
      <c r="B757" s="15"/>
      <c r="C757" s="15"/>
      <c r="D757" s="15"/>
      <c r="E757" s="15"/>
      <c r="F757" s="15"/>
      <c r="G757" s="15"/>
      <c r="H757" s="15"/>
      <c r="I757" s="15"/>
      <c r="J757" s="15"/>
      <c r="K757" s="15"/>
      <c r="L757" s="15"/>
      <c r="M757" s="15"/>
      <c r="N757" s="15"/>
      <c r="O757" s="15"/>
    </row>
    <row r="758" spans="1:15" ht="19.8" x14ac:dyDescent="0.5">
      <c r="A758" s="58"/>
      <c r="B758" s="15"/>
      <c r="C758" s="15"/>
      <c r="D758" s="15"/>
      <c r="E758" s="15"/>
      <c r="F758" s="15"/>
      <c r="G758" s="15"/>
      <c r="H758" s="15"/>
      <c r="I758" s="15"/>
      <c r="J758" s="15"/>
      <c r="K758" s="15"/>
      <c r="L758" s="15"/>
      <c r="M758" s="15"/>
      <c r="N758" s="15"/>
      <c r="O758" s="15"/>
    </row>
    <row r="759" spans="1:15" ht="19.8" x14ac:dyDescent="0.5">
      <c r="A759" s="58"/>
      <c r="B759" s="15"/>
      <c r="C759" s="15"/>
      <c r="D759" s="15"/>
      <c r="E759" s="15"/>
      <c r="F759" s="15"/>
      <c r="G759" s="15"/>
      <c r="H759" s="15"/>
      <c r="I759" s="15"/>
      <c r="J759" s="15"/>
      <c r="K759" s="15"/>
      <c r="L759" s="15"/>
      <c r="M759" s="15"/>
      <c r="N759" s="15"/>
      <c r="O759" s="15"/>
    </row>
    <row r="760" spans="1:15" ht="19.8" x14ac:dyDescent="0.5">
      <c r="A760" s="58"/>
      <c r="B760" s="15"/>
      <c r="C760" s="15"/>
      <c r="D760" s="15"/>
      <c r="E760" s="15"/>
      <c r="F760" s="15"/>
      <c r="G760" s="15"/>
      <c r="H760" s="15"/>
      <c r="I760" s="15"/>
      <c r="J760" s="15"/>
      <c r="K760" s="15"/>
      <c r="L760" s="15"/>
      <c r="M760" s="15"/>
      <c r="N760" s="15"/>
      <c r="O760" s="15"/>
    </row>
    <row r="761" spans="1:15" ht="19.8" x14ac:dyDescent="0.5">
      <c r="A761" s="58"/>
      <c r="B761" s="15"/>
      <c r="C761" s="15"/>
      <c r="D761" s="15"/>
      <c r="E761" s="15"/>
      <c r="F761" s="15"/>
      <c r="G761" s="15"/>
      <c r="H761" s="15"/>
      <c r="I761" s="15"/>
      <c r="J761" s="15"/>
      <c r="K761" s="15"/>
      <c r="L761" s="15"/>
      <c r="M761" s="15"/>
      <c r="N761" s="15"/>
      <c r="O761" s="15"/>
    </row>
    <row r="762" spans="1:15" ht="19.8" x14ac:dyDescent="0.5">
      <c r="A762" s="58"/>
      <c r="B762" s="15"/>
      <c r="C762" s="15"/>
      <c r="D762" s="15"/>
      <c r="E762" s="15"/>
      <c r="F762" s="15"/>
      <c r="G762" s="15"/>
      <c r="H762" s="15"/>
      <c r="I762" s="15"/>
      <c r="J762" s="15"/>
      <c r="K762" s="15"/>
      <c r="L762" s="15"/>
      <c r="M762" s="15"/>
      <c r="N762" s="15"/>
      <c r="O762" s="15"/>
    </row>
    <row r="763" spans="1:15" ht="19.8" x14ac:dyDescent="0.5">
      <c r="A763" s="58"/>
      <c r="B763" s="15"/>
      <c r="C763" s="15"/>
      <c r="D763" s="15"/>
      <c r="E763" s="15"/>
      <c r="F763" s="15"/>
      <c r="G763" s="15"/>
      <c r="H763" s="15"/>
      <c r="I763" s="15"/>
      <c r="J763" s="15"/>
      <c r="K763" s="15"/>
      <c r="L763" s="15"/>
      <c r="M763" s="15"/>
      <c r="N763" s="15"/>
      <c r="O763" s="15"/>
    </row>
    <row r="764" spans="1:15" ht="19.8" x14ac:dyDescent="0.5">
      <c r="A764" s="58"/>
      <c r="B764" s="15"/>
      <c r="C764" s="15"/>
      <c r="D764" s="15"/>
      <c r="E764" s="15"/>
      <c r="F764" s="15"/>
      <c r="G764" s="15"/>
      <c r="H764" s="15"/>
      <c r="I764" s="15"/>
      <c r="J764" s="15"/>
      <c r="K764" s="15"/>
      <c r="L764" s="15"/>
      <c r="M764" s="15"/>
      <c r="N764" s="15"/>
      <c r="O764" s="15"/>
    </row>
    <row r="765" spans="1:15" ht="19.8" x14ac:dyDescent="0.5">
      <c r="A765" s="58"/>
      <c r="B765" s="15"/>
      <c r="C765" s="15"/>
      <c r="D765" s="15"/>
      <c r="E765" s="15"/>
      <c r="F765" s="15"/>
      <c r="G765" s="15"/>
      <c r="H765" s="15"/>
      <c r="I765" s="15"/>
      <c r="J765" s="15"/>
      <c r="K765" s="15"/>
      <c r="L765" s="15"/>
      <c r="M765" s="15"/>
      <c r="N765" s="15"/>
      <c r="O765" s="15"/>
    </row>
    <row r="766" spans="1:15" ht="19.8" x14ac:dyDescent="0.5">
      <c r="A766" s="58"/>
      <c r="B766" s="15"/>
      <c r="C766" s="15"/>
      <c r="D766" s="15"/>
      <c r="E766" s="15"/>
      <c r="F766" s="15"/>
      <c r="G766" s="15"/>
      <c r="H766" s="15"/>
      <c r="I766" s="15"/>
      <c r="J766" s="15"/>
      <c r="K766" s="15"/>
      <c r="L766" s="15"/>
      <c r="M766" s="15"/>
      <c r="N766" s="15"/>
      <c r="O766" s="15"/>
    </row>
    <row r="767" spans="1:15" ht="19.8" x14ac:dyDescent="0.5">
      <c r="A767" s="58"/>
      <c r="B767" s="15"/>
      <c r="C767" s="15"/>
      <c r="D767" s="15"/>
      <c r="E767" s="15"/>
      <c r="F767" s="15"/>
      <c r="G767" s="15"/>
      <c r="H767" s="15"/>
      <c r="I767" s="15"/>
      <c r="J767" s="15"/>
      <c r="K767" s="15"/>
      <c r="L767" s="15"/>
      <c r="M767" s="15"/>
      <c r="N767" s="15"/>
      <c r="O767" s="15"/>
    </row>
    <row r="768" spans="1:15" ht="19.8" x14ac:dyDescent="0.5">
      <c r="A768" s="58"/>
      <c r="B768" s="15"/>
      <c r="C768" s="15"/>
      <c r="D768" s="15"/>
      <c r="E768" s="15"/>
      <c r="F768" s="15"/>
      <c r="G768" s="15"/>
      <c r="H768" s="15"/>
      <c r="I768" s="15"/>
      <c r="J768" s="15"/>
      <c r="K768" s="15"/>
      <c r="L768" s="15"/>
      <c r="M768" s="15"/>
      <c r="N768" s="15"/>
      <c r="O768" s="15"/>
    </row>
    <row r="769" spans="1:15" ht="19.8" x14ac:dyDescent="0.5">
      <c r="A769" s="58"/>
      <c r="B769" s="15"/>
      <c r="C769" s="15"/>
      <c r="D769" s="15"/>
      <c r="E769" s="15"/>
      <c r="F769" s="15"/>
      <c r="G769" s="15"/>
      <c r="H769" s="15"/>
      <c r="I769" s="15"/>
      <c r="J769" s="15"/>
      <c r="K769" s="15"/>
      <c r="L769" s="15"/>
      <c r="M769" s="15"/>
      <c r="N769" s="15"/>
      <c r="O769" s="15"/>
    </row>
    <row r="770" spans="1:15" ht="19.8" x14ac:dyDescent="0.5">
      <c r="A770" s="58"/>
      <c r="B770" s="15"/>
      <c r="C770" s="15"/>
      <c r="D770" s="15"/>
      <c r="E770" s="15"/>
      <c r="F770" s="15"/>
      <c r="G770" s="15"/>
      <c r="H770" s="15"/>
      <c r="I770" s="15"/>
      <c r="J770" s="15"/>
      <c r="K770" s="15"/>
      <c r="L770" s="15"/>
      <c r="M770" s="15"/>
      <c r="N770" s="15"/>
      <c r="O770" s="15"/>
    </row>
    <row r="771" spans="1:15" ht="19.8" x14ac:dyDescent="0.5">
      <c r="A771" s="58"/>
      <c r="B771" s="15"/>
      <c r="C771" s="15"/>
      <c r="D771" s="15"/>
      <c r="E771" s="15"/>
      <c r="F771" s="15"/>
      <c r="G771" s="15"/>
      <c r="H771" s="15"/>
      <c r="I771" s="15"/>
      <c r="J771" s="15"/>
      <c r="K771" s="15"/>
      <c r="L771" s="15"/>
      <c r="M771" s="15"/>
      <c r="N771" s="15"/>
      <c r="O771" s="15"/>
    </row>
    <row r="772" spans="1:15" ht="19.8" x14ac:dyDescent="0.5">
      <c r="A772" s="58"/>
      <c r="B772" s="15"/>
      <c r="C772" s="15"/>
      <c r="D772" s="15"/>
      <c r="E772" s="15"/>
      <c r="F772" s="15"/>
      <c r="G772" s="15"/>
      <c r="H772" s="15"/>
      <c r="I772" s="15"/>
      <c r="J772" s="15"/>
      <c r="K772" s="15"/>
      <c r="L772" s="15"/>
      <c r="M772" s="15"/>
      <c r="N772" s="15"/>
      <c r="O772" s="15"/>
    </row>
    <row r="773" spans="1:15" ht="19.8" x14ac:dyDescent="0.5">
      <c r="A773" s="58"/>
      <c r="B773" s="15"/>
      <c r="C773" s="15"/>
      <c r="D773" s="15"/>
      <c r="E773" s="15"/>
      <c r="F773" s="15"/>
      <c r="G773" s="15"/>
      <c r="H773" s="15"/>
      <c r="I773" s="15"/>
      <c r="J773" s="15"/>
      <c r="K773" s="15"/>
      <c r="L773" s="15"/>
      <c r="M773" s="15"/>
      <c r="N773" s="15"/>
      <c r="O773" s="15"/>
    </row>
    <row r="774" spans="1:15" ht="19.8" x14ac:dyDescent="0.5">
      <c r="A774" s="58"/>
      <c r="B774" s="15"/>
      <c r="C774" s="15"/>
      <c r="D774" s="15"/>
      <c r="E774" s="15"/>
      <c r="F774" s="15"/>
      <c r="G774" s="15"/>
      <c r="H774" s="15"/>
      <c r="I774" s="15"/>
      <c r="J774" s="15"/>
      <c r="K774" s="15"/>
      <c r="L774" s="15"/>
      <c r="M774" s="15"/>
      <c r="N774" s="15"/>
      <c r="O774" s="15"/>
    </row>
    <row r="775" spans="1:15" ht="19.8" x14ac:dyDescent="0.5">
      <c r="A775" s="58"/>
      <c r="B775" s="15"/>
      <c r="C775" s="15"/>
      <c r="D775" s="15"/>
      <c r="E775" s="15"/>
      <c r="F775" s="15"/>
      <c r="G775" s="15"/>
      <c r="H775" s="15"/>
      <c r="I775" s="15"/>
      <c r="J775" s="15"/>
      <c r="K775" s="15"/>
      <c r="L775" s="15"/>
      <c r="M775" s="15"/>
      <c r="N775" s="15"/>
      <c r="O775" s="15"/>
    </row>
    <row r="776" spans="1:15" ht="19.8" x14ac:dyDescent="0.5">
      <c r="A776" s="58"/>
      <c r="B776" s="15"/>
      <c r="C776" s="15"/>
      <c r="D776" s="15"/>
      <c r="E776" s="15"/>
      <c r="F776" s="15"/>
      <c r="G776" s="15"/>
      <c r="H776" s="15"/>
      <c r="I776" s="15"/>
      <c r="J776" s="15"/>
      <c r="K776" s="15"/>
      <c r="L776" s="15"/>
      <c r="M776" s="15"/>
      <c r="N776" s="15"/>
      <c r="O776" s="15"/>
    </row>
    <row r="777" spans="1:15" ht="19.8" x14ac:dyDescent="0.5">
      <c r="A777" s="58"/>
      <c r="B777" s="15"/>
      <c r="C777" s="15"/>
      <c r="D777" s="15"/>
      <c r="E777" s="15"/>
      <c r="F777" s="15"/>
      <c r="G777" s="15"/>
      <c r="H777" s="15"/>
      <c r="I777" s="15"/>
      <c r="J777" s="15"/>
      <c r="K777" s="15"/>
      <c r="L777" s="15"/>
      <c r="M777" s="15"/>
      <c r="N777" s="15"/>
      <c r="O777" s="15"/>
    </row>
    <row r="778" spans="1:15" ht="19.8" x14ac:dyDescent="0.5">
      <c r="A778" s="58"/>
      <c r="B778" s="15"/>
      <c r="C778" s="15"/>
      <c r="D778" s="15"/>
      <c r="E778" s="15"/>
      <c r="F778" s="15"/>
      <c r="G778" s="15"/>
      <c r="H778" s="15"/>
      <c r="I778" s="15"/>
      <c r="J778" s="15"/>
      <c r="K778" s="15"/>
      <c r="L778" s="15"/>
      <c r="M778" s="15"/>
      <c r="N778" s="15"/>
      <c r="O778" s="15"/>
    </row>
    <row r="779" spans="1:15" ht="19.8" x14ac:dyDescent="0.5">
      <c r="A779" s="58"/>
      <c r="B779" s="15"/>
      <c r="C779" s="15"/>
      <c r="D779" s="15"/>
      <c r="E779" s="15"/>
      <c r="F779" s="15"/>
      <c r="G779" s="15"/>
      <c r="H779" s="15"/>
      <c r="I779" s="15"/>
      <c r="J779" s="15"/>
      <c r="K779" s="15"/>
      <c r="L779" s="15"/>
      <c r="M779" s="15"/>
      <c r="N779" s="15"/>
      <c r="O779" s="15"/>
    </row>
    <row r="780" spans="1:15" ht="19.8" x14ac:dyDescent="0.5">
      <c r="A780" s="58"/>
      <c r="B780" s="15"/>
      <c r="C780" s="15"/>
      <c r="D780" s="15"/>
      <c r="E780" s="15"/>
      <c r="F780" s="15"/>
      <c r="G780" s="15"/>
      <c r="H780" s="15"/>
      <c r="I780" s="15"/>
      <c r="J780" s="15"/>
      <c r="K780" s="15"/>
      <c r="L780" s="15"/>
      <c r="M780" s="15"/>
      <c r="N780" s="15"/>
      <c r="O780" s="15"/>
    </row>
    <row r="781" spans="1:15" ht="19.8" x14ac:dyDescent="0.5">
      <c r="A781" s="58"/>
      <c r="B781" s="15"/>
      <c r="C781" s="15"/>
      <c r="D781" s="15"/>
      <c r="E781" s="15"/>
      <c r="F781" s="15"/>
      <c r="G781" s="15"/>
      <c r="H781" s="15"/>
      <c r="I781" s="15"/>
      <c r="J781" s="15"/>
      <c r="K781" s="15"/>
      <c r="L781" s="15"/>
      <c r="M781" s="15"/>
      <c r="N781" s="15"/>
      <c r="O781" s="15"/>
    </row>
    <row r="782" spans="1:15" ht="19.8" x14ac:dyDescent="0.5">
      <c r="A782" s="58"/>
      <c r="B782" s="15"/>
      <c r="C782" s="15"/>
      <c r="D782" s="15"/>
      <c r="E782" s="15"/>
      <c r="F782" s="15"/>
      <c r="G782" s="15"/>
      <c r="H782" s="15"/>
      <c r="I782" s="15"/>
      <c r="J782" s="15"/>
      <c r="K782" s="15"/>
      <c r="L782" s="15"/>
      <c r="M782" s="15"/>
      <c r="N782" s="15"/>
      <c r="O782" s="15"/>
    </row>
    <row r="783" spans="1:15" ht="19.8" x14ac:dyDescent="0.5">
      <c r="A783" s="58"/>
      <c r="B783" s="15"/>
      <c r="C783" s="15"/>
      <c r="D783" s="15"/>
      <c r="E783" s="15"/>
      <c r="F783" s="15"/>
      <c r="G783" s="15"/>
      <c r="H783" s="15"/>
      <c r="I783" s="15"/>
      <c r="J783" s="15"/>
      <c r="K783" s="15"/>
      <c r="L783" s="15"/>
      <c r="M783" s="15"/>
      <c r="N783" s="15"/>
      <c r="O783" s="15"/>
    </row>
    <row r="784" spans="1:15" ht="19.8" x14ac:dyDescent="0.5">
      <c r="A784" s="58"/>
      <c r="B784" s="15"/>
      <c r="C784" s="15"/>
      <c r="D784" s="15"/>
      <c r="E784" s="15"/>
      <c r="F784" s="15"/>
      <c r="G784" s="15"/>
      <c r="H784" s="15"/>
      <c r="I784" s="15"/>
      <c r="J784" s="15"/>
      <c r="K784" s="15"/>
      <c r="L784" s="15"/>
      <c r="M784" s="15"/>
      <c r="N784" s="15"/>
      <c r="O784" s="15"/>
    </row>
    <row r="785" spans="1:15" ht="19.8" x14ac:dyDescent="0.5">
      <c r="A785" s="58"/>
      <c r="B785" s="15"/>
      <c r="C785" s="15"/>
      <c r="D785" s="15"/>
      <c r="E785" s="15"/>
      <c r="F785" s="15"/>
      <c r="G785" s="15"/>
      <c r="H785" s="15"/>
      <c r="I785" s="15"/>
      <c r="J785" s="15"/>
      <c r="K785" s="15"/>
      <c r="L785" s="15"/>
      <c r="M785" s="15"/>
      <c r="N785" s="15"/>
      <c r="O785" s="15"/>
    </row>
    <row r="786" spans="1:15" ht="19.8" x14ac:dyDescent="0.5">
      <c r="A786" s="58"/>
      <c r="B786" s="15"/>
      <c r="C786" s="15"/>
      <c r="D786" s="15"/>
      <c r="E786" s="15"/>
      <c r="F786" s="15"/>
      <c r="G786" s="15"/>
      <c r="H786" s="15"/>
      <c r="I786" s="15"/>
      <c r="J786" s="15"/>
      <c r="K786" s="15"/>
      <c r="L786" s="15"/>
      <c r="M786" s="15"/>
      <c r="N786" s="15"/>
      <c r="O786" s="15"/>
    </row>
    <row r="787" spans="1:15" ht="19.8" x14ac:dyDescent="0.5">
      <c r="A787" s="58"/>
      <c r="B787" s="15"/>
      <c r="C787" s="15"/>
      <c r="D787" s="15"/>
      <c r="E787" s="15"/>
      <c r="F787" s="15"/>
      <c r="G787" s="15"/>
      <c r="H787" s="15"/>
      <c r="I787" s="15"/>
      <c r="J787" s="15"/>
      <c r="K787" s="15"/>
      <c r="L787" s="15"/>
      <c r="M787" s="15"/>
      <c r="N787" s="15"/>
      <c r="O787" s="15"/>
    </row>
    <row r="788" spans="1:15" ht="19.8" x14ac:dyDescent="0.5">
      <c r="A788" s="58"/>
      <c r="B788" s="15"/>
      <c r="C788" s="15"/>
      <c r="D788" s="15"/>
      <c r="E788" s="15"/>
      <c r="F788" s="15"/>
      <c r="G788" s="15"/>
      <c r="H788" s="15"/>
      <c r="I788" s="15"/>
      <c r="J788" s="15"/>
      <c r="K788" s="15"/>
      <c r="L788" s="15"/>
      <c r="M788" s="15"/>
      <c r="N788" s="15"/>
      <c r="O788" s="15"/>
    </row>
    <row r="789" spans="1:15" ht="19.8" x14ac:dyDescent="0.5">
      <c r="A789" s="58"/>
      <c r="B789" s="15"/>
      <c r="C789" s="15"/>
      <c r="D789" s="15"/>
      <c r="E789" s="15"/>
      <c r="F789" s="15"/>
      <c r="G789" s="15"/>
      <c r="H789" s="15"/>
      <c r="I789" s="15"/>
      <c r="J789" s="15"/>
      <c r="K789" s="15"/>
      <c r="L789" s="15"/>
      <c r="M789" s="15"/>
      <c r="N789" s="15"/>
      <c r="O789" s="15"/>
    </row>
    <row r="790" spans="1:15" ht="19.8" x14ac:dyDescent="0.5">
      <c r="A790" s="58"/>
      <c r="B790" s="15"/>
      <c r="C790" s="15"/>
      <c r="D790" s="15"/>
      <c r="E790" s="15"/>
      <c r="F790" s="15"/>
      <c r="G790" s="15"/>
      <c r="H790" s="15"/>
      <c r="I790" s="15"/>
      <c r="J790" s="15"/>
      <c r="K790" s="15"/>
      <c r="L790" s="15"/>
      <c r="M790" s="15"/>
      <c r="N790" s="15"/>
      <c r="O790" s="15"/>
    </row>
    <row r="791" spans="1:15" ht="19.8" x14ac:dyDescent="0.5">
      <c r="A791" s="58"/>
      <c r="B791" s="15"/>
      <c r="C791" s="15"/>
      <c r="D791" s="15"/>
      <c r="E791" s="15"/>
      <c r="F791" s="15"/>
      <c r="G791" s="15"/>
      <c r="H791" s="15"/>
      <c r="I791" s="15"/>
      <c r="J791" s="15"/>
      <c r="K791" s="15"/>
      <c r="L791" s="15"/>
      <c r="M791" s="15"/>
      <c r="N791" s="15"/>
      <c r="O791" s="15"/>
    </row>
    <row r="792" spans="1:15" ht="19.8" x14ac:dyDescent="0.5">
      <c r="A792" s="58"/>
      <c r="B792" s="15"/>
      <c r="C792" s="15"/>
      <c r="D792" s="15"/>
      <c r="E792" s="15"/>
      <c r="F792" s="15"/>
      <c r="G792" s="15"/>
      <c r="H792" s="15"/>
      <c r="I792" s="15"/>
      <c r="J792" s="15"/>
      <c r="K792" s="15"/>
      <c r="L792" s="15"/>
      <c r="M792" s="15"/>
      <c r="N792" s="15"/>
      <c r="O792" s="15"/>
    </row>
    <row r="793" spans="1:15" ht="19.8" x14ac:dyDescent="0.5">
      <c r="A793" s="58"/>
      <c r="B793" s="15"/>
      <c r="C793" s="15"/>
      <c r="D793" s="15"/>
      <c r="E793" s="15"/>
      <c r="F793" s="15"/>
      <c r="G793" s="15"/>
      <c r="H793" s="15"/>
      <c r="I793" s="15"/>
      <c r="J793" s="15"/>
      <c r="K793" s="15"/>
      <c r="L793" s="15"/>
      <c r="M793" s="15"/>
      <c r="N793" s="15"/>
      <c r="O793" s="15"/>
    </row>
    <row r="794" spans="1:15" ht="19.8" x14ac:dyDescent="0.5">
      <c r="A794" s="58"/>
      <c r="B794" s="15"/>
      <c r="C794" s="15"/>
      <c r="D794" s="15"/>
      <c r="E794" s="15"/>
      <c r="F794" s="15"/>
      <c r="G794" s="15"/>
      <c r="H794" s="15"/>
      <c r="I794" s="15"/>
      <c r="J794" s="15"/>
      <c r="K794" s="15"/>
      <c r="L794" s="15"/>
      <c r="M794" s="15"/>
      <c r="N794" s="15"/>
      <c r="O794" s="15"/>
    </row>
    <row r="795" spans="1:15" ht="19.8" x14ac:dyDescent="0.5">
      <c r="A795" s="58"/>
      <c r="B795" s="15"/>
      <c r="C795" s="15"/>
      <c r="D795" s="15"/>
      <c r="E795" s="15"/>
      <c r="F795" s="15"/>
      <c r="G795" s="15"/>
      <c r="H795" s="15"/>
      <c r="I795" s="15"/>
      <c r="J795" s="15"/>
      <c r="K795" s="15"/>
      <c r="L795" s="15"/>
      <c r="M795" s="15"/>
      <c r="N795" s="15"/>
      <c r="O795" s="15"/>
    </row>
    <row r="796" spans="1:15" ht="19.8" x14ac:dyDescent="0.5">
      <c r="A796" s="58"/>
      <c r="B796" s="15"/>
      <c r="C796" s="15"/>
      <c r="D796" s="15"/>
      <c r="E796" s="15"/>
      <c r="F796" s="15"/>
      <c r="G796" s="15"/>
      <c r="H796" s="15"/>
      <c r="I796" s="15"/>
      <c r="J796" s="15"/>
      <c r="K796" s="15"/>
      <c r="L796" s="15"/>
      <c r="M796" s="15"/>
      <c r="N796" s="15"/>
      <c r="O796" s="15"/>
    </row>
    <row r="797" spans="1:15" ht="19.8" x14ac:dyDescent="0.5">
      <c r="A797" s="58"/>
      <c r="B797" s="15"/>
      <c r="C797" s="15"/>
      <c r="D797" s="15"/>
      <c r="E797" s="15"/>
      <c r="F797" s="15"/>
      <c r="G797" s="15"/>
      <c r="H797" s="15"/>
      <c r="I797" s="15"/>
      <c r="J797" s="15"/>
      <c r="K797" s="15"/>
      <c r="L797" s="15"/>
      <c r="M797" s="15"/>
      <c r="N797" s="15"/>
      <c r="O797" s="15"/>
    </row>
    <row r="798" spans="1:15" ht="19.8" x14ac:dyDescent="0.5">
      <c r="A798" s="58"/>
      <c r="B798" s="15"/>
      <c r="C798" s="15"/>
      <c r="D798" s="15"/>
      <c r="E798" s="15"/>
      <c r="F798" s="15"/>
      <c r="G798" s="15"/>
      <c r="H798" s="15"/>
      <c r="I798" s="15"/>
      <c r="J798" s="15"/>
      <c r="K798" s="15"/>
      <c r="L798" s="15"/>
      <c r="M798" s="15"/>
      <c r="N798" s="15"/>
      <c r="O798" s="15"/>
    </row>
    <row r="799" spans="1:15" ht="19.8" x14ac:dyDescent="0.5">
      <c r="A799" s="58"/>
      <c r="B799" s="15"/>
      <c r="C799" s="15"/>
      <c r="D799" s="15"/>
      <c r="E799" s="15"/>
      <c r="F799" s="15"/>
      <c r="G799" s="15"/>
      <c r="H799" s="15"/>
      <c r="I799" s="15"/>
      <c r="J799" s="15"/>
      <c r="K799" s="15"/>
      <c r="L799" s="15"/>
      <c r="M799" s="15"/>
      <c r="N799" s="15"/>
      <c r="O799" s="15"/>
    </row>
    <row r="800" spans="1:15" ht="19.8" x14ac:dyDescent="0.5">
      <c r="A800" s="58"/>
      <c r="B800" s="15"/>
      <c r="C800" s="15"/>
      <c r="D800" s="15"/>
      <c r="E800" s="15"/>
      <c r="F800" s="15"/>
      <c r="G800" s="15"/>
      <c r="H800" s="15"/>
      <c r="I800" s="15"/>
      <c r="J800" s="15"/>
      <c r="K800" s="15"/>
      <c r="L800" s="15"/>
      <c r="M800" s="15"/>
      <c r="N800" s="15"/>
      <c r="O800" s="15"/>
    </row>
    <row r="801" spans="1:15" ht="19.8" x14ac:dyDescent="0.5">
      <c r="A801" s="58"/>
      <c r="B801" s="15"/>
      <c r="C801" s="15"/>
      <c r="D801" s="15"/>
      <c r="E801" s="15"/>
      <c r="F801" s="15"/>
      <c r="G801" s="15"/>
      <c r="H801" s="15"/>
      <c r="I801" s="15"/>
      <c r="J801" s="15"/>
      <c r="K801" s="15"/>
      <c r="L801" s="15"/>
      <c r="M801" s="15"/>
      <c r="N801" s="15"/>
      <c r="O801" s="15"/>
    </row>
    <row r="802" spans="1:15" ht="19.8" x14ac:dyDescent="0.5">
      <c r="A802" s="58"/>
      <c r="B802" s="15"/>
      <c r="C802" s="15"/>
      <c r="D802" s="15"/>
      <c r="E802" s="15"/>
      <c r="F802" s="15"/>
      <c r="G802" s="15"/>
      <c r="H802" s="15"/>
      <c r="I802" s="15"/>
      <c r="J802" s="15"/>
      <c r="K802" s="15"/>
      <c r="L802" s="15"/>
      <c r="M802" s="15"/>
      <c r="N802" s="15"/>
      <c r="O802" s="15"/>
    </row>
    <row r="803" spans="1:15" ht="19.8" x14ac:dyDescent="0.5">
      <c r="A803" s="58"/>
      <c r="B803" s="15"/>
      <c r="C803" s="15"/>
      <c r="D803" s="15"/>
      <c r="E803" s="15"/>
      <c r="F803" s="15"/>
      <c r="G803" s="15"/>
      <c r="H803" s="15"/>
      <c r="I803" s="15"/>
      <c r="J803" s="15"/>
      <c r="K803" s="15"/>
      <c r="L803" s="15"/>
      <c r="M803" s="15"/>
      <c r="N803" s="15"/>
      <c r="O803" s="15"/>
    </row>
    <row r="804" spans="1:15" ht="19.8" x14ac:dyDescent="0.5">
      <c r="A804" s="58"/>
      <c r="B804" s="15"/>
      <c r="C804" s="15"/>
      <c r="D804" s="15"/>
      <c r="E804" s="15"/>
      <c r="F804" s="15"/>
      <c r="G804" s="15"/>
      <c r="H804" s="15"/>
      <c r="I804" s="15"/>
      <c r="J804" s="15"/>
      <c r="K804" s="15"/>
      <c r="L804" s="15"/>
      <c r="M804" s="15"/>
      <c r="N804" s="15"/>
      <c r="O804" s="15"/>
    </row>
    <row r="805" spans="1:15" ht="19.8" x14ac:dyDescent="0.5">
      <c r="A805" s="58"/>
      <c r="B805" s="15"/>
      <c r="C805" s="15"/>
      <c r="D805" s="15"/>
      <c r="E805" s="15"/>
      <c r="F805" s="15"/>
      <c r="G805" s="15"/>
      <c r="H805" s="15"/>
      <c r="I805" s="15"/>
      <c r="J805" s="15"/>
      <c r="K805" s="15"/>
      <c r="L805" s="15"/>
      <c r="M805" s="15"/>
      <c r="N805" s="15"/>
      <c r="O805" s="15"/>
    </row>
    <row r="806" spans="1:15" ht="19.8" x14ac:dyDescent="0.5">
      <c r="A806" s="58"/>
      <c r="B806" s="15"/>
      <c r="C806" s="15"/>
      <c r="D806" s="15"/>
      <c r="E806" s="15"/>
      <c r="F806" s="15"/>
      <c r="G806" s="15"/>
      <c r="H806" s="15"/>
      <c r="I806" s="15"/>
      <c r="J806" s="15"/>
      <c r="K806" s="15"/>
      <c r="L806" s="15"/>
      <c r="M806" s="15"/>
      <c r="N806" s="15"/>
      <c r="O806" s="15"/>
    </row>
    <row r="807" spans="1:15" ht="19.8" x14ac:dyDescent="0.5">
      <c r="A807" s="58"/>
      <c r="B807" s="15"/>
      <c r="C807" s="15"/>
      <c r="D807" s="15"/>
      <c r="E807" s="15"/>
      <c r="F807" s="15"/>
      <c r="G807" s="15"/>
      <c r="H807" s="15"/>
      <c r="I807" s="15"/>
      <c r="J807" s="15"/>
      <c r="K807" s="15"/>
      <c r="L807" s="15"/>
      <c r="M807" s="15"/>
      <c r="N807" s="15"/>
      <c r="O807" s="15"/>
    </row>
    <row r="808" spans="1:15" ht="19.8" x14ac:dyDescent="0.5">
      <c r="A808" s="58"/>
      <c r="B808" s="15"/>
      <c r="C808" s="15"/>
      <c r="D808" s="15"/>
      <c r="E808" s="15"/>
      <c r="F808" s="15"/>
      <c r="G808" s="15"/>
      <c r="H808" s="15"/>
      <c r="I808" s="15"/>
      <c r="J808" s="15"/>
      <c r="K808" s="15"/>
      <c r="L808" s="15"/>
      <c r="M808" s="15"/>
      <c r="N808" s="15"/>
      <c r="O808" s="15"/>
    </row>
    <row r="809" spans="1:15" ht="19.8" x14ac:dyDescent="0.5">
      <c r="A809" s="58"/>
      <c r="B809" s="15"/>
      <c r="C809" s="15"/>
      <c r="D809" s="15"/>
      <c r="E809" s="15"/>
      <c r="F809" s="15"/>
      <c r="G809" s="15"/>
      <c r="H809" s="15"/>
      <c r="I809" s="15"/>
      <c r="J809" s="15"/>
      <c r="K809" s="15"/>
      <c r="L809" s="15"/>
      <c r="M809" s="15"/>
      <c r="N809" s="15"/>
      <c r="O809" s="15"/>
    </row>
    <row r="810" spans="1:15" ht="19.8" x14ac:dyDescent="0.5">
      <c r="A810" s="58"/>
      <c r="B810" s="15"/>
      <c r="C810" s="15"/>
      <c r="D810" s="15"/>
      <c r="E810" s="15"/>
      <c r="F810" s="15"/>
      <c r="G810" s="15"/>
      <c r="H810" s="15"/>
      <c r="I810" s="15"/>
      <c r="J810" s="15"/>
      <c r="K810" s="15"/>
      <c r="L810" s="15"/>
      <c r="M810" s="15"/>
      <c r="N810" s="15"/>
      <c r="O810" s="15"/>
    </row>
    <row r="811" spans="1:15" ht="19.8" x14ac:dyDescent="0.5">
      <c r="A811" s="58"/>
      <c r="B811" s="15"/>
      <c r="C811" s="15"/>
      <c r="D811" s="15"/>
      <c r="E811" s="15"/>
      <c r="F811" s="15"/>
      <c r="G811" s="15"/>
      <c r="H811" s="15"/>
      <c r="I811" s="15"/>
      <c r="J811" s="15"/>
      <c r="K811" s="15"/>
      <c r="L811" s="15"/>
      <c r="M811" s="15"/>
      <c r="N811" s="15"/>
      <c r="O811" s="15"/>
    </row>
    <row r="812" spans="1:15" ht="19.8" x14ac:dyDescent="0.5">
      <c r="A812" s="58"/>
      <c r="B812" s="15"/>
      <c r="C812" s="15"/>
      <c r="D812" s="15"/>
      <c r="E812" s="15"/>
      <c r="F812" s="15"/>
      <c r="G812" s="15"/>
      <c r="H812" s="15"/>
      <c r="I812" s="15"/>
      <c r="J812" s="15"/>
      <c r="K812" s="15"/>
      <c r="L812" s="15"/>
      <c r="M812" s="15"/>
      <c r="N812" s="15"/>
      <c r="O812" s="15"/>
    </row>
    <row r="813" spans="1:15" ht="19.8" x14ac:dyDescent="0.5">
      <c r="A813" s="58"/>
      <c r="B813" s="15"/>
      <c r="C813" s="15"/>
      <c r="D813" s="15"/>
      <c r="E813" s="15"/>
      <c r="F813" s="15"/>
      <c r="G813" s="15"/>
      <c r="H813" s="15"/>
      <c r="I813" s="15"/>
      <c r="J813" s="15"/>
      <c r="K813" s="15"/>
      <c r="L813" s="15"/>
      <c r="M813" s="15"/>
      <c r="N813" s="15"/>
      <c r="O813" s="15"/>
    </row>
    <row r="814" spans="1:15" ht="19.8" x14ac:dyDescent="0.5">
      <c r="A814" s="58"/>
      <c r="B814" s="15"/>
      <c r="C814" s="15"/>
      <c r="D814" s="15"/>
      <c r="E814" s="15"/>
      <c r="F814" s="15"/>
      <c r="G814" s="15"/>
      <c r="H814" s="15"/>
      <c r="I814" s="15"/>
      <c r="J814" s="15"/>
      <c r="K814" s="15"/>
      <c r="L814" s="15"/>
      <c r="M814" s="15"/>
      <c r="N814" s="15"/>
      <c r="O814" s="15"/>
    </row>
    <row r="815" spans="1:15" ht="19.8" x14ac:dyDescent="0.5">
      <c r="A815" s="58"/>
      <c r="B815" s="15"/>
      <c r="C815" s="15"/>
      <c r="D815" s="15"/>
      <c r="E815" s="15"/>
      <c r="F815" s="15"/>
      <c r="G815" s="15"/>
      <c r="H815" s="15"/>
      <c r="I815" s="15"/>
      <c r="J815" s="15"/>
      <c r="K815" s="15"/>
      <c r="L815" s="15"/>
      <c r="M815" s="15"/>
      <c r="N815" s="15"/>
      <c r="O815" s="15"/>
    </row>
    <row r="816" spans="1:15" ht="19.8" x14ac:dyDescent="0.5">
      <c r="A816" s="58"/>
      <c r="B816" s="15"/>
      <c r="C816" s="15"/>
      <c r="D816" s="15"/>
      <c r="E816" s="15"/>
      <c r="F816" s="15"/>
      <c r="G816" s="15"/>
      <c r="H816" s="15"/>
      <c r="I816" s="15"/>
      <c r="J816" s="15"/>
      <c r="K816" s="15"/>
      <c r="L816" s="15"/>
      <c r="M816" s="15"/>
      <c r="N816" s="15"/>
      <c r="O816" s="15"/>
    </row>
    <row r="817" spans="1:15" ht="19.8" x14ac:dyDescent="0.5">
      <c r="A817" s="58"/>
      <c r="B817" s="15"/>
      <c r="C817" s="15"/>
      <c r="D817" s="15"/>
      <c r="E817" s="15"/>
      <c r="F817" s="15"/>
      <c r="G817" s="15"/>
      <c r="H817" s="15"/>
      <c r="I817" s="15"/>
      <c r="J817" s="15"/>
      <c r="K817" s="15"/>
      <c r="L817" s="15"/>
      <c r="M817" s="15"/>
      <c r="N817" s="15"/>
      <c r="O817" s="15"/>
    </row>
    <row r="818" spans="1:15" ht="19.8" x14ac:dyDescent="0.5">
      <c r="A818" s="58"/>
      <c r="B818" s="15"/>
      <c r="C818" s="15"/>
      <c r="D818" s="15"/>
      <c r="E818" s="15"/>
      <c r="F818" s="15"/>
      <c r="G818" s="15"/>
      <c r="H818" s="15"/>
      <c r="I818" s="15"/>
      <c r="J818" s="15"/>
      <c r="K818" s="15"/>
      <c r="L818" s="15"/>
      <c r="M818" s="15"/>
      <c r="N818" s="15"/>
      <c r="O818" s="15"/>
    </row>
    <row r="819" spans="1:15" ht="19.8" x14ac:dyDescent="0.5">
      <c r="A819" s="58"/>
      <c r="B819" s="15"/>
      <c r="C819" s="15"/>
      <c r="D819" s="15"/>
      <c r="E819" s="15"/>
      <c r="F819" s="15"/>
      <c r="G819" s="15"/>
      <c r="H819" s="15"/>
      <c r="I819" s="15"/>
      <c r="J819" s="15"/>
      <c r="K819" s="15"/>
      <c r="L819" s="15"/>
      <c r="M819" s="15"/>
      <c r="N819" s="15"/>
      <c r="O819" s="15"/>
    </row>
    <row r="820" spans="1:15" ht="19.8" x14ac:dyDescent="0.5">
      <c r="A820" s="58"/>
      <c r="B820" s="15"/>
      <c r="C820" s="15"/>
      <c r="D820" s="15"/>
      <c r="E820" s="15"/>
      <c r="F820" s="15"/>
      <c r="G820" s="15"/>
      <c r="H820" s="15"/>
      <c r="I820" s="15"/>
      <c r="J820" s="15"/>
      <c r="K820" s="15"/>
      <c r="L820" s="15"/>
      <c r="M820" s="15"/>
      <c r="N820" s="15"/>
      <c r="O820" s="15"/>
    </row>
    <row r="821" spans="1:15" ht="19.8" x14ac:dyDescent="0.5">
      <c r="A821" s="58"/>
      <c r="B821" s="15"/>
      <c r="C821" s="15"/>
      <c r="D821" s="15"/>
      <c r="E821" s="15"/>
      <c r="F821" s="15"/>
      <c r="G821" s="15"/>
      <c r="H821" s="15"/>
      <c r="I821" s="15"/>
      <c r="J821" s="15"/>
      <c r="K821" s="15"/>
      <c r="L821" s="15"/>
      <c r="M821" s="15"/>
      <c r="N821" s="15"/>
      <c r="O821" s="15"/>
    </row>
    <row r="822" spans="1:15" ht="19.8" x14ac:dyDescent="0.5">
      <c r="A822" s="58"/>
      <c r="B822" s="15"/>
      <c r="C822" s="15"/>
      <c r="D822" s="15"/>
      <c r="E822" s="15"/>
      <c r="F822" s="15"/>
      <c r="G822" s="15"/>
      <c r="H822" s="15"/>
      <c r="I822" s="15"/>
      <c r="J822" s="15"/>
      <c r="K822" s="15"/>
      <c r="L822" s="15"/>
      <c r="M822" s="15"/>
      <c r="N822" s="15"/>
      <c r="O822" s="15"/>
    </row>
    <row r="823" spans="1:15" ht="19.8" x14ac:dyDescent="0.5">
      <c r="A823" s="58"/>
      <c r="B823" s="15"/>
      <c r="C823" s="15"/>
      <c r="D823" s="15"/>
      <c r="E823" s="15"/>
      <c r="F823" s="15"/>
      <c r="G823" s="15"/>
      <c r="H823" s="15"/>
      <c r="I823" s="15"/>
      <c r="J823" s="15"/>
      <c r="K823" s="15"/>
      <c r="L823" s="15"/>
      <c r="M823" s="15"/>
      <c r="N823" s="15"/>
      <c r="O823" s="15"/>
    </row>
    <row r="824" spans="1:15" ht="19.8" x14ac:dyDescent="0.5">
      <c r="A824" s="58"/>
      <c r="B824" s="15"/>
      <c r="C824" s="15"/>
      <c r="D824" s="15"/>
      <c r="E824" s="15"/>
      <c r="F824" s="15"/>
      <c r="G824" s="15"/>
      <c r="H824" s="15"/>
      <c r="I824" s="15"/>
      <c r="J824" s="15"/>
      <c r="K824" s="15"/>
      <c r="L824" s="15"/>
      <c r="M824" s="15"/>
      <c r="N824" s="15"/>
      <c r="O824" s="15"/>
    </row>
    <row r="825" spans="1:15" ht="19.8" x14ac:dyDescent="0.5">
      <c r="A825" s="58"/>
      <c r="B825" s="15"/>
      <c r="C825" s="15"/>
      <c r="D825" s="15"/>
      <c r="E825" s="15"/>
      <c r="F825" s="15"/>
      <c r="G825" s="15"/>
      <c r="H825" s="15"/>
      <c r="I825" s="15"/>
      <c r="J825" s="15"/>
      <c r="K825" s="15"/>
      <c r="L825" s="15"/>
      <c r="M825" s="15"/>
      <c r="N825" s="15"/>
      <c r="O825" s="15"/>
    </row>
    <row r="826" spans="1:15" ht="19.8" x14ac:dyDescent="0.5">
      <c r="A826" s="58"/>
      <c r="B826" s="15"/>
      <c r="C826" s="15"/>
      <c r="D826" s="15"/>
      <c r="E826" s="15"/>
      <c r="F826" s="15"/>
      <c r="G826" s="15"/>
      <c r="H826" s="15"/>
      <c r="I826" s="15"/>
      <c r="J826" s="15"/>
      <c r="K826" s="15"/>
      <c r="L826" s="15"/>
      <c r="M826" s="15"/>
      <c r="N826" s="15"/>
      <c r="O826" s="15"/>
    </row>
    <row r="827" spans="1:15" ht="19.8" x14ac:dyDescent="0.5">
      <c r="A827" s="58"/>
      <c r="B827" s="15"/>
      <c r="C827" s="15"/>
      <c r="D827" s="15"/>
      <c r="E827" s="15"/>
      <c r="F827" s="15"/>
      <c r="G827" s="15"/>
      <c r="H827" s="15"/>
      <c r="I827" s="15"/>
      <c r="J827" s="15"/>
      <c r="K827" s="15"/>
      <c r="L827" s="15"/>
      <c r="M827" s="15"/>
      <c r="N827" s="15"/>
      <c r="O827" s="15"/>
    </row>
    <row r="828" spans="1:15" ht="19.8" x14ac:dyDescent="0.5">
      <c r="A828" s="58"/>
      <c r="B828" s="15"/>
      <c r="C828" s="15"/>
      <c r="D828" s="15"/>
      <c r="E828" s="15"/>
      <c r="F828" s="15"/>
      <c r="G828" s="15"/>
      <c r="H828" s="15"/>
      <c r="I828" s="15"/>
      <c r="J828" s="15"/>
      <c r="K828" s="15"/>
      <c r="L828" s="15"/>
      <c r="M828" s="15"/>
      <c r="N828" s="15"/>
      <c r="O828" s="15"/>
    </row>
    <row r="829" spans="1:15" ht="19.8" x14ac:dyDescent="0.5">
      <c r="A829" s="58"/>
      <c r="B829" s="15"/>
      <c r="C829" s="15"/>
      <c r="D829" s="15"/>
      <c r="E829" s="15"/>
      <c r="F829" s="15"/>
      <c r="G829" s="15"/>
      <c r="H829" s="15"/>
      <c r="I829" s="15"/>
      <c r="J829" s="15"/>
      <c r="K829" s="15"/>
      <c r="L829" s="15"/>
      <c r="M829" s="15"/>
      <c r="N829" s="15"/>
      <c r="O829" s="15"/>
    </row>
    <row r="830" spans="1:15" ht="19.8" x14ac:dyDescent="0.5">
      <c r="A830" s="58"/>
      <c r="B830" s="15"/>
      <c r="C830" s="15"/>
      <c r="D830" s="15"/>
      <c r="E830" s="15"/>
      <c r="F830" s="15"/>
      <c r="G830" s="15"/>
      <c r="H830" s="15"/>
      <c r="I830" s="15"/>
      <c r="J830" s="15"/>
      <c r="K830" s="15"/>
      <c r="L830" s="15"/>
      <c r="M830" s="15"/>
      <c r="N830" s="15"/>
      <c r="O830" s="15"/>
    </row>
    <row r="831" spans="1:15" ht="19.8" x14ac:dyDescent="0.5">
      <c r="A831" s="58"/>
      <c r="B831" s="15"/>
      <c r="C831" s="15"/>
      <c r="D831" s="15"/>
      <c r="E831" s="15"/>
      <c r="F831" s="15"/>
      <c r="G831" s="15"/>
      <c r="H831" s="15"/>
      <c r="I831" s="15"/>
      <c r="J831" s="15"/>
      <c r="K831" s="15"/>
      <c r="L831" s="15"/>
      <c r="M831" s="15"/>
      <c r="N831" s="15"/>
      <c r="O831" s="15"/>
    </row>
    <row r="832" spans="1:15" ht="19.8" x14ac:dyDescent="0.5">
      <c r="A832" s="58"/>
      <c r="B832" s="15"/>
      <c r="C832" s="15"/>
      <c r="D832" s="15"/>
      <c r="E832" s="15"/>
      <c r="F832" s="15"/>
      <c r="G832" s="15"/>
      <c r="H832" s="15"/>
      <c r="I832" s="15"/>
      <c r="J832" s="15"/>
      <c r="K832" s="15"/>
      <c r="L832" s="15"/>
      <c r="M832" s="15"/>
      <c r="N832" s="15"/>
      <c r="O832" s="15"/>
    </row>
    <row r="833" spans="1:15" ht="19.8" x14ac:dyDescent="0.5">
      <c r="A833" s="58"/>
      <c r="B833" s="15"/>
      <c r="C833" s="15"/>
      <c r="D833" s="15"/>
      <c r="E833" s="15"/>
      <c r="F833" s="15"/>
      <c r="G833" s="15"/>
      <c r="H833" s="15"/>
      <c r="I833" s="15"/>
      <c r="J833" s="15"/>
      <c r="K833" s="15"/>
      <c r="L833" s="15"/>
      <c r="M833" s="15"/>
      <c r="N833" s="15"/>
      <c r="O833" s="15"/>
    </row>
    <row r="834" spans="1:15" ht="19.8" x14ac:dyDescent="0.5">
      <c r="A834" s="58"/>
      <c r="B834" s="15"/>
      <c r="C834" s="15"/>
      <c r="D834" s="15"/>
      <c r="E834" s="15"/>
      <c r="F834" s="15"/>
      <c r="G834" s="15"/>
      <c r="H834" s="15"/>
      <c r="I834" s="15"/>
      <c r="J834" s="15"/>
      <c r="K834" s="15"/>
      <c r="L834" s="15"/>
      <c r="M834" s="15"/>
      <c r="N834" s="15"/>
      <c r="O834" s="15"/>
    </row>
    <row r="835" spans="1:15" ht="19.8" x14ac:dyDescent="0.5">
      <c r="A835" s="58"/>
      <c r="B835" s="15"/>
      <c r="C835" s="15"/>
      <c r="D835" s="15"/>
      <c r="E835" s="15"/>
      <c r="F835" s="15"/>
      <c r="G835" s="15"/>
      <c r="H835" s="15"/>
      <c r="I835" s="15"/>
      <c r="J835" s="15"/>
      <c r="K835" s="15"/>
      <c r="L835" s="15"/>
      <c r="M835" s="15"/>
      <c r="N835" s="15"/>
      <c r="O835" s="15"/>
    </row>
    <row r="836" spans="1:15" ht="19.8" x14ac:dyDescent="0.5">
      <c r="A836" s="58"/>
      <c r="B836" s="15"/>
      <c r="C836" s="15"/>
      <c r="D836" s="15"/>
      <c r="E836" s="15"/>
      <c r="F836" s="15"/>
      <c r="G836" s="15"/>
      <c r="H836" s="15"/>
      <c r="I836" s="15"/>
      <c r="J836" s="15"/>
      <c r="K836" s="15"/>
      <c r="L836" s="15"/>
      <c r="M836" s="15"/>
      <c r="N836" s="15"/>
      <c r="O836" s="15"/>
    </row>
    <row r="837" spans="1:15" ht="19.8" x14ac:dyDescent="0.5">
      <c r="A837" s="58"/>
      <c r="B837" s="15"/>
      <c r="C837" s="15"/>
      <c r="D837" s="15"/>
      <c r="E837" s="15"/>
      <c r="F837" s="15"/>
      <c r="G837" s="15"/>
      <c r="H837" s="15"/>
      <c r="I837" s="15"/>
      <c r="J837" s="15"/>
      <c r="K837" s="15"/>
      <c r="L837" s="15"/>
      <c r="M837" s="15"/>
      <c r="N837" s="15"/>
      <c r="O837" s="15"/>
    </row>
    <row r="838" spans="1:15" ht="19.8" x14ac:dyDescent="0.5">
      <c r="A838" s="58"/>
      <c r="B838" s="15"/>
      <c r="C838" s="15"/>
      <c r="D838" s="15"/>
      <c r="E838" s="15"/>
      <c r="F838" s="15"/>
      <c r="G838" s="15"/>
      <c r="H838" s="15"/>
      <c r="I838" s="15"/>
      <c r="J838" s="15"/>
      <c r="K838" s="15"/>
      <c r="L838" s="15"/>
      <c r="M838" s="15"/>
      <c r="N838" s="15"/>
      <c r="O838" s="15"/>
    </row>
    <row r="839" spans="1:15" ht="19.8" x14ac:dyDescent="0.5">
      <c r="A839" s="58"/>
      <c r="B839" s="15"/>
      <c r="C839" s="15"/>
      <c r="D839" s="15"/>
      <c r="E839" s="15"/>
      <c r="F839" s="15"/>
      <c r="G839" s="15"/>
      <c r="H839" s="15"/>
      <c r="I839" s="15"/>
      <c r="J839" s="15"/>
      <c r="K839" s="15"/>
      <c r="L839" s="15"/>
      <c r="M839" s="15"/>
      <c r="N839" s="15"/>
      <c r="O839" s="15"/>
    </row>
    <row r="840" spans="1:15" ht="19.8" x14ac:dyDescent="0.5">
      <c r="A840" s="58"/>
      <c r="B840" s="15"/>
      <c r="C840" s="15"/>
      <c r="D840" s="15"/>
      <c r="E840" s="15"/>
      <c r="F840" s="15"/>
      <c r="G840" s="15"/>
      <c r="H840" s="15"/>
      <c r="I840" s="15"/>
      <c r="J840" s="15"/>
      <c r="K840" s="15"/>
      <c r="L840" s="15"/>
      <c r="M840" s="15"/>
      <c r="N840" s="15"/>
      <c r="O840" s="15"/>
    </row>
    <row r="841" spans="1:15" ht="19.8" x14ac:dyDescent="0.5">
      <c r="A841" s="58"/>
      <c r="B841" s="15"/>
      <c r="C841" s="15"/>
      <c r="D841" s="15"/>
      <c r="E841" s="15"/>
      <c r="F841" s="15"/>
      <c r="G841" s="15"/>
      <c r="H841" s="15"/>
      <c r="I841" s="15"/>
      <c r="J841" s="15"/>
      <c r="K841" s="15"/>
      <c r="L841" s="15"/>
      <c r="M841" s="15"/>
      <c r="N841" s="15"/>
      <c r="O841" s="15"/>
    </row>
    <row r="842" spans="1:15" ht="19.8" x14ac:dyDescent="0.5">
      <c r="A842" s="58"/>
      <c r="B842" s="15"/>
      <c r="C842" s="15"/>
      <c r="D842" s="15"/>
      <c r="E842" s="15"/>
      <c r="F842" s="15"/>
      <c r="G842" s="15"/>
      <c r="H842" s="15"/>
      <c r="I842" s="15"/>
      <c r="J842" s="15"/>
      <c r="K842" s="15"/>
      <c r="L842" s="15"/>
      <c r="M842" s="15"/>
      <c r="N842" s="15"/>
      <c r="O842" s="15"/>
    </row>
    <row r="843" spans="1:15" ht="19.8" x14ac:dyDescent="0.5">
      <c r="A843" s="58"/>
      <c r="B843" s="15"/>
      <c r="C843" s="15"/>
      <c r="D843" s="15"/>
      <c r="E843" s="15"/>
      <c r="F843" s="15"/>
      <c r="G843" s="15"/>
      <c r="H843" s="15"/>
      <c r="I843" s="15"/>
      <c r="J843" s="15"/>
      <c r="K843" s="15"/>
      <c r="L843" s="15"/>
      <c r="M843" s="15"/>
      <c r="N843" s="15"/>
      <c r="O843" s="15"/>
    </row>
    <row r="844" spans="1:15" ht="19.8" x14ac:dyDescent="0.5">
      <c r="A844" s="58"/>
      <c r="B844" s="15"/>
      <c r="C844" s="15"/>
      <c r="D844" s="15"/>
      <c r="E844" s="15"/>
      <c r="F844" s="15"/>
      <c r="G844" s="15"/>
      <c r="H844" s="15"/>
      <c r="I844" s="15"/>
      <c r="J844" s="15"/>
      <c r="K844" s="15"/>
      <c r="L844" s="15"/>
      <c r="M844" s="15"/>
      <c r="N844" s="15"/>
      <c r="O844" s="15"/>
    </row>
    <row r="845" spans="1:15" ht="19.8" x14ac:dyDescent="0.5">
      <c r="A845" s="58"/>
      <c r="B845" s="15"/>
      <c r="C845" s="15"/>
      <c r="D845" s="15"/>
      <c r="E845" s="15"/>
      <c r="F845" s="15"/>
      <c r="G845" s="15"/>
      <c r="H845" s="15"/>
      <c r="I845" s="15"/>
      <c r="J845" s="15"/>
      <c r="K845" s="15"/>
      <c r="L845" s="15"/>
      <c r="M845" s="15"/>
      <c r="N845" s="15"/>
      <c r="O845" s="15"/>
    </row>
    <row r="846" spans="1:15" ht="19.8" x14ac:dyDescent="0.5">
      <c r="A846" s="58"/>
      <c r="B846" s="15"/>
      <c r="C846" s="15"/>
      <c r="D846" s="15"/>
      <c r="E846" s="15"/>
      <c r="F846" s="15"/>
      <c r="G846" s="15"/>
      <c r="H846" s="15"/>
      <c r="I846" s="15"/>
      <c r="J846" s="15"/>
      <c r="K846" s="15"/>
      <c r="L846" s="15"/>
      <c r="M846" s="15"/>
      <c r="N846" s="15"/>
      <c r="O846" s="15"/>
    </row>
    <row r="847" spans="1:15" ht="19.8" x14ac:dyDescent="0.5">
      <c r="A847" s="58"/>
      <c r="B847" s="15"/>
      <c r="C847" s="15"/>
      <c r="D847" s="15"/>
      <c r="E847" s="15"/>
      <c r="F847" s="15"/>
      <c r="G847" s="15"/>
      <c r="H847" s="15"/>
      <c r="I847" s="15"/>
      <c r="J847" s="15"/>
      <c r="K847" s="15"/>
      <c r="L847" s="15"/>
      <c r="M847" s="15"/>
      <c r="N847" s="15"/>
      <c r="O847" s="15"/>
    </row>
    <row r="848" spans="1:15" ht="19.8" x14ac:dyDescent="0.5">
      <c r="A848" s="58"/>
      <c r="B848" s="15"/>
      <c r="C848" s="15"/>
      <c r="D848" s="15"/>
      <c r="E848" s="15"/>
      <c r="F848" s="15"/>
      <c r="G848" s="15"/>
      <c r="H848" s="15"/>
      <c r="I848" s="15"/>
      <c r="J848" s="15"/>
      <c r="K848" s="15"/>
      <c r="L848" s="15"/>
      <c r="M848" s="15"/>
      <c r="N848" s="15"/>
      <c r="O848" s="15"/>
    </row>
    <row r="849" spans="1:15" ht="19.8" x14ac:dyDescent="0.5">
      <c r="A849" s="58"/>
      <c r="B849" s="15"/>
      <c r="C849" s="15"/>
      <c r="D849" s="15"/>
      <c r="E849" s="15"/>
      <c r="F849" s="15"/>
      <c r="G849" s="15"/>
      <c r="H849" s="15"/>
      <c r="I849" s="15"/>
      <c r="J849" s="15"/>
      <c r="K849" s="15"/>
      <c r="L849" s="15"/>
      <c r="M849" s="15"/>
      <c r="N849" s="15"/>
      <c r="O849" s="15"/>
    </row>
    <row r="850" spans="1:15" ht="19.8" x14ac:dyDescent="0.5">
      <c r="A850" s="58"/>
      <c r="B850" s="15"/>
      <c r="C850" s="15"/>
      <c r="D850" s="15"/>
      <c r="E850" s="15"/>
      <c r="F850" s="15"/>
      <c r="G850" s="15"/>
      <c r="H850" s="15"/>
      <c r="I850" s="15"/>
      <c r="J850" s="15"/>
      <c r="K850" s="15"/>
      <c r="L850" s="15"/>
      <c r="M850" s="15"/>
      <c r="N850" s="15"/>
      <c r="O850" s="15"/>
    </row>
    <row r="851" spans="1:15" ht="19.8" x14ac:dyDescent="0.5">
      <c r="A851" s="58"/>
      <c r="B851" s="15"/>
      <c r="C851" s="15"/>
      <c r="D851" s="15"/>
      <c r="E851" s="15"/>
      <c r="F851" s="15"/>
      <c r="G851" s="15"/>
      <c r="H851" s="15"/>
      <c r="I851" s="15"/>
      <c r="J851" s="15"/>
      <c r="K851" s="15"/>
      <c r="L851" s="15"/>
      <c r="M851" s="15"/>
      <c r="N851" s="15"/>
      <c r="O851" s="15"/>
    </row>
    <row r="852" spans="1:15" ht="19.8" x14ac:dyDescent="0.5">
      <c r="A852" s="58"/>
      <c r="B852" s="15"/>
      <c r="C852" s="15"/>
      <c r="D852" s="15"/>
      <c r="E852" s="15"/>
      <c r="F852" s="15"/>
      <c r="G852" s="15"/>
      <c r="H852" s="15"/>
      <c r="I852" s="15"/>
      <c r="J852" s="15"/>
      <c r="K852" s="15"/>
      <c r="L852" s="15"/>
      <c r="M852" s="15"/>
      <c r="N852" s="15"/>
      <c r="O852" s="15"/>
    </row>
    <row r="853" spans="1:15" ht="19.8" x14ac:dyDescent="0.5">
      <c r="A853" s="58"/>
      <c r="B853" s="15"/>
      <c r="C853" s="15"/>
      <c r="D853" s="15"/>
      <c r="E853" s="15"/>
      <c r="F853" s="15"/>
      <c r="G853" s="15"/>
      <c r="H853" s="15"/>
      <c r="I853" s="15"/>
      <c r="J853" s="15"/>
      <c r="K853" s="15"/>
      <c r="L853" s="15"/>
      <c r="M853" s="15"/>
      <c r="N853" s="15"/>
      <c r="O853" s="15"/>
    </row>
    <row r="854" spans="1:15" ht="19.8" x14ac:dyDescent="0.5">
      <c r="A854" s="58"/>
      <c r="B854" s="15"/>
      <c r="C854" s="15"/>
      <c r="D854" s="15"/>
      <c r="E854" s="15"/>
      <c r="F854" s="15"/>
      <c r="G854" s="15"/>
      <c r="H854" s="15"/>
      <c r="I854" s="15"/>
      <c r="J854" s="15"/>
      <c r="K854" s="15"/>
      <c r="L854" s="15"/>
      <c r="M854" s="15"/>
      <c r="N854" s="15"/>
      <c r="O854" s="15"/>
    </row>
    <row r="855" spans="1:15" ht="19.8" x14ac:dyDescent="0.5">
      <c r="A855" s="58"/>
      <c r="B855" s="15"/>
      <c r="C855" s="15"/>
      <c r="D855" s="15"/>
      <c r="E855" s="15"/>
      <c r="F855" s="15"/>
      <c r="G855" s="15"/>
      <c r="H855" s="15"/>
      <c r="I855" s="15"/>
      <c r="J855" s="15"/>
      <c r="K855" s="15"/>
      <c r="L855" s="15"/>
      <c r="M855" s="15"/>
      <c r="N855" s="15"/>
      <c r="O855" s="15"/>
    </row>
    <row r="856" spans="1:15" ht="19.8" x14ac:dyDescent="0.5">
      <c r="A856" s="58"/>
      <c r="B856" s="15"/>
      <c r="C856" s="15"/>
      <c r="D856" s="15"/>
      <c r="E856" s="15"/>
      <c r="F856" s="15"/>
      <c r="G856" s="15"/>
      <c r="H856" s="15"/>
      <c r="I856" s="15"/>
      <c r="J856" s="15"/>
      <c r="K856" s="15"/>
      <c r="L856" s="15"/>
      <c r="M856" s="15"/>
      <c r="N856" s="15"/>
      <c r="O856" s="15"/>
    </row>
    <row r="857" spans="1:15" ht="19.8" x14ac:dyDescent="0.5">
      <c r="A857" s="58"/>
      <c r="B857" s="15"/>
      <c r="C857" s="15"/>
      <c r="D857" s="15"/>
      <c r="E857" s="15"/>
      <c r="F857" s="15"/>
      <c r="G857" s="15"/>
      <c r="H857" s="15"/>
      <c r="I857" s="15"/>
      <c r="J857" s="15"/>
      <c r="K857" s="15"/>
      <c r="L857" s="15"/>
      <c r="M857" s="15"/>
      <c r="N857" s="15"/>
      <c r="O857" s="15"/>
    </row>
    <row r="858" spans="1:15" ht="19.8" x14ac:dyDescent="0.5">
      <c r="A858" s="58"/>
      <c r="B858" s="15"/>
      <c r="C858" s="15"/>
      <c r="D858" s="15"/>
      <c r="E858" s="15"/>
      <c r="F858" s="15"/>
      <c r="G858" s="15"/>
      <c r="H858" s="15"/>
      <c r="I858" s="15"/>
      <c r="J858" s="15"/>
      <c r="K858" s="15"/>
      <c r="L858" s="15"/>
      <c r="M858" s="15"/>
      <c r="N858" s="15"/>
      <c r="O858" s="15"/>
    </row>
    <row r="859" spans="1:15" ht="19.8" x14ac:dyDescent="0.5">
      <c r="A859" s="58"/>
      <c r="B859" s="15"/>
      <c r="C859" s="15"/>
      <c r="D859" s="15"/>
      <c r="E859" s="15"/>
      <c r="F859" s="15"/>
      <c r="G859" s="15"/>
      <c r="H859" s="15"/>
      <c r="I859" s="15"/>
      <c r="J859" s="15"/>
      <c r="K859" s="15"/>
      <c r="L859" s="15"/>
      <c r="M859" s="15"/>
      <c r="N859" s="15"/>
      <c r="O859" s="15"/>
    </row>
    <row r="860" spans="1:15" ht="19.8" x14ac:dyDescent="0.5">
      <c r="A860" s="58"/>
      <c r="B860" s="15"/>
      <c r="C860" s="15"/>
      <c r="D860" s="15"/>
      <c r="E860" s="15"/>
      <c r="F860" s="15"/>
      <c r="G860" s="15"/>
      <c r="H860" s="15"/>
      <c r="I860" s="15"/>
      <c r="J860" s="15"/>
      <c r="K860" s="15"/>
      <c r="L860" s="15"/>
      <c r="M860" s="15"/>
      <c r="N860" s="15"/>
      <c r="O860" s="15"/>
    </row>
    <row r="861" spans="1:15" ht="19.8" x14ac:dyDescent="0.5">
      <c r="A861" s="58"/>
      <c r="B861" s="15"/>
      <c r="C861" s="15"/>
      <c r="D861" s="15"/>
      <c r="E861" s="15"/>
      <c r="F861" s="15"/>
      <c r="G861" s="15"/>
      <c r="H861" s="15"/>
      <c r="I861" s="15"/>
      <c r="J861" s="15"/>
      <c r="K861" s="15"/>
      <c r="L861" s="15"/>
      <c r="M861" s="15"/>
      <c r="N861" s="15"/>
      <c r="O861" s="15"/>
    </row>
    <row r="862" spans="1:15" ht="19.8" x14ac:dyDescent="0.5">
      <c r="A862" s="58"/>
      <c r="B862" s="15"/>
      <c r="C862" s="15"/>
      <c r="D862" s="15"/>
      <c r="E862" s="15"/>
      <c r="F862" s="15"/>
      <c r="G862" s="15"/>
      <c r="H862" s="15"/>
      <c r="I862" s="15"/>
      <c r="J862" s="15"/>
      <c r="K862" s="15"/>
      <c r="L862" s="15"/>
      <c r="M862" s="15"/>
      <c r="N862" s="15"/>
      <c r="O862" s="15"/>
    </row>
    <row r="863" spans="1:15" ht="19.8" x14ac:dyDescent="0.5">
      <c r="A863" s="58"/>
      <c r="B863" s="15"/>
      <c r="C863" s="15"/>
      <c r="D863" s="15"/>
      <c r="E863" s="15"/>
      <c r="F863" s="15"/>
      <c r="G863" s="15"/>
      <c r="H863" s="15"/>
      <c r="I863" s="15"/>
      <c r="J863" s="15"/>
      <c r="K863" s="15"/>
      <c r="L863" s="15"/>
      <c r="M863" s="15"/>
      <c r="N863" s="15"/>
      <c r="O863" s="15"/>
    </row>
    <row r="864" spans="1:15" ht="19.8" x14ac:dyDescent="0.5">
      <c r="A864" s="58"/>
      <c r="B864" s="15"/>
      <c r="C864" s="15"/>
      <c r="D864" s="15"/>
      <c r="E864" s="15"/>
      <c r="F864" s="15"/>
      <c r="G864" s="15"/>
      <c r="H864" s="15"/>
      <c r="I864" s="15"/>
      <c r="J864" s="15"/>
      <c r="K864" s="15"/>
      <c r="L864" s="15"/>
      <c r="M864" s="15"/>
      <c r="N864" s="15"/>
      <c r="O864" s="15"/>
    </row>
    <row r="865" spans="1:15" ht="19.8" x14ac:dyDescent="0.5">
      <c r="A865" s="58"/>
      <c r="B865" s="15"/>
      <c r="C865" s="15"/>
      <c r="D865" s="15"/>
      <c r="E865" s="15"/>
      <c r="F865" s="15"/>
      <c r="G865" s="15"/>
      <c r="H865" s="15"/>
      <c r="I865" s="15"/>
      <c r="J865" s="15"/>
      <c r="K865" s="15"/>
      <c r="L865" s="15"/>
      <c r="M865" s="15"/>
      <c r="N865" s="15"/>
      <c r="O865" s="15"/>
    </row>
    <row r="866" spans="1:15" ht="19.8" x14ac:dyDescent="0.5">
      <c r="A866" s="58"/>
      <c r="B866" s="15"/>
      <c r="C866" s="15"/>
      <c r="D866" s="15"/>
      <c r="E866" s="15"/>
      <c r="F866" s="15"/>
      <c r="G866" s="15"/>
      <c r="H866" s="15"/>
      <c r="I866" s="15"/>
      <c r="J866" s="15"/>
      <c r="K866" s="15"/>
      <c r="L866" s="15"/>
      <c r="M866" s="15"/>
      <c r="N866" s="15"/>
      <c r="O866" s="15"/>
    </row>
    <row r="867" spans="1:15" ht="19.8" x14ac:dyDescent="0.5">
      <c r="A867" s="58"/>
      <c r="B867" s="15"/>
      <c r="C867" s="15"/>
      <c r="D867" s="15"/>
      <c r="E867" s="15"/>
      <c r="F867" s="15"/>
      <c r="G867" s="15"/>
      <c r="H867" s="15"/>
      <c r="I867" s="15"/>
      <c r="J867" s="15"/>
      <c r="K867" s="15"/>
      <c r="L867" s="15"/>
      <c r="M867" s="15"/>
      <c r="N867" s="15"/>
      <c r="O867" s="15"/>
    </row>
    <row r="868" spans="1:15" ht="19.8" x14ac:dyDescent="0.5">
      <c r="A868" s="58"/>
      <c r="B868" s="15"/>
      <c r="C868" s="15"/>
      <c r="D868" s="15"/>
      <c r="E868" s="15"/>
      <c r="F868" s="15"/>
      <c r="G868" s="15"/>
      <c r="H868" s="15"/>
      <c r="I868" s="15"/>
      <c r="J868" s="15"/>
      <c r="K868" s="15"/>
      <c r="L868" s="15"/>
      <c r="M868" s="15"/>
      <c r="N868" s="15"/>
      <c r="O868" s="15"/>
    </row>
    <row r="869" spans="1:15" ht="19.8" x14ac:dyDescent="0.5">
      <c r="A869" s="58"/>
      <c r="B869" s="15"/>
      <c r="C869" s="15"/>
      <c r="D869" s="15"/>
      <c r="E869" s="15"/>
      <c r="F869" s="15"/>
      <c r="G869" s="15"/>
      <c r="H869" s="15"/>
      <c r="I869" s="15"/>
      <c r="J869" s="15"/>
      <c r="K869" s="15"/>
      <c r="L869" s="15"/>
      <c r="M869" s="15"/>
      <c r="N869" s="15"/>
      <c r="O869" s="15"/>
    </row>
    <row r="870" spans="1:15" ht="19.8" x14ac:dyDescent="0.5">
      <c r="A870" s="58"/>
      <c r="B870" s="15"/>
      <c r="C870" s="15"/>
      <c r="D870" s="15"/>
      <c r="E870" s="15"/>
      <c r="F870" s="15"/>
      <c r="G870" s="15"/>
      <c r="H870" s="15"/>
      <c r="I870" s="15"/>
      <c r="J870" s="15"/>
      <c r="K870" s="15"/>
      <c r="L870" s="15"/>
      <c r="M870" s="15"/>
      <c r="N870" s="15"/>
      <c r="O870" s="15"/>
    </row>
    <row r="871" spans="1:15" ht="19.8" x14ac:dyDescent="0.5">
      <c r="A871" s="58"/>
      <c r="B871" s="15"/>
      <c r="C871" s="15"/>
      <c r="D871" s="15"/>
      <c r="E871" s="15"/>
      <c r="F871" s="15"/>
      <c r="G871" s="15"/>
      <c r="H871" s="15"/>
      <c r="I871" s="15"/>
      <c r="J871" s="15"/>
      <c r="K871" s="15"/>
      <c r="L871" s="15"/>
      <c r="M871" s="15"/>
      <c r="N871" s="15"/>
      <c r="O871" s="15"/>
    </row>
    <row r="872" spans="1:15" ht="19.8" x14ac:dyDescent="0.5">
      <c r="A872" s="58"/>
      <c r="B872" s="15"/>
      <c r="C872" s="15"/>
      <c r="D872" s="15"/>
      <c r="E872" s="15"/>
      <c r="F872" s="15"/>
      <c r="G872" s="15"/>
      <c r="H872" s="15"/>
      <c r="I872" s="15"/>
      <c r="J872" s="15"/>
      <c r="K872" s="15"/>
      <c r="L872" s="15"/>
      <c r="M872" s="15"/>
      <c r="N872" s="15"/>
      <c r="O872" s="15"/>
    </row>
    <row r="873" spans="1:15" ht="19.8" x14ac:dyDescent="0.5">
      <c r="A873" s="58"/>
      <c r="B873" s="15"/>
      <c r="C873" s="15"/>
      <c r="D873" s="15"/>
      <c r="E873" s="15"/>
      <c r="F873" s="15"/>
      <c r="G873" s="15"/>
      <c r="H873" s="15"/>
      <c r="I873" s="15"/>
      <c r="J873" s="15"/>
      <c r="K873" s="15"/>
      <c r="L873" s="15"/>
      <c r="M873" s="15"/>
      <c r="N873" s="15"/>
      <c r="O873" s="15"/>
    </row>
    <row r="874" spans="1:15" ht="19.8" x14ac:dyDescent="0.5">
      <c r="A874" s="58"/>
      <c r="B874" s="15"/>
      <c r="C874" s="15"/>
      <c r="D874" s="15"/>
      <c r="E874" s="15"/>
      <c r="F874" s="15"/>
      <c r="G874" s="15"/>
      <c r="H874" s="15"/>
      <c r="I874" s="15"/>
      <c r="J874" s="15"/>
      <c r="K874" s="15"/>
      <c r="L874" s="15"/>
      <c r="M874" s="15"/>
      <c r="N874" s="15"/>
      <c r="O874" s="15"/>
    </row>
    <row r="875" spans="1:15" ht="19.8" x14ac:dyDescent="0.5">
      <c r="A875" s="58"/>
      <c r="B875" s="15"/>
      <c r="C875" s="15"/>
      <c r="D875" s="15"/>
      <c r="E875" s="15"/>
      <c r="F875" s="15"/>
      <c r="G875" s="15"/>
      <c r="H875" s="15"/>
      <c r="I875" s="15"/>
      <c r="J875" s="15"/>
      <c r="K875" s="15"/>
      <c r="L875" s="15"/>
      <c r="M875" s="15"/>
      <c r="N875" s="15"/>
      <c r="O875" s="15"/>
    </row>
    <row r="876" spans="1:15" ht="19.8" x14ac:dyDescent="0.5">
      <c r="A876" s="58"/>
      <c r="B876" s="15"/>
      <c r="C876" s="15"/>
      <c r="D876" s="15"/>
      <c r="E876" s="15"/>
      <c r="F876" s="15"/>
      <c r="G876" s="15"/>
      <c r="H876" s="15"/>
      <c r="I876" s="15"/>
      <c r="J876" s="15"/>
      <c r="K876" s="15"/>
      <c r="L876" s="15"/>
      <c r="M876" s="15"/>
      <c r="N876" s="15"/>
      <c r="O876" s="15"/>
    </row>
    <row r="877" spans="1:15" ht="19.8" x14ac:dyDescent="0.5">
      <c r="A877" s="58"/>
      <c r="B877" s="15"/>
      <c r="C877" s="15"/>
      <c r="D877" s="15"/>
      <c r="E877" s="15"/>
      <c r="F877" s="15"/>
      <c r="G877" s="15"/>
      <c r="H877" s="15"/>
      <c r="I877" s="15"/>
      <c r="J877" s="15"/>
      <c r="K877" s="15"/>
      <c r="L877" s="15"/>
      <c r="M877" s="15"/>
      <c r="N877" s="15"/>
      <c r="O877" s="15"/>
    </row>
    <row r="878" spans="1:15" ht="19.8" x14ac:dyDescent="0.5">
      <c r="A878" s="58"/>
      <c r="B878" s="15"/>
      <c r="C878" s="15"/>
      <c r="D878" s="15"/>
      <c r="E878" s="15"/>
      <c r="F878" s="15"/>
      <c r="G878" s="15"/>
      <c r="H878" s="15"/>
      <c r="I878" s="15"/>
      <c r="J878" s="15"/>
      <c r="K878" s="15"/>
      <c r="L878" s="15"/>
      <c r="M878" s="15"/>
      <c r="N878" s="15"/>
      <c r="O878" s="15"/>
    </row>
    <row r="879" spans="1:15" ht="19.8" x14ac:dyDescent="0.5">
      <c r="A879" s="58"/>
      <c r="B879" s="15"/>
      <c r="C879" s="15"/>
      <c r="D879" s="15"/>
      <c r="E879" s="15"/>
      <c r="F879" s="15"/>
      <c r="G879" s="15"/>
      <c r="H879" s="15"/>
      <c r="I879" s="15"/>
      <c r="J879" s="15"/>
      <c r="K879" s="15"/>
      <c r="L879" s="15"/>
      <c r="M879" s="15"/>
      <c r="N879" s="15"/>
      <c r="O879" s="15"/>
    </row>
    <row r="880" spans="1:15" ht="19.8" x14ac:dyDescent="0.5">
      <c r="A880" s="58"/>
      <c r="B880" s="15"/>
      <c r="C880" s="15"/>
      <c r="D880" s="15"/>
      <c r="E880" s="15"/>
      <c r="F880" s="15"/>
      <c r="G880" s="15"/>
      <c r="H880" s="15"/>
      <c r="I880" s="15"/>
      <c r="J880" s="15"/>
      <c r="K880" s="15"/>
      <c r="L880" s="15"/>
      <c r="M880" s="15"/>
      <c r="N880" s="15"/>
      <c r="O880" s="15"/>
    </row>
    <row r="881" spans="1:15" ht="19.8" x14ac:dyDescent="0.5">
      <c r="A881" s="58"/>
      <c r="B881" s="15"/>
      <c r="C881" s="15"/>
      <c r="D881" s="15"/>
      <c r="E881" s="15"/>
      <c r="F881" s="15"/>
      <c r="G881" s="15"/>
      <c r="H881" s="15"/>
      <c r="I881" s="15"/>
      <c r="J881" s="15"/>
      <c r="K881" s="15"/>
      <c r="L881" s="15"/>
      <c r="M881" s="15"/>
      <c r="N881" s="15"/>
      <c r="O881" s="15"/>
    </row>
    <row r="882" spans="1:15" ht="19.8" x14ac:dyDescent="0.5">
      <c r="A882" s="58"/>
      <c r="B882" s="15"/>
      <c r="C882" s="15"/>
      <c r="D882" s="15"/>
      <c r="E882" s="15"/>
      <c r="F882" s="15"/>
      <c r="G882" s="15"/>
      <c r="H882" s="15"/>
      <c r="I882" s="15"/>
      <c r="J882" s="15"/>
      <c r="K882" s="15"/>
      <c r="L882" s="15"/>
      <c r="M882" s="15"/>
      <c r="N882" s="15"/>
      <c r="O882" s="15"/>
    </row>
    <row r="883" spans="1:15" ht="19.8" x14ac:dyDescent="0.5">
      <c r="A883" s="58"/>
      <c r="B883" s="15"/>
      <c r="C883" s="15"/>
      <c r="D883" s="15"/>
      <c r="E883" s="15"/>
      <c r="F883" s="15"/>
      <c r="G883" s="15"/>
      <c r="H883" s="15"/>
      <c r="I883" s="15"/>
      <c r="J883" s="15"/>
      <c r="K883" s="15"/>
      <c r="L883" s="15"/>
      <c r="M883" s="15"/>
      <c r="N883" s="15"/>
      <c r="O883" s="15"/>
    </row>
    <row r="884" spans="1:15" ht="19.8" x14ac:dyDescent="0.5">
      <c r="A884" s="58"/>
      <c r="B884" s="15"/>
      <c r="C884" s="15"/>
      <c r="D884" s="15"/>
      <c r="E884" s="15"/>
      <c r="F884" s="15"/>
      <c r="G884" s="15"/>
      <c r="H884" s="15"/>
      <c r="I884" s="15"/>
      <c r="J884" s="15"/>
      <c r="K884" s="15"/>
      <c r="L884" s="15"/>
      <c r="M884" s="15"/>
      <c r="N884" s="15"/>
      <c r="O884" s="15"/>
    </row>
    <row r="885" spans="1:15" ht="19.8" x14ac:dyDescent="0.5">
      <c r="A885" s="58"/>
      <c r="B885" s="15"/>
      <c r="C885" s="15"/>
      <c r="D885" s="15"/>
      <c r="E885" s="15"/>
      <c r="F885" s="15"/>
      <c r="G885" s="15"/>
      <c r="H885" s="15"/>
      <c r="I885" s="15"/>
      <c r="J885" s="15"/>
      <c r="K885" s="15"/>
      <c r="L885" s="15"/>
      <c r="M885" s="15"/>
      <c r="N885" s="15"/>
      <c r="O885" s="15"/>
    </row>
    <row r="886" spans="1:15" ht="19.8" x14ac:dyDescent="0.5">
      <c r="A886" s="58"/>
      <c r="B886" s="15"/>
      <c r="C886" s="15"/>
      <c r="D886" s="15"/>
      <c r="E886" s="15"/>
      <c r="F886" s="15"/>
      <c r="G886" s="15"/>
      <c r="H886" s="15"/>
      <c r="I886" s="15"/>
      <c r="J886" s="15"/>
      <c r="K886" s="15"/>
      <c r="L886" s="15"/>
      <c r="M886" s="15"/>
      <c r="N886" s="15"/>
      <c r="O886" s="15"/>
    </row>
    <row r="887" spans="1:15" ht="19.8" x14ac:dyDescent="0.5">
      <c r="A887" s="58"/>
      <c r="B887" s="15"/>
      <c r="C887" s="15"/>
      <c r="D887" s="15"/>
      <c r="E887" s="15"/>
      <c r="F887" s="15"/>
      <c r="G887" s="15"/>
      <c r="H887" s="15"/>
      <c r="I887" s="15"/>
      <c r="J887" s="15"/>
      <c r="K887" s="15"/>
      <c r="L887" s="15"/>
      <c r="M887" s="15"/>
      <c r="N887" s="15"/>
      <c r="O887" s="15"/>
    </row>
    <row r="888" spans="1:15" ht="19.8" x14ac:dyDescent="0.5">
      <c r="A888" s="58"/>
      <c r="B888" s="15"/>
      <c r="C888" s="15"/>
      <c r="D888" s="15"/>
      <c r="E888" s="15"/>
      <c r="F888" s="15"/>
      <c r="G888" s="15"/>
      <c r="H888" s="15"/>
      <c r="I888" s="15"/>
      <c r="J888" s="15"/>
      <c r="K888" s="15"/>
      <c r="L888" s="15"/>
      <c r="M888" s="15"/>
      <c r="N888" s="15"/>
      <c r="O888" s="15"/>
    </row>
    <row r="889" spans="1:15" ht="19.8" x14ac:dyDescent="0.5">
      <c r="A889" s="58"/>
      <c r="B889" s="15"/>
      <c r="C889" s="15"/>
      <c r="D889" s="15"/>
      <c r="E889" s="15"/>
      <c r="F889" s="15"/>
      <c r="G889" s="15"/>
      <c r="H889" s="15"/>
      <c r="I889" s="15"/>
      <c r="J889" s="15"/>
      <c r="K889" s="15"/>
      <c r="L889" s="15"/>
      <c r="M889" s="15"/>
      <c r="N889" s="15"/>
      <c r="O889" s="15"/>
    </row>
    <row r="890" spans="1:15" ht="19.8" x14ac:dyDescent="0.5">
      <c r="A890" s="58"/>
      <c r="B890" s="15"/>
      <c r="C890" s="15"/>
      <c r="D890" s="15"/>
      <c r="E890" s="15"/>
      <c r="F890" s="15"/>
      <c r="G890" s="15"/>
      <c r="H890" s="15"/>
      <c r="I890" s="15"/>
      <c r="J890" s="15"/>
      <c r="K890" s="15"/>
      <c r="L890" s="15"/>
      <c r="M890" s="15"/>
      <c r="N890" s="15"/>
      <c r="O890" s="15"/>
    </row>
    <row r="891" spans="1:15" ht="19.8" x14ac:dyDescent="0.5">
      <c r="A891" s="58"/>
      <c r="B891" s="15"/>
      <c r="C891" s="15"/>
      <c r="D891" s="15"/>
      <c r="E891" s="15"/>
      <c r="F891" s="15"/>
      <c r="G891" s="15"/>
      <c r="H891" s="15"/>
      <c r="I891" s="15"/>
      <c r="J891" s="15"/>
      <c r="K891" s="15"/>
      <c r="L891" s="15"/>
      <c r="M891" s="15"/>
      <c r="N891" s="15"/>
      <c r="O891" s="15"/>
    </row>
    <row r="892" spans="1:15" ht="19.8" x14ac:dyDescent="0.5">
      <c r="A892" s="58"/>
      <c r="B892" s="15"/>
      <c r="C892" s="15"/>
      <c r="D892" s="15"/>
      <c r="E892" s="15"/>
      <c r="F892" s="15"/>
      <c r="G892" s="15"/>
      <c r="H892" s="15"/>
      <c r="I892" s="15"/>
      <c r="J892" s="15"/>
      <c r="K892" s="15"/>
      <c r="L892" s="15"/>
      <c r="M892" s="15"/>
      <c r="N892" s="15"/>
      <c r="O892" s="15"/>
    </row>
    <row r="893" spans="1:15" ht="19.8" x14ac:dyDescent="0.5">
      <c r="A893" s="58"/>
      <c r="B893" s="15"/>
      <c r="C893" s="15"/>
      <c r="D893" s="15"/>
      <c r="E893" s="15"/>
      <c r="F893" s="15"/>
      <c r="G893" s="15"/>
      <c r="H893" s="15"/>
      <c r="I893" s="15"/>
      <c r="J893" s="15"/>
      <c r="K893" s="15"/>
      <c r="L893" s="15"/>
      <c r="M893" s="15"/>
      <c r="N893" s="15"/>
      <c r="O893" s="15"/>
    </row>
    <row r="894" spans="1:15" ht="19.8" x14ac:dyDescent="0.5">
      <c r="A894" s="58"/>
      <c r="B894" s="15"/>
      <c r="C894" s="15"/>
      <c r="D894" s="15"/>
      <c r="E894" s="15"/>
      <c r="F894" s="15"/>
      <c r="G894" s="15"/>
      <c r="H894" s="15"/>
      <c r="I894" s="15"/>
      <c r="J894" s="15"/>
      <c r="K894" s="15"/>
      <c r="L894" s="15"/>
      <c r="M894" s="15"/>
      <c r="N894" s="15"/>
      <c r="O894" s="15"/>
    </row>
    <row r="895" spans="1:15" ht="19.8" x14ac:dyDescent="0.5">
      <c r="A895" s="58"/>
      <c r="B895" s="15"/>
      <c r="C895" s="15"/>
      <c r="D895" s="15"/>
      <c r="E895" s="15"/>
      <c r="F895" s="15"/>
      <c r="G895" s="15"/>
      <c r="H895" s="15"/>
      <c r="I895" s="15"/>
      <c r="J895" s="15"/>
      <c r="K895" s="15"/>
      <c r="L895" s="15"/>
      <c r="M895" s="15"/>
      <c r="N895" s="15"/>
      <c r="O895" s="15"/>
    </row>
    <row r="896" spans="1:15" ht="19.8" x14ac:dyDescent="0.5">
      <c r="A896" s="58"/>
      <c r="B896" s="15"/>
      <c r="C896" s="15"/>
      <c r="D896" s="15"/>
      <c r="E896" s="15"/>
      <c r="F896" s="15"/>
      <c r="G896" s="15"/>
      <c r="H896" s="15"/>
      <c r="I896" s="15"/>
      <c r="J896" s="15"/>
      <c r="K896" s="15"/>
      <c r="L896" s="15"/>
      <c r="M896" s="15"/>
      <c r="N896" s="15"/>
      <c r="O896" s="15"/>
    </row>
    <row r="897" spans="1:15" ht="19.8" x14ac:dyDescent="0.5">
      <c r="A897" s="58"/>
      <c r="B897" s="15"/>
      <c r="C897" s="15"/>
      <c r="D897" s="15"/>
      <c r="E897" s="15"/>
      <c r="F897" s="15"/>
      <c r="G897" s="15"/>
      <c r="H897" s="15"/>
      <c r="I897" s="15"/>
      <c r="J897" s="15"/>
      <c r="K897" s="15"/>
      <c r="L897" s="15"/>
      <c r="M897" s="15"/>
      <c r="N897" s="15"/>
      <c r="O897" s="15"/>
    </row>
    <row r="898" spans="1:15" ht="19.8" x14ac:dyDescent="0.5">
      <c r="A898" s="58"/>
      <c r="B898" s="15"/>
      <c r="C898" s="15"/>
      <c r="D898" s="15"/>
      <c r="E898" s="15"/>
      <c r="F898" s="15"/>
      <c r="G898" s="15"/>
      <c r="H898" s="15"/>
      <c r="I898" s="15"/>
      <c r="J898" s="15"/>
      <c r="K898" s="15"/>
      <c r="L898" s="15"/>
      <c r="M898" s="15"/>
      <c r="N898" s="15"/>
      <c r="O898" s="15"/>
    </row>
    <row r="899" spans="1:15" ht="19.8" x14ac:dyDescent="0.5">
      <c r="A899" s="58"/>
      <c r="B899" s="15"/>
      <c r="C899" s="15"/>
      <c r="D899" s="15"/>
      <c r="E899" s="15"/>
      <c r="F899" s="15"/>
      <c r="G899" s="15"/>
      <c r="H899" s="15"/>
      <c r="I899" s="15"/>
      <c r="J899" s="15"/>
      <c r="K899" s="15"/>
      <c r="L899" s="15"/>
      <c r="M899" s="15"/>
      <c r="N899" s="15"/>
      <c r="O899" s="15"/>
    </row>
    <row r="900" spans="1:15" ht="19.8" x14ac:dyDescent="0.5">
      <c r="A900" s="58"/>
      <c r="B900" s="15"/>
      <c r="C900" s="15"/>
      <c r="D900" s="15"/>
      <c r="E900" s="15"/>
      <c r="F900" s="15"/>
      <c r="G900" s="15"/>
      <c r="H900" s="15"/>
      <c r="I900" s="15"/>
      <c r="J900" s="15"/>
      <c r="K900" s="15"/>
      <c r="L900" s="15"/>
      <c r="M900" s="15"/>
      <c r="N900" s="15"/>
      <c r="O900" s="15"/>
    </row>
    <row r="901" spans="1:15" ht="19.8" x14ac:dyDescent="0.5">
      <c r="A901" s="58"/>
      <c r="B901" s="15"/>
      <c r="C901" s="15"/>
      <c r="D901" s="15"/>
      <c r="E901" s="15"/>
      <c r="F901" s="15"/>
      <c r="G901" s="15"/>
      <c r="H901" s="15"/>
      <c r="I901" s="15"/>
      <c r="J901" s="15"/>
      <c r="K901" s="15"/>
      <c r="L901" s="15"/>
      <c r="M901" s="15"/>
      <c r="N901" s="15"/>
      <c r="O901" s="15"/>
    </row>
    <row r="902" spans="1:15" ht="19.8" x14ac:dyDescent="0.5">
      <c r="A902" s="58"/>
      <c r="B902" s="15"/>
      <c r="C902" s="15"/>
      <c r="D902" s="15"/>
      <c r="E902" s="15"/>
      <c r="F902" s="15"/>
      <c r="G902" s="15"/>
      <c r="H902" s="15"/>
      <c r="I902" s="15"/>
      <c r="J902" s="15"/>
      <c r="K902" s="15"/>
      <c r="L902" s="15"/>
      <c r="M902" s="15"/>
      <c r="N902" s="15"/>
      <c r="O902" s="15"/>
    </row>
    <row r="903" spans="1:15" ht="19.8" x14ac:dyDescent="0.5">
      <c r="A903" s="58"/>
      <c r="B903" s="15"/>
      <c r="C903" s="15"/>
      <c r="D903" s="15"/>
      <c r="E903" s="15"/>
      <c r="F903" s="15"/>
      <c r="G903" s="15"/>
      <c r="H903" s="15"/>
      <c r="I903" s="15"/>
      <c r="J903" s="15"/>
      <c r="K903" s="15"/>
      <c r="L903" s="15"/>
      <c r="M903" s="15"/>
      <c r="N903" s="15"/>
      <c r="O903" s="15"/>
    </row>
    <row r="904" spans="1:15" ht="19.8" x14ac:dyDescent="0.5">
      <c r="A904" s="58"/>
      <c r="B904" s="15"/>
      <c r="C904" s="15"/>
      <c r="D904" s="15"/>
      <c r="E904" s="15"/>
      <c r="F904" s="15"/>
      <c r="G904" s="15"/>
      <c r="H904" s="15"/>
      <c r="I904" s="15"/>
      <c r="J904" s="15"/>
      <c r="K904" s="15"/>
      <c r="L904" s="15"/>
      <c r="M904" s="15"/>
      <c r="N904" s="15"/>
      <c r="O904" s="15"/>
    </row>
    <row r="905" spans="1:15" ht="19.8" x14ac:dyDescent="0.5">
      <c r="A905" s="58"/>
      <c r="B905" s="15"/>
      <c r="C905" s="15"/>
      <c r="D905" s="15"/>
      <c r="E905" s="15"/>
      <c r="F905" s="15"/>
      <c r="G905" s="15"/>
      <c r="H905" s="15"/>
      <c r="I905" s="15"/>
      <c r="J905" s="15"/>
      <c r="K905" s="15"/>
      <c r="L905" s="15"/>
      <c r="M905" s="15"/>
      <c r="N905" s="15"/>
      <c r="O905" s="15"/>
    </row>
    <row r="906" spans="1:15" ht="19.8" x14ac:dyDescent="0.5">
      <c r="A906" s="58"/>
      <c r="B906" s="15"/>
      <c r="C906" s="15"/>
      <c r="D906" s="15"/>
      <c r="E906" s="15"/>
      <c r="F906" s="15"/>
      <c r="G906" s="15"/>
      <c r="H906" s="15"/>
      <c r="I906" s="15"/>
      <c r="J906" s="15"/>
      <c r="K906" s="15"/>
      <c r="L906" s="15"/>
      <c r="M906" s="15"/>
      <c r="N906" s="15"/>
      <c r="O906" s="15"/>
    </row>
    <row r="907" spans="1:15" ht="19.8" x14ac:dyDescent="0.5">
      <c r="A907" s="58"/>
      <c r="B907" s="15"/>
      <c r="C907" s="15"/>
      <c r="D907" s="15"/>
      <c r="E907" s="15"/>
      <c r="F907" s="15"/>
      <c r="G907" s="15"/>
      <c r="H907" s="15"/>
      <c r="I907" s="15"/>
      <c r="J907" s="15"/>
      <c r="K907" s="15"/>
      <c r="L907" s="15"/>
      <c r="M907" s="15"/>
      <c r="N907" s="15"/>
      <c r="O907" s="15"/>
    </row>
    <row r="908" spans="1:15" ht="19.8" x14ac:dyDescent="0.5">
      <c r="A908" s="58"/>
      <c r="B908" s="15"/>
      <c r="C908" s="15"/>
      <c r="D908" s="15"/>
      <c r="E908" s="15"/>
      <c r="F908" s="15"/>
      <c r="G908" s="15"/>
      <c r="H908" s="15"/>
      <c r="I908" s="15"/>
      <c r="J908" s="15"/>
      <c r="K908" s="15"/>
      <c r="L908" s="15"/>
      <c r="M908" s="15"/>
      <c r="N908" s="15"/>
      <c r="O908" s="15"/>
    </row>
    <row r="909" spans="1:15" ht="19.8" x14ac:dyDescent="0.5">
      <c r="A909" s="58"/>
      <c r="B909" s="15"/>
      <c r="C909" s="15"/>
      <c r="D909" s="15"/>
      <c r="E909" s="15"/>
      <c r="F909" s="15"/>
      <c r="G909" s="15"/>
      <c r="H909" s="15"/>
      <c r="I909" s="15"/>
      <c r="J909" s="15"/>
      <c r="K909" s="15"/>
      <c r="L909" s="15"/>
      <c r="M909" s="15"/>
      <c r="N909" s="15"/>
      <c r="O909" s="15"/>
    </row>
    <row r="910" spans="1:15" ht="19.8" x14ac:dyDescent="0.5">
      <c r="A910" s="58"/>
      <c r="B910" s="15"/>
      <c r="C910" s="15"/>
      <c r="D910" s="15"/>
      <c r="E910" s="15"/>
      <c r="F910" s="15"/>
      <c r="G910" s="15"/>
      <c r="H910" s="15"/>
      <c r="I910" s="15"/>
      <c r="J910" s="15"/>
      <c r="K910" s="15"/>
      <c r="L910" s="15"/>
      <c r="M910" s="15"/>
      <c r="N910" s="15"/>
      <c r="O910" s="15"/>
    </row>
    <row r="911" spans="1:15" ht="19.8" x14ac:dyDescent="0.5">
      <c r="A911" s="58"/>
      <c r="B911" s="15"/>
      <c r="C911" s="15"/>
      <c r="D911" s="15"/>
      <c r="E911" s="15"/>
      <c r="F911" s="15"/>
      <c r="G911" s="15"/>
      <c r="H911" s="15"/>
      <c r="I911" s="15"/>
      <c r="J911" s="15"/>
      <c r="K911" s="15"/>
      <c r="L911" s="15"/>
      <c r="M911" s="15"/>
      <c r="N911" s="15"/>
      <c r="O911" s="15"/>
    </row>
    <row r="912" spans="1:15" ht="19.8" x14ac:dyDescent="0.5">
      <c r="A912" s="58"/>
      <c r="B912" s="15"/>
      <c r="C912" s="15"/>
      <c r="D912" s="15"/>
      <c r="E912" s="15"/>
      <c r="F912" s="15"/>
      <c r="G912" s="15"/>
      <c r="H912" s="15"/>
      <c r="I912" s="15"/>
      <c r="J912" s="15"/>
      <c r="K912" s="15"/>
      <c r="L912" s="15"/>
      <c r="M912" s="15"/>
      <c r="N912" s="15"/>
      <c r="O912" s="15"/>
    </row>
    <row r="913" spans="1:15" ht="19.8" x14ac:dyDescent="0.5">
      <c r="A913" s="58"/>
      <c r="B913" s="15"/>
      <c r="C913" s="15"/>
      <c r="D913" s="15"/>
      <c r="E913" s="15"/>
      <c r="F913" s="15"/>
      <c r="G913" s="15"/>
      <c r="H913" s="15"/>
      <c r="I913" s="15"/>
      <c r="J913" s="15"/>
      <c r="K913" s="15"/>
      <c r="L913" s="15"/>
      <c r="M913" s="15"/>
      <c r="N913" s="15"/>
      <c r="O913" s="15"/>
    </row>
    <row r="914" spans="1:15" ht="19.8" x14ac:dyDescent="0.5">
      <c r="A914" s="58"/>
      <c r="B914" s="15"/>
      <c r="C914" s="15"/>
      <c r="D914" s="15"/>
      <c r="E914" s="15"/>
      <c r="F914" s="15"/>
      <c r="G914" s="15"/>
      <c r="H914" s="15"/>
      <c r="I914" s="15"/>
      <c r="J914" s="15"/>
      <c r="K914" s="15"/>
      <c r="L914" s="15"/>
      <c r="M914" s="15"/>
      <c r="N914" s="15"/>
      <c r="O914" s="15"/>
    </row>
    <row r="915" spans="1:15" ht="19.8" x14ac:dyDescent="0.5">
      <c r="A915" s="58"/>
      <c r="B915" s="15"/>
      <c r="C915" s="15"/>
      <c r="D915" s="15"/>
      <c r="E915" s="15"/>
      <c r="F915" s="15"/>
      <c r="G915" s="15"/>
      <c r="H915" s="15"/>
      <c r="I915" s="15"/>
      <c r="J915" s="15"/>
      <c r="K915" s="15"/>
      <c r="L915" s="15"/>
      <c r="M915" s="15"/>
      <c r="N915" s="15"/>
      <c r="O915" s="15"/>
    </row>
    <row r="916" spans="1:15" ht="19.8" x14ac:dyDescent="0.5">
      <c r="A916" s="58"/>
      <c r="B916" s="15"/>
      <c r="C916" s="15"/>
      <c r="D916" s="15"/>
      <c r="E916" s="15"/>
      <c r="F916" s="15"/>
      <c r="G916" s="15"/>
      <c r="H916" s="15"/>
      <c r="I916" s="15"/>
      <c r="J916" s="15"/>
      <c r="K916" s="15"/>
      <c r="L916" s="15"/>
      <c r="M916" s="15"/>
      <c r="N916" s="15"/>
      <c r="O916" s="15"/>
    </row>
    <row r="917" spans="1:15" ht="19.8" x14ac:dyDescent="0.5">
      <c r="A917" s="58"/>
      <c r="B917" s="15"/>
      <c r="C917" s="15"/>
      <c r="D917" s="15"/>
      <c r="E917" s="15"/>
      <c r="F917" s="15"/>
      <c r="G917" s="15"/>
      <c r="H917" s="15"/>
      <c r="I917" s="15"/>
      <c r="J917" s="15"/>
      <c r="K917" s="15"/>
      <c r="L917" s="15"/>
      <c r="M917" s="15"/>
      <c r="N917" s="15"/>
      <c r="O917" s="15"/>
    </row>
    <row r="918" spans="1:15" ht="19.8" x14ac:dyDescent="0.5">
      <c r="A918" s="58"/>
      <c r="B918" s="15"/>
      <c r="C918" s="15"/>
      <c r="D918" s="15"/>
      <c r="E918" s="15"/>
      <c r="F918" s="15"/>
      <c r="G918" s="15"/>
      <c r="H918" s="15"/>
      <c r="I918" s="15"/>
      <c r="J918" s="15"/>
      <c r="K918" s="15"/>
      <c r="L918" s="15"/>
      <c r="M918" s="15"/>
      <c r="N918" s="15"/>
      <c r="O918" s="15"/>
    </row>
    <row r="919" spans="1:15" ht="19.8" x14ac:dyDescent="0.5">
      <c r="A919" s="58"/>
      <c r="B919" s="15"/>
      <c r="C919" s="15"/>
      <c r="D919" s="15"/>
      <c r="E919" s="15"/>
      <c r="F919" s="15"/>
      <c r="G919" s="15"/>
      <c r="H919" s="15"/>
      <c r="I919" s="15"/>
      <c r="J919" s="15"/>
      <c r="K919" s="15"/>
      <c r="L919" s="15"/>
      <c r="M919" s="15"/>
      <c r="N919" s="15"/>
      <c r="O919" s="15"/>
    </row>
    <row r="920" spans="1:15" ht="19.8" x14ac:dyDescent="0.5">
      <c r="A920" s="58"/>
      <c r="B920" s="15"/>
      <c r="C920" s="15"/>
      <c r="D920" s="15"/>
      <c r="E920" s="15"/>
      <c r="F920" s="15"/>
      <c r="G920" s="15"/>
      <c r="H920" s="15"/>
      <c r="I920" s="15"/>
      <c r="J920" s="15"/>
      <c r="K920" s="15"/>
      <c r="L920" s="15"/>
      <c r="M920" s="15"/>
      <c r="N920" s="15"/>
      <c r="O920" s="15"/>
    </row>
    <row r="921" spans="1:15" ht="19.8" x14ac:dyDescent="0.5">
      <c r="A921" s="58"/>
      <c r="B921" s="15"/>
      <c r="C921" s="15"/>
      <c r="D921" s="15"/>
      <c r="E921" s="15"/>
      <c r="F921" s="15"/>
      <c r="G921" s="15"/>
      <c r="H921" s="15"/>
      <c r="I921" s="15"/>
      <c r="J921" s="15"/>
      <c r="K921" s="15"/>
      <c r="L921" s="15"/>
      <c r="M921" s="15"/>
      <c r="N921" s="15"/>
      <c r="O921" s="15"/>
    </row>
    <row r="922" spans="1:15" ht="19.8" x14ac:dyDescent="0.5">
      <c r="A922" s="58"/>
      <c r="B922" s="15"/>
      <c r="C922" s="15"/>
      <c r="D922" s="15"/>
      <c r="E922" s="15"/>
      <c r="F922" s="15"/>
      <c r="G922" s="15"/>
      <c r="H922" s="15"/>
      <c r="I922" s="15"/>
      <c r="J922" s="15"/>
      <c r="K922" s="15"/>
      <c r="L922" s="15"/>
      <c r="M922" s="15"/>
      <c r="N922" s="15"/>
      <c r="O922" s="15"/>
    </row>
    <row r="923" spans="1:15" ht="19.8" x14ac:dyDescent="0.5">
      <c r="A923" s="58"/>
      <c r="B923" s="15"/>
      <c r="C923" s="15"/>
      <c r="D923" s="15"/>
      <c r="E923" s="15"/>
      <c r="F923" s="15"/>
      <c r="G923" s="15"/>
      <c r="H923" s="15"/>
      <c r="I923" s="15"/>
      <c r="J923" s="15"/>
      <c r="K923" s="15"/>
      <c r="L923" s="15"/>
      <c r="M923" s="15"/>
      <c r="N923" s="15"/>
      <c r="O923" s="15"/>
    </row>
    <row r="924" spans="1:15" ht="19.8" x14ac:dyDescent="0.5">
      <c r="A924" s="58"/>
      <c r="B924" s="15"/>
      <c r="C924" s="15"/>
      <c r="D924" s="15"/>
      <c r="E924" s="15"/>
      <c r="F924" s="15"/>
      <c r="G924" s="15"/>
      <c r="H924" s="15"/>
      <c r="I924" s="15"/>
      <c r="J924" s="15"/>
      <c r="K924" s="15"/>
      <c r="L924" s="15"/>
      <c r="M924" s="15"/>
      <c r="N924" s="15"/>
      <c r="O924" s="15"/>
    </row>
    <row r="925" spans="1:15" ht="19.8" x14ac:dyDescent="0.5">
      <c r="A925" s="58"/>
      <c r="B925" s="15"/>
      <c r="C925" s="15"/>
      <c r="D925" s="15"/>
      <c r="E925" s="15"/>
      <c r="F925" s="15"/>
      <c r="G925" s="15"/>
      <c r="H925" s="15"/>
      <c r="I925" s="15"/>
      <c r="J925" s="15"/>
      <c r="K925" s="15"/>
      <c r="L925" s="15"/>
      <c r="M925" s="15"/>
      <c r="N925" s="15"/>
      <c r="O925" s="15"/>
    </row>
    <row r="926" spans="1:15" ht="19.8" x14ac:dyDescent="0.5">
      <c r="A926" s="58"/>
      <c r="B926" s="15"/>
      <c r="C926" s="15"/>
      <c r="D926" s="15"/>
      <c r="E926" s="15"/>
      <c r="F926" s="15"/>
      <c r="G926" s="15"/>
      <c r="H926" s="15"/>
      <c r="I926" s="15"/>
      <c r="J926" s="15"/>
      <c r="K926" s="15"/>
      <c r="L926" s="15"/>
      <c r="M926" s="15"/>
      <c r="N926" s="15"/>
      <c r="O926" s="15"/>
    </row>
    <row r="927" spans="1:15" ht="19.8" x14ac:dyDescent="0.5">
      <c r="A927" s="58"/>
      <c r="B927" s="15"/>
      <c r="C927" s="15"/>
      <c r="D927" s="15"/>
      <c r="E927" s="15"/>
      <c r="F927" s="15"/>
      <c r="G927" s="15"/>
      <c r="H927" s="15"/>
      <c r="I927" s="15"/>
      <c r="J927" s="15"/>
      <c r="K927" s="15"/>
      <c r="L927" s="15"/>
      <c r="M927" s="15"/>
      <c r="N927" s="15"/>
      <c r="O927" s="15"/>
    </row>
    <row r="928" spans="1:15" ht="19.8" x14ac:dyDescent="0.5">
      <c r="A928" s="58"/>
      <c r="B928" s="15"/>
      <c r="C928" s="15"/>
      <c r="D928" s="15"/>
      <c r="E928" s="15"/>
      <c r="F928" s="15"/>
      <c r="G928" s="15"/>
      <c r="H928" s="15"/>
      <c r="I928" s="15"/>
      <c r="J928" s="15"/>
      <c r="K928" s="15"/>
      <c r="L928" s="15"/>
      <c r="M928" s="15"/>
      <c r="N928" s="15"/>
      <c r="O928" s="15"/>
    </row>
    <row r="929" spans="1:15" ht="19.8" x14ac:dyDescent="0.5">
      <c r="A929" s="58"/>
      <c r="B929" s="15"/>
      <c r="C929" s="15"/>
      <c r="D929" s="15"/>
      <c r="E929" s="15"/>
      <c r="F929" s="15"/>
      <c r="G929" s="15"/>
      <c r="H929" s="15"/>
      <c r="I929" s="15"/>
      <c r="J929" s="15"/>
      <c r="K929" s="15"/>
      <c r="L929" s="15"/>
      <c r="M929" s="15"/>
      <c r="N929" s="15"/>
      <c r="O929" s="15"/>
    </row>
    <row r="930" spans="1:15" ht="19.8" x14ac:dyDescent="0.5">
      <c r="A930" s="58"/>
      <c r="B930" s="15"/>
      <c r="C930" s="15"/>
      <c r="D930" s="15"/>
      <c r="E930" s="15"/>
      <c r="F930" s="15"/>
      <c r="G930" s="15"/>
      <c r="H930" s="15"/>
      <c r="I930" s="15"/>
      <c r="J930" s="15"/>
      <c r="K930" s="15"/>
      <c r="L930" s="15"/>
      <c r="M930" s="15"/>
      <c r="N930" s="15"/>
      <c r="O930" s="15"/>
    </row>
    <row r="931" spans="1:15" ht="19.8" x14ac:dyDescent="0.5">
      <c r="A931" s="58"/>
      <c r="B931" s="15"/>
      <c r="C931" s="15"/>
      <c r="D931" s="15"/>
      <c r="E931" s="15"/>
      <c r="F931" s="15"/>
      <c r="G931" s="15"/>
      <c r="H931" s="15"/>
      <c r="I931" s="15"/>
      <c r="J931" s="15"/>
      <c r="K931" s="15"/>
      <c r="L931" s="15"/>
      <c r="M931" s="15"/>
      <c r="N931" s="15"/>
      <c r="O931" s="15"/>
    </row>
    <row r="932" spans="1:15" ht="19.8" x14ac:dyDescent="0.5">
      <c r="A932" s="58"/>
      <c r="B932" s="15"/>
      <c r="C932" s="15"/>
      <c r="D932" s="15"/>
      <c r="E932" s="15"/>
      <c r="F932" s="15"/>
      <c r="G932" s="15"/>
      <c r="H932" s="15"/>
      <c r="I932" s="15"/>
      <c r="J932" s="15"/>
      <c r="K932" s="15"/>
      <c r="L932" s="15"/>
      <c r="M932" s="15"/>
      <c r="N932" s="15"/>
      <c r="O932" s="15"/>
    </row>
    <row r="933" spans="1:15" ht="19.8" x14ac:dyDescent="0.5">
      <c r="A933" s="58"/>
      <c r="B933" s="15"/>
      <c r="C933" s="15"/>
      <c r="D933" s="15"/>
      <c r="E933" s="15"/>
      <c r="F933" s="15"/>
      <c r="G933" s="15"/>
      <c r="H933" s="15"/>
      <c r="I933" s="15"/>
      <c r="J933" s="15"/>
      <c r="K933" s="15"/>
      <c r="L933" s="15"/>
      <c r="M933" s="15"/>
      <c r="N933" s="15"/>
      <c r="O933" s="15"/>
    </row>
    <row r="934" spans="1:15" ht="19.8" x14ac:dyDescent="0.5">
      <c r="A934" s="58"/>
      <c r="B934" s="15"/>
      <c r="C934" s="15"/>
      <c r="D934" s="15"/>
      <c r="E934" s="15"/>
      <c r="F934" s="15"/>
      <c r="G934" s="15"/>
      <c r="H934" s="15"/>
      <c r="I934" s="15"/>
      <c r="J934" s="15"/>
      <c r="K934" s="15"/>
      <c r="L934" s="15"/>
      <c r="M934" s="15"/>
      <c r="N934" s="15"/>
      <c r="O934" s="15"/>
    </row>
    <row r="935" spans="1:15" ht="19.8" x14ac:dyDescent="0.5">
      <c r="A935" s="58"/>
      <c r="B935" s="15"/>
      <c r="C935" s="15"/>
      <c r="D935" s="15"/>
      <c r="E935" s="15"/>
      <c r="F935" s="15"/>
      <c r="G935" s="15"/>
      <c r="H935" s="15"/>
      <c r="I935" s="15"/>
      <c r="J935" s="15"/>
      <c r="K935" s="15"/>
      <c r="L935" s="15"/>
      <c r="M935" s="15"/>
      <c r="N935" s="15"/>
      <c r="O935" s="15"/>
    </row>
    <row r="936" spans="1:15" ht="19.8" x14ac:dyDescent="0.5">
      <c r="A936" s="58"/>
      <c r="B936" s="15"/>
      <c r="C936" s="15"/>
      <c r="D936" s="15"/>
      <c r="E936" s="15"/>
      <c r="F936" s="15"/>
      <c r="G936" s="15"/>
      <c r="H936" s="15"/>
      <c r="I936" s="15"/>
      <c r="J936" s="15"/>
      <c r="K936" s="15"/>
      <c r="L936" s="15"/>
      <c r="M936" s="15"/>
      <c r="N936" s="15"/>
      <c r="O936" s="15"/>
    </row>
    <row r="937" spans="1:15" ht="19.8" x14ac:dyDescent="0.5">
      <c r="A937" s="58"/>
      <c r="B937" s="15"/>
      <c r="C937" s="15"/>
      <c r="D937" s="15"/>
      <c r="E937" s="15"/>
      <c r="F937" s="15"/>
      <c r="G937" s="15"/>
      <c r="H937" s="15"/>
      <c r="I937" s="15"/>
      <c r="J937" s="15"/>
      <c r="K937" s="15"/>
      <c r="L937" s="15"/>
      <c r="M937" s="15"/>
      <c r="N937" s="15"/>
      <c r="O937" s="15"/>
    </row>
    <row r="938" spans="1:15" ht="19.8" x14ac:dyDescent="0.5">
      <c r="A938" s="58"/>
      <c r="B938" s="15"/>
      <c r="C938" s="15"/>
      <c r="D938" s="15"/>
      <c r="E938" s="15"/>
      <c r="F938" s="15"/>
      <c r="G938" s="15"/>
      <c r="H938" s="15"/>
      <c r="I938" s="15"/>
      <c r="J938" s="15"/>
      <c r="K938" s="15"/>
      <c r="L938" s="15"/>
      <c r="M938" s="15"/>
      <c r="N938" s="15"/>
      <c r="O938" s="15"/>
    </row>
    <row r="939" spans="1:15" ht="19.8" x14ac:dyDescent="0.5">
      <c r="A939" s="58"/>
      <c r="B939" s="15"/>
      <c r="C939" s="15"/>
      <c r="D939" s="15"/>
      <c r="E939" s="15"/>
      <c r="F939" s="15"/>
      <c r="G939" s="15"/>
      <c r="H939" s="15"/>
      <c r="I939" s="15"/>
      <c r="J939" s="15"/>
      <c r="K939" s="15"/>
      <c r="L939" s="15"/>
      <c r="M939" s="15"/>
      <c r="N939" s="15"/>
      <c r="O939" s="15"/>
    </row>
    <row r="940" spans="1:15" ht="19.8" x14ac:dyDescent="0.5">
      <c r="A940" s="58"/>
      <c r="B940" s="15"/>
      <c r="C940" s="15"/>
      <c r="D940" s="15"/>
      <c r="E940" s="15"/>
      <c r="F940" s="15"/>
      <c r="G940" s="15"/>
      <c r="H940" s="15"/>
      <c r="I940" s="15"/>
      <c r="J940" s="15"/>
      <c r="K940" s="15"/>
      <c r="L940" s="15"/>
      <c r="M940" s="15"/>
      <c r="N940" s="15"/>
      <c r="O940" s="15"/>
    </row>
    <row r="941" spans="1:15" ht="19.8" x14ac:dyDescent="0.5">
      <c r="A941" s="58"/>
      <c r="B941" s="15"/>
      <c r="C941" s="15"/>
      <c r="D941" s="15"/>
      <c r="E941" s="15"/>
      <c r="F941" s="15"/>
      <c r="G941" s="15"/>
      <c r="H941" s="15"/>
      <c r="I941" s="15"/>
      <c r="J941" s="15"/>
      <c r="K941" s="15"/>
      <c r="L941" s="15"/>
      <c r="M941" s="15"/>
      <c r="N941" s="15"/>
      <c r="O941" s="15"/>
    </row>
    <row r="942" spans="1:15" ht="19.8" x14ac:dyDescent="0.5">
      <c r="A942" s="58"/>
      <c r="B942" s="15"/>
      <c r="C942" s="15"/>
      <c r="D942" s="15"/>
      <c r="E942" s="15"/>
      <c r="F942" s="15"/>
      <c r="G942" s="15"/>
      <c r="H942" s="15"/>
      <c r="I942" s="15"/>
      <c r="J942" s="15"/>
      <c r="K942" s="15"/>
      <c r="L942" s="15"/>
      <c r="M942" s="15"/>
      <c r="N942" s="15"/>
      <c r="O942" s="15"/>
    </row>
    <row r="943" spans="1:15" ht="19.8" x14ac:dyDescent="0.5">
      <c r="A943" s="58"/>
      <c r="B943" s="15"/>
      <c r="C943" s="15"/>
      <c r="D943" s="15"/>
      <c r="E943" s="15"/>
      <c r="F943" s="15"/>
      <c r="G943" s="15"/>
      <c r="H943" s="15"/>
      <c r="I943" s="15"/>
      <c r="J943" s="15"/>
      <c r="K943" s="15"/>
      <c r="L943" s="15"/>
      <c r="M943" s="15"/>
      <c r="N943" s="15"/>
      <c r="O943" s="15"/>
    </row>
    <row r="944" spans="1:15" ht="19.8" x14ac:dyDescent="0.5">
      <c r="A944" s="58"/>
      <c r="B944" s="15"/>
      <c r="C944" s="15"/>
      <c r="D944" s="15"/>
      <c r="E944" s="15"/>
      <c r="F944" s="15"/>
      <c r="G944" s="15"/>
      <c r="H944" s="15"/>
      <c r="I944" s="15"/>
      <c r="J944" s="15"/>
      <c r="K944" s="15"/>
      <c r="L944" s="15"/>
      <c r="M944" s="15"/>
      <c r="N944" s="15"/>
      <c r="O944" s="15"/>
    </row>
    <row r="945" spans="1:15" ht="19.8" x14ac:dyDescent="0.5">
      <c r="A945" s="58"/>
      <c r="B945" s="15"/>
      <c r="C945" s="15"/>
      <c r="D945" s="15"/>
      <c r="E945" s="15"/>
      <c r="F945" s="15"/>
      <c r="G945" s="15"/>
      <c r="H945" s="15"/>
      <c r="I945" s="15"/>
      <c r="J945" s="15"/>
      <c r="K945" s="15"/>
      <c r="L945" s="15"/>
      <c r="M945" s="15"/>
      <c r="N945" s="15"/>
      <c r="O945" s="15"/>
    </row>
    <row r="946" spans="1:15" ht="19.8" x14ac:dyDescent="0.5">
      <c r="A946" s="58"/>
      <c r="B946" s="15"/>
      <c r="C946" s="15"/>
      <c r="D946" s="15"/>
      <c r="E946" s="15"/>
      <c r="F946" s="15"/>
      <c r="G946" s="15"/>
      <c r="H946" s="15"/>
      <c r="I946" s="15"/>
      <c r="J946" s="15"/>
      <c r="K946" s="15"/>
      <c r="L946" s="15"/>
      <c r="M946" s="15"/>
      <c r="N946" s="15"/>
      <c r="O946" s="15"/>
    </row>
    <row r="947" spans="1:15" ht="19.8" x14ac:dyDescent="0.5">
      <c r="A947" s="58"/>
      <c r="B947" s="15"/>
      <c r="C947" s="15"/>
      <c r="D947" s="15"/>
      <c r="E947" s="15"/>
      <c r="F947" s="15"/>
      <c r="G947" s="15"/>
      <c r="H947" s="15"/>
      <c r="I947" s="15"/>
      <c r="J947" s="15"/>
      <c r="K947" s="15"/>
      <c r="L947" s="15"/>
      <c r="M947" s="15"/>
      <c r="N947" s="15"/>
      <c r="O947" s="15"/>
    </row>
    <row r="948" spans="1:15" ht="19.8" x14ac:dyDescent="0.5">
      <c r="A948" s="58"/>
      <c r="B948" s="15"/>
      <c r="C948" s="15"/>
      <c r="D948" s="15"/>
      <c r="E948" s="15"/>
      <c r="F948" s="15"/>
      <c r="G948" s="15"/>
      <c r="H948" s="15"/>
      <c r="I948" s="15"/>
      <c r="J948" s="15"/>
      <c r="K948" s="15"/>
      <c r="L948" s="15"/>
      <c r="M948" s="15"/>
      <c r="N948" s="15"/>
      <c r="O948" s="15"/>
    </row>
    <row r="949" spans="1:15" ht="19.8" x14ac:dyDescent="0.5">
      <c r="A949" s="58"/>
      <c r="B949" s="15"/>
      <c r="C949" s="15"/>
      <c r="D949" s="15"/>
      <c r="E949" s="15"/>
      <c r="F949" s="15"/>
      <c r="G949" s="15"/>
      <c r="H949" s="15"/>
      <c r="I949" s="15"/>
      <c r="J949" s="15"/>
      <c r="K949" s="15"/>
      <c r="L949" s="15"/>
      <c r="M949" s="15"/>
      <c r="N949" s="15"/>
      <c r="O949" s="15"/>
    </row>
    <row r="950" spans="1:15" ht="19.8" x14ac:dyDescent="0.5">
      <c r="A950" s="58"/>
      <c r="B950" s="15"/>
      <c r="C950" s="15"/>
      <c r="D950" s="15"/>
      <c r="E950" s="15"/>
      <c r="F950" s="15"/>
      <c r="G950" s="15"/>
      <c r="H950" s="15"/>
      <c r="I950" s="15"/>
      <c r="J950" s="15"/>
      <c r="K950" s="15"/>
      <c r="L950" s="15"/>
      <c r="M950" s="15"/>
      <c r="N950" s="15"/>
      <c r="O950" s="15"/>
    </row>
    <row r="951" spans="1:15" ht="19.8" x14ac:dyDescent="0.5">
      <c r="A951" s="58"/>
      <c r="B951" s="15"/>
      <c r="C951" s="15"/>
      <c r="D951" s="15"/>
      <c r="E951" s="15"/>
      <c r="F951" s="15"/>
      <c r="G951" s="15"/>
      <c r="H951" s="15"/>
      <c r="I951" s="15"/>
      <c r="J951" s="15"/>
      <c r="K951" s="15"/>
      <c r="L951" s="15"/>
      <c r="M951" s="15"/>
      <c r="N951" s="15"/>
      <c r="O951" s="15"/>
    </row>
    <row r="952" spans="1:15" ht="19.8" x14ac:dyDescent="0.5">
      <c r="A952" s="58"/>
      <c r="B952" s="15"/>
      <c r="C952" s="15"/>
      <c r="D952" s="15"/>
      <c r="E952" s="15"/>
      <c r="F952" s="15"/>
      <c r="G952" s="15"/>
      <c r="H952" s="15"/>
      <c r="I952" s="15"/>
      <c r="J952" s="15"/>
      <c r="K952" s="15"/>
      <c r="L952" s="15"/>
      <c r="M952" s="15"/>
      <c r="N952" s="15"/>
      <c r="O952" s="15"/>
    </row>
    <row r="953" spans="1:15" ht="19.8" x14ac:dyDescent="0.5">
      <c r="A953" s="58"/>
      <c r="B953" s="15"/>
      <c r="C953" s="15"/>
      <c r="D953" s="15"/>
      <c r="E953" s="15"/>
      <c r="F953" s="15"/>
      <c r="G953" s="15"/>
      <c r="H953" s="15"/>
      <c r="I953" s="15"/>
      <c r="J953" s="15"/>
      <c r="K953" s="15"/>
      <c r="L953" s="15"/>
      <c r="M953" s="15"/>
      <c r="N953" s="15"/>
      <c r="O953" s="15"/>
    </row>
    <row r="954" spans="1:15" ht="19.8" x14ac:dyDescent="0.5">
      <c r="A954" s="58"/>
      <c r="B954" s="15"/>
      <c r="C954" s="15"/>
      <c r="D954" s="15"/>
      <c r="E954" s="15"/>
      <c r="F954" s="15"/>
      <c r="G954" s="15"/>
      <c r="H954" s="15"/>
      <c r="I954" s="15"/>
      <c r="J954" s="15"/>
      <c r="K954" s="15"/>
      <c r="L954" s="15"/>
      <c r="M954" s="15"/>
      <c r="N954" s="15"/>
      <c r="O954" s="15"/>
    </row>
    <row r="955" spans="1:15" ht="19.8" x14ac:dyDescent="0.5">
      <c r="A955" s="58"/>
      <c r="B955" s="15"/>
      <c r="C955" s="15"/>
      <c r="D955" s="15"/>
      <c r="E955" s="15"/>
      <c r="F955" s="15"/>
      <c r="G955" s="15"/>
      <c r="H955" s="15"/>
      <c r="I955" s="15"/>
      <c r="J955" s="15"/>
      <c r="K955" s="15"/>
      <c r="L955" s="15"/>
      <c r="M955" s="15"/>
      <c r="N955" s="15"/>
      <c r="O955" s="15"/>
    </row>
    <row r="956" spans="1:15" ht="19.8" x14ac:dyDescent="0.5">
      <c r="A956" s="58"/>
      <c r="B956" s="15"/>
      <c r="C956" s="15"/>
      <c r="D956" s="15"/>
      <c r="E956" s="15"/>
      <c r="F956" s="15"/>
      <c r="G956" s="15"/>
      <c r="H956" s="15"/>
      <c r="I956" s="15"/>
      <c r="J956" s="15"/>
      <c r="K956" s="15"/>
      <c r="L956" s="15"/>
      <c r="M956" s="15"/>
      <c r="N956" s="15"/>
      <c r="O956" s="15"/>
    </row>
    <row r="957" spans="1:15" ht="19.8" x14ac:dyDescent="0.5">
      <c r="A957" s="58"/>
      <c r="B957" s="15"/>
      <c r="C957" s="15"/>
      <c r="D957" s="15"/>
      <c r="E957" s="15"/>
      <c r="F957" s="15"/>
      <c r="G957" s="15"/>
      <c r="H957" s="15"/>
      <c r="I957" s="15"/>
      <c r="J957" s="15"/>
      <c r="K957" s="15"/>
      <c r="L957" s="15"/>
      <c r="M957" s="15"/>
      <c r="N957" s="15"/>
      <c r="O957" s="15"/>
    </row>
    <row r="958" spans="1:15" ht="19.8" x14ac:dyDescent="0.5">
      <c r="A958" s="58"/>
      <c r="B958" s="15"/>
      <c r="C958" s="15"/>
      <c r="D958" s="15"/>
      <c r="E958" s="15"/>
      <c r="F958" s="15"/>
      <c r="G958" s="15"/>
      <c r="H958" s="15"/>
      <c r="I958" s="15"/>
      <c r="J958" s="15"/>
      <c r="K958" s="15"/>
      <c r="L958" s="15"/>
      <c r="M958" s="15"/>
      <c r="N958" s="15"/>
      <c r="O958" s="15"/>
    </row>
    <row r="959" spans="1:15" ht="19.8" x14ac:dyDescent="0.5">
      <c r="A959" s="58"/>
      <c r="B959" s="15"/>
      <c r="C959" s="15"/>
      <c r="D959" s="15"/>
      <c r="E959" s="15"/>
      <c r="F959" s="15"/>
      <c r="G959" s="15"/>
      <c r="H959" s="15"/>
      <c r="I959" s="15"/>
      <c r="J959" s="15"/>
      <c r="K959" s="15"/>
      <c r="L959" s="15"/>
      <c r="M959" s="15"/>
      <c r="N959" s="15"/>
      <c r="O959" s="15"/>
    </row>
    <row r="960" spans="1:15" ht="19.8" x14ac:dyDescent="0.5">
      <c r="A960" s="58"/>
      <c r="B960" s="15"/>
      <c r="C960" s="15"/>
      <c r="D960" s="15"/>
      <c r="E960" s="15"/>
      <c r="F960" s="15"/>
      <c r="G960" s="15"/>
      <c r="H960" s="15"/>
      <c r="I960" s="15"/>
      <c r="J960" s="15"/>
      <c r="K960" s="15"/>
      <c r="L960" s="15"/>
      <c r="M960" s="15"/>
      <c r="N960" s="15"/>
      <c r="O960" s="15"/>
    </row>
    <row r="961" spans="1:15" ht="19.8" x14ac:dyDescent="0.5">
      <c r="A961" s="58"/>
      <c r="B961" s="15"/>
      <c r="C961" s="15"/>
      <c r="D961" s="15"/>
      <c r="E961" s="15"/>
      <c r="F961" s="15"/>
      <c r="G961" s="15"/>
      <c r="H961" s="15"/>
      <c r="I961" s="15"/>
      <c r="J961" s="15"/>
      <c r="K961" s="15"/>
      <c r="L961" s="15"/>
      <c r="M961" s="15"/>
      <c r="N961" s="15"/>
      <c r="O961" s="15"/>
    </row>
    <row r="962" spans="1:15" ht="19.8" x14ac:dyDescent="0.5">
      <c r="A962" s="58"/>
      <c r="B962" s="15"/>
      <c r="C962" s="15"/>
      <c r="D962" s="15"/>
      <c r="E962" s="15"/>
      <c r="F962" s="15"/>
      <c r="G962" s="15"/>
      <c r="H962" s="15"/>
      <c r="I962" s="15"/>
      <c r="J962" s="15"/>
      <c r="K962" s="15"/>
      <c r="L962" s="15"/>
      <c r="M962" s="15"/>
      <c r="N962" s="15"/>
      <c r="O962" s="15"/>
    </row>
    <row r="963" spans="1:15" ht="19.8" x14ac:dyDescent="0.5">
      <c r="A963" s="58"/>
      <c r="B963" s="15"/>
      <c r="C963" s="15"/>
      <c r="D963" s="15"/>
      <c r="E963" s="15"/>
      <c r="F963" s="15"/>
      <c r="G963" s="15"/>
      <c r="H963" s="15"/>
      <c r="I963" s="15"/>
      <c r="J963" s="15"/>
      <c r="K963" s="15"/>
      <c r="L963" s="15"/>
      <c r="M963" s="15"/>
      <c r="N963" s="15"/>
      <c r="O963" s="15"/>
    </row>
    <row r="964" spans="1:15" ht="19.8" x14ac:dyDescent="0.5">
      <c r="A964" s="58"/>
      <c r="B964" s="15"/>
      <c r="C964" s="15"/>
      <c r="D964" s="15"/>
      <c r="E964" s="15"/>
      <c r="F964" s="15"/>
      <c r="G964" s="15"/>
      <c r="H964" s="15"/>
      <c r="I964" s="15"/>
      <c r="J964" s="15"/>
      <c r="K964" s="15"/>
      <c r="L964" s="15"/>
      <c r="M964" s="15"/>
      <c r="N964" s="15"/>
      <c r="O964" s="15"/>
    </row>
    <row r="965" spans="1:15" ht="19.8" x14ac:dyDescent="0.5">
      <c r="A965" s="58"/>
      <c r="B965" s="15"/>
      <c r="C965" s="15"/>
      <c r="D965" s="15"/>
      <c r="E965" s="15"/>
      <c r="F965" s="15"/>
      <c r="G965" s="15"/>
      <c r="H965" s="15"/>
      <c r="I965" s="15"/>
      <c r="J965" s="15"/>
      <c r="K965" s="15"/>
      <c r="L965" s="15"/>
      <c r="M965" s="15"/>
      <c r="N965" s="15"/>
      <c r="O965" s="15"/>
    </row>
    <row r="966" spans="1:15" ht="19.8" x14ac:dyDescent="0.5">
      <c r="A966" s="58"/>
      <c r="B966" s="15"/>
      <c r="C966" s="15"/>
      <c r="D966" s="15"/>
      <c r="E966" s="15"/>
      <c r="F966" s="15"/>
      <c r="G966" s="15"/>
      <c r="H966" s="15"/>
      <c r="I966" s="15"/>
      <c r="J966" s="15"/>
      <c r="K966" s="15"/>
      <c r="L966" s="15"/>
      <c r="M966" s="15"/>
      <c r="N966" s="15"/>
      <c r="O966" s="15"/>
    </row>
    <row r="967" spans="1:15" ht="19.8" x14ac:dyDescent="0.5">
      <c r="A967" s="58"/>
      <c r="B967" s="15"/>
      <c r="C967" s="15"/>
      <c r="D967" s="15"/>
      <c r="E967" s="15"/>
      <c r="F967" s="15"/>
      <c r="G967" s="15"/>
      <c r="H967" s="15"/>
      <c r="I967" s="15"/>
      <c r="J967" s="15"/>
      <c r="K967" s="15"/>
      <c r="L967" s="15"/>
      <c r="M967" s="15"/>
      <c r="N967" s="15"/>
      <c r="O967" s="15"/>
    </row>
    <row r="968" spans="1:15" ht="19.8" x14ac:dyDescent="0.5">
      <c r="A968" s="58"/>
      <c r="B968" s="15"/>
      <c r="C968" s="15"/>
      <c r="D968" s="15"/>
      <c r="E968" s="15"/>
      <c r="F968" s="15"/>
      <c r="G968" s="15"/>
      <c r="H968" s="15"/>
      <c r="I968" s="15"/>
      <c r="J968" s="15"/>
      <c r="K968" s="15"/>
      <c r="L968" s="15"/>
      <c r="M968" s="15"/>
      <c r="N968" s="15"/>
      <c r="O968" s="15"/>
    </row>
    <row r="969" spans="1:15" ht="19.8" x14ac:dyDescent="0.5">
      <c r="A969" s="58"/>
      <c r="B969" s="15"/>
      <c r="C969" s="15"/>
      <c r="D969" s="15"/>
      <c r="E969" s="15"/>
      <c r="F969" s="15"/>
      <c r="G969" s="15"/>
      <c r="H969" s="15"/>
      <c r="I969" s="15"/>
      <c r="J969" s="15"/>
      <c r="K969" s="15"/>
      <c r="L969" s="15"/>
      <c r="M969" s="15"/>
      <c r="N969" s="15"/>
      <c r="O969" s="15"/>
    </row>
    <row r="970" spans="1:15" ht="19.8" x14ac:dyDescent="0.5">
      <c r="A970" s="58"/>
      <c r="B970" s="15"/>
      <c r="C970" s="15"/>
      <c r="D970" s="15"/>
      <c r="E970" s="15"/>
      <c r="F970" s="15"/>
      <c r="G970" s="15"/>
      <c r="H970" s="15"/>
      <c r="I970" s="15"/>
      <c r="J970" s="15"/>
      <c r="K970" s="15"/>
      <c r="L970" s="15"/>
      <c r="M970" s="15"/>
      <c r="N970" s="15"/>
      <c r="O970" s="15"/>
    </row>
    <row r="971" spans="1:15" ht="19.8" x14ac:dyDescent="0.5">
      <c r="A971" s="58"/>
      <c r="B971" s="15"/>
      <c r="C971" s="15"/>
      <c r="D971" s="15"/>
      <c r="E971" s="15"/>
      <c r="F971" s="15"/>
      <c r="G971" s="15"/>
      <c r="H971" s="15"/>
      <c r="I971" s="15"/>
      <c r="J971" s="15"/>
      <c r="K971" s="15"/>
      <c r="L971" s="15"/>
      <c r="M971" s="15"/>
      <c r="N971" s="15"/>
      <c r="O971" s="15"/>
    </row>
    <row r="972" spans="1:15" ht="19.8" x14ac:dyDescent="0.5">
      <c r="A972" s="58"/>
      <c r="B972" s="15"/>
      <c r="C972" s="15"/>
      <c r="D972" s="15"/>
      <c r="E972" s="15"/>
      <c r="F972" s="15"/>
      <c r="G972" s="15"/>
      <c r="H972" s="15"/>
      <c r="I972" s="15"/>
      <c r="J972" s="15"/>
      <c r="K972" s="15"/>
      <c r="L972" s="15"/>
      <c r="M972" s="15"/>
      <c r="N972" s="15"/>
      <c r="O972" s="15"/>
    </row>
    <row r="973" spans="1:15" ht="19.8" x14ac:dyDescent="0.5">
      <c r="A973" s="58"/>
      <c r="B973" s="15"/>
      <c r="C973" s="15"/>
      <c r="D973" s="15"/>
      <c r="E973" s="15"/>
      <c r="F973" s="15"/>
      <c r="G973" s="15"/>
      <c r="H973" s="15"/>
      <c r="I973" s="15"/>
      <c r="J973" s="15"/>
      <c r="K973" s="15"/>
      <c r="L973" s="15"/>
      <c r="M973" s="15"/>
      <c r="N973" s="15"/>
      <c r="O973" s="15"/>
    </row>
    <row r="974" spans="1:15" ht="19.8" x14ac:dyDescent="0.5">
      <c r="A974" s="58"/>
      <c r="B974" s="15"/>
      <c r="C974" s="15"/>
      <c r="D974" s="15"/>
      <c r="E974" s="15"/>
      <c r="F974" s="15"/>
      <c r="G974" s="15"/>
      <c r="H974" s="15"/>
      <c r="I974" s="15"/>
      <c r="J974" s="15"/>
      <c r="K974" s="15"/>
      <c r="L974" s="15"/>
      <c r="M974" s="15"/>
      <c r="N974" s="15"/>
      <c r="O974" s="15"/>
    </row>
    <row r="975" spans="1:15" ht="19.8" x14ac:dyDescent="0.5">
      <c r="A975" s="58"/>
      <c r="B975" s="15"/>
      <c r="C975" s="15"/>
      <c r="D975" s="15"/>
      <c r="E975" s="15"/>
      <c r="F975" s="15"/>
      <c r="G975" s="15"/>
      <c r="H975" s="15"/>
      <c r="I975" s="15"/>
      <c r="J975" s="15"/>
      <c r="K975" s="15"/>
      <c r="L975" s="15"/>
      <c r="M975" s="15"/>
      <c r="N975" s="15"/>
      <c r="O975" s="15"/>
    </row>
    <row r="976" spans="1:15" ht="19.8" x14ac:dyDescent="0.5">
      <c r="A976" s="58"/>
      <c r="B976" s="15"/>
      <c r="C976" s="15"/>
      <c r="D976" s="15"/>
      <c r="E976" s="15"/>
      <c r="F976" s="15"/>
      <c r="G976" s="15"/>
      <c r="H976" s="15"/>
      <c r="I976" s="15"/>
      <c r="J976" s="15"/>
      <c r="K976" s="15"/>
      <c r="L976" s="15"/>
      <c r="M976" s="15"/>
      <c r="N976" s="15"/>
      <c r="O976" s="15"/>
    </row>
    <row r="977" spans="1:15" ht="19.8" x14ac:dyDescent="0.5">
      <c r="A977" s="58"/>
      <c r="B977" s="15"/>
      <c r="C977" s="15"/>
      <c r="D977" s="15"/>
      <c r="E977" s="15"/>
      <c r="F977" s="15"/>
      <c r="G977" s="15"/>
      <c r="H977" s="15"/>
      <c r="I977" s="15"/>
      <c r="J977" s="15"/>
      <c r="K977" s="15"/>
      <c r="L977" s="15"/>
      <c r="M977" s="15"/>
      <c r="N977" s="15"/>
      <c r="O977" s="15"/>
    </row>
    <row r="978" spans="1:15" ht="19.8" x14ac:dyDescent="0.5">
      <c r="A978" s="58"/>
      <c r="B978" s="15"/>
      <c r="C978" s="15"/>
      <c r="D978" s="15"/>
      <c r="E978" s="15"/>
      <c r="F978" s="15"/>
      <c r="G978" s="15"/>
      <c r="H978" s="15"/>
      <c r="I978" s="15"/>
      <c r="J978" s="15"/>
      <c r="K978" s="15"/>
      <c r="L978" s="15"/>
      <c r="M978" s="15"/>
      <c r="N978" s="15"/>
      <c r="O978" s="15"/>
    </row>
    <row r="979" spans="1:15" ht="19.8" x14ac:dyDescent="0.5">
      <c r="A979" s="58"/>
      <c r="B979" s="15"/>
      <c r="C979" s="15"/>
      <c r="D979" s="15"/>
      <c r="E979" s="15"/>
      <c r="F979" s="15"/>
      <c r="G979" s="15"/>
      <c r="H979" s="15"/>
      <c r="I979" s="15"/>
      <c r="J979" s="15"/>
      <c r="K979" s="15"/>
      <c r="L979" s="15"/>
      <c r="M979" s="15"/>
      <c r="N979" s="15"/>
      <c r="O979" s="15"/>
    </row>
    <row r="980" spans="1:15" ht="19.8" x14ac:dyDescent="0.5">
      <c r="A980" s="58"/>
      <c r="B980" s="15"/>
      <c r="C980" s="15"/>
      <c r="D980" s="15"/>
      <c r="E980" s="15"/>
      <c r="F980" s="15"/>
      <c r="G980" s="15"/>
      <c r="H980" s="15"/>
      <c r="I980" s="15"/>
      <c r="J980" s="15"/>
      <c r="K980" s="15"/>
      <c r="L980" s="15"/>
      <c r="M980" s="15"/>
      <c r="N980" s="15"/>
      <c r="O980" s="15"/>
    </row>
    <row r="981" spans="1:15" ht="19.8" x14ac:dyDescent="0.5">
      <c r="A981" s="58"/>
      <c r="B981" s="15"/>
      <c r="C981" s="15"/>
      <c r="D981" s="15"/>
      <c r="E981" s="15"/>
      <c r="F981" s="15"/>
      <c r="G981" s="15"/>
      <c r="H981" s="15"/>
      <c r="I981" s="15"/>
      <c r="J981" s="15"/>
      <c r="K981" s="15"/>
      <c r="L981" s="15"/>
      <c r="M981" s="15"/>
      <c r="N981" s="15"/>
      <c r="O981" s="15"/>
    </row>
    <row r="982" spans="1:15" ht="19.8" x14ac:dyDescent="0.5">
      <c r="A982" s="58"/>
      <c r="B982" s="15"/>
      <c r="C982" s="15"/>
      <c r="D982" s="15"/>
      <c r="E982" s="15"/>
      <c r="F982" s="15"/>
      <c r="G982" s="15"/>
      <c r="H982" s="15"/>
      <c r="I982" s="15"/>
      <c r="J982" s="15"/>
      <c r="K982" s="15"/>
      <c r="L982" s="15"/>
      <c r="M982" s="15"/>
      <c r="N982" s="15"/>
      <c r="O982" s="15"/>
    </row>
    <row r="983" spans="1:15" ht="19.8" x14ac:dyDescent="0.5">
      <c r="A983" s="58"/>
      <c r="B983" s="15"/>
      <c r="C983" s="15"/>
      <c r="D983" s="15"/>
      <c r="E983" s="15"/>
      <c r="F983" s="15"/>
      <c r="G983" s="15"/>
      <c r="H983" s="15"/>
      <c r="I983" s="15"/>
      <c r="J983" s="15"/>
      <c r="K983" s="15"/>
      <c r="L983" s="15"/>
      <c r="M983" s="15"/>
      <c r="N983" s="15"/>
      <c r="O983" s="15"/>
    </row>
    <row r="984" spans="1:15" ht="19.8" x14ac:dyDescent="0.5">
      <c r="A984" s="58"/>
      <c r="B984" s="15"/>
      <c r="C984" s="15"/>
      <c r="D984" s="15"/>
      <c r="E984" s="15"/>
      <c r="F984" s="15"/>
      <c r="G984" s="15"/>
      <c r="H984" s="15"/>
      <c r="I984" s="15"/>
      <c r="J984" s="15"/>
      <c r="K984" s="15"/>
      <c r="L984" s="15"/>
      <c r="M984" s="15"/>
      <c r="N984" s="15"/>
      <c r="O984" s="15"/>
    </row>
    <row r="985" spans="1:15" ht="19.8" x14ac:dyDescent="0.5">
      <c r="A985" s="58"/>
      <c r="B985" s="15"/>
      <c r="C985" s="15"/>
      <c r="D985" s="15"/>
      <c r="E985" s="15"/>
      <c r="F985" s="15"/>
      <c r="G985" s="15"/>
      <c r="H985" s="15"/>
      <c r="I985" s="15"/>
      <c r="J985" s="15"/>
      <c r="K985" s="15"/>
      <c r="L985" s="15"/>
      <c r="M985" s="15"/>
      <c r="N985" s="15"/>
      <c r="O985" s="15"/>
    </row>
    <row r="986" spans="1:15" ht="19.8" x14ac:dyDescent="0.5">
      <c r="A986" s="58"/>
      <c r="B986" s="15"/>
      <c r="C986" s="15"/>
      <c r="D986" s="15"/>
      <c r="E986" s="15"/>
      <c r="F986" s="15"/>
      <c r="G986" s="15"/>
      <c r="H986" s="15"/>
      <c r="I986" s="15"/>
      <c r="J986" s="15"/>
      <c r="K986" s="15"/>
      <c r="L986" s="15"/>
      <c r="M986" s="15"/>
      <c r="N986" s="15"/>
      <c r="O986" s="15"/>
    </row>
    <row r="987" spans="1:15" ht="19.8" x14ac:dyDescent="0.5">
      <c r="A987" s="58"/>
      <c r="B987" s="15"/>
      <c r="C987" s="15"/>
      <c r="D987" s="15"/>
      <c r="E987" s="15"/>
      <c r="F987" s="15"/>
      <c r="G987" s="15"/>
      <c r="H987" s="15"/>
      <c r="I987" s="15"/>
      <c r="J987" s="15"/>
      <c r="K987" s="15"/>
      <c r="L987" s="15"/>
      <c r="M987" s="15"/>
      <c r="N987" s="15"/>
      <c r="O987" s="15"/>
    </row>
    <row r="988" spans="1:15" ht="19.8" x14ac:dyDescent="0.5">
      <c r="A988" s="58"/>
      <c r="B988" s="15"/>
      <c r="C988" s="15"/>
      <c r="D988" s="15"/>
      <c r="E988" s="15"/>
      <c r="F988" s="15"/>
      <c r="G988" s="15"/>
      <c r="H988" s="15"/>
      <c r="I988" s="15"/>
      <c r="J988" s="15"/>
      <c r="K988" s="15"/>
      <c r="L988" s="15"/>
      <c r="M988" s="15"/>
      <c r="N988" s="15"/>
      <c r="O988" s="15"/>
    </row>
    <row r="989" spans="1:15" ht="19.8" x14ac:dyDescent="0.5">
      <c r="A989" s="58"/>
      <c r="B989" s="15"/>
      <c r="C989" s="15"/>
      <c r="D989" s="15"/>
      <c r="E989" s="15"/>
      <c r="F989" s="15"/>
      <c r="G989" s="15"/>
      <c r="H989" s="15"/>
      <c r="I989" s="15"/>
      <c r="J989" s="15"/>
      <c r="K989" s="15"/>
      <c r="L989" s="15"/>
      <c r="M989" s="15"/>
      <c r="N989" s="15"/>
      <c r="O989" s="15"/>
    </row>
    <row r="990" spans="1:15" ht="19.8" x14ac:dyDescent="0.5">
      <c r="A990" s="58"/>
      <c r="B990" s="15"/>
      <c r="C990" s="15"/>
      <c r="D990" s="15"/>
      <c r="E990" s="15"/>
      <c r="F990" s="15"/>
      <c r="G990" s="15"/>
      <c r="H990" s="15"/>
      <c r="I990" s="15"/>
      <c r="J990" s="15"/>
      <c r="K990" s="15"/>
      <c r="L990" s="15"/>
      <c r="M990" s="15"/>
      <c r="N990" s="15"/>
      <c r="O990" s="15"/>
    </row>
    <row r="991" spans="1:15" ht="19.8" x14ac:dyDescent="0.5">
      <c r="A991" s="58"/>
      <c r="B991" s="15"/>
      <c r="C991" s="15"/>
      <c r="D991" s="15"/>
      <c r="E991" s="15"/>
      <c r="F991" s="15"/>
      <c r="G991" s="15"/>
      <c r="H991" s="15"/>
      <c r="I991" s="15"/>
      <c r="J991" s="15"/>
      <c r="K991" s="15"/>
      <c r="L991" s="15"/>
      <c r="M991" s="15"/>
      <c r="N991" s="15"/>
      <c r="O991" s="15"/>
    </row>
    <row r="992" spans="1:15" ht="19.8" x14ac:dyDescent="0.5">
      <c r="A992" s="58"/>
      <c r="B992" s="15"/>
      <c r="C992" s="15"/>
      <c r="D992" s="15"/>
      <c r="E992" s="15"/>
      <c r="F992" s="15"/>
      <c r="G992" s="15"/>
      <c r="H992" s="15"/>
      <c r="I992" s="15"/>
      <c r="J992" s="15"/>
      <c r="K992" s="15"/>
      <c r="L992" s="15"/>
      <c r="M992" s="15"/>
      <c r="N992" s="15"/>
      <c r="O992" s="15"/>
    </row>
    <row r="993" spans="1:15" ht="19.8" x14ac:dyDescent="0.5">
      <c r="A993" s="58"/>
      <c r="B993" s="15"/>
      <c r="C993" s="15"/>
      <c r="D993" s="15"/>
      <c r="E993" s="15"/>
      <c r="F993" s="15"/>
      <c r="G993" s="15"/>
      <c r="H993" s="15"/>
      <c r="I993" s="15"/>
      <c r="J993" s="15"/>
      <c r="K993" s="15"/>
      <c r="L993" s="15"/>
      <c r="M993" s="15"/>
      <c r="N993" s="15"/>
      <c r="O993" s="15"/>
    </row>
    <row r="994" spans="1:15" ht="19.8" x14ac:dyDescent="0.5">
      <c r="A994" s="58"/>
      <c r="B994" s="15"/>
      <c r="C994" s="15"/>
      <c r="D994" s="15"/>
      <c r="E994" s="15"/>
      <c r="F994" s="15"/>
      <c r="G994" s="15"/>
      <c r="H994" s="15"/>
      <c r="I994" s="15"/>
      <c r="J994" s="15"/>
      <c r="K994" s="15"/>
      <c r="L994" s="15"/>
      <c r="M994" s="15"/>
      <c r="N994" s="15"/>
      <c r="O994" s="15"/>
    </row>
    <row r="995" spans="1:15" ht="19.8" x14ac:dyDescent="0.5">
      <c r="A995" s="58"/>
      <c r="B995" s="15"/>
      <c r="C995" s="15"/>
      <c r="D995" s="15"/>
      <c r="E995" s="15"/>
      <c r="F995" s="15"/>
      <c r="G995" s="15"/>
      <c r="H995" s="15"/>
      <c r="I995" s="15"/>
      <c r="J995" s="15"/>
      <c r="K995" s="15"/>
      <c r="L995" s="15"/>
      <c r="M995" s="15"/>
      <c r="N995" s="15"/>
      <c r="O995" s="15"/>
    </row>
  </sheetData>
  <customSheetViews>
    <customSheetView guid="{0CC54A28-7FC1-4543-ABB1-95D1AD8E8D9F}" scale="75" fitToPage="1" printArea="1" showRuler="0" topLeftCell="A25">
      <selection activeCell="N27" sqref="N27"/>
      <pageMargins left="0.47244094488188981" right="0.31496062992125984" top="0.98425196850393704" bottom="0.98425196850393704" header="0.51181102362204722" footer="0.51181102362204722"/>
      <printOptions horizontalCentered="1" verticalCentered="1"/>
      <pageSetup paperSize="9" scale="39" orientation="landscape" r:id="rId1"/>
      <headerFooter alignWithMargins="0">
        <oddFooter>&amp;LSC/ le 15/06/04&amp;R&amp;F
&amp;8S/Site/C2G Site/Budget 2005/....</oddFooter>
      </headerFooter>
    </customSheetView>
    <customSheetView guid="{D8F48EB3-00E5-442F-8070-706BAA7F0CFD}"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2"/>
      <headerFooter alignWithMargins="0">
        <oddFooter>&amp;LSC/ le &amp;D&amp;R&amp;F
&amp;8S/Site/C2G Site/Budget 2006/....</oddFooter>
      </headerFooter>
    </customSheetView>
    <customSheetView guid="{B01F54CA-E090-4080-803C-0DB26461E19A}"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3"/>
      <headerFooter alignWithMargins="0">
        <oddFooter>&amp;LSC/ le &amp;D&amp;R&amp;F
&amp;8S/Site/C2G Site/Budget 2006/....</oddFooter>
      </headerFooter>
    </customSheetView>
    <customSheetView guid="{EFB3F4FE-0752-44EA-BF07-B7FDC3D55D7F}" scale="75" fitToPage="1" showRuler="0" topLeftCell="G1">
      <selection activeCell="AA7" sqref="AA7:AA14"/>
      <pageMargins left="0.47244094488188981" right="0.31496062992125984" top="0.98425196850393704" bottom="0.98425196850393704" header="0.51181102362204722" footer="0.51181102362204722"/>
      <printOptions horizontalCentered="1" verticalCentered="1"/>
      <pageSetup paperSize="9" scale="64" orientation="landscape" verticalDpi="0" r:id="rId4"/>
      <headerFooter alignWithMargins="0">
        <oddFooter>&amp;LSC/ le 15/06/04&amp;R&amp;F
&amp;8S/Site/C2G Site/Budget 2005/....</oddFooter>
      </headerFooter>
    </customSheetView>
    <customSheetView guid="{265D6D4F-CC86-4F32-A61E-82B4DF4FE015}"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5"/>
      <headerFooter alignWithMargins="0">
        <oddFooter>&amp;LSC/ le &amp;D&amp;R&amp;F
&amp;8S/Site/C2G Site/Budget 2006/....</oddFooter>
      </headerFooter>
    </customSheetView>
    <customSheetView guid="{8289FB4F-06F1-4AB6-859E-CE679DDE8633}" scale="75" showPageBreaks="1" fitToPage="1" printArea="1" view="pageBreakPreview" showRuler="0" topLeftCell="A10">
      <selection activeCell="A27" sqref="A27"/>
      <pageMargins left="0.25" right="0.31496062992125984" top="0.37" bottom="0.37" header="0.51181102362204722" footer="0.17"/>
      <printOptions horizontalCentered="1" verticalCentered="1"/>
      <pageSetup paperSize="9" scale="47" orientation="landscape" r:id="rId6"/>
      <headerFooter alignWithMargins="0">
        <oddFooter>&amp;LSC/ le &amp;D&amp;R&amp;F
&amp;8S/Site/C2G Site/Budget 2006/....</oddFooter>
      </headerFooter>
    </customSheetView>
    <customSheetView guid="{45244E67-D811-4150-BEA1-A7A1C54045A9}" scale="75" showPageBreaks="1" fitToPage="1" printArea="1" view="pageBreakPreview" showRuler="0" topLeftCell="A16">
      <selection activeCell="F22" sqref="F22"/>
      <pageMargins left="0.25" right="0.31496062992125984" top="0.37" bottom="0.37" header="0.51181102362204722" footer="0.17"/>
      <printOptions horizontalCentered="1" verticalCentered="1"/>
      <pageSetup paperSize="9" scale="47" orientation="landscape" r:id="rId7"/>
      <headerFooter alignWithMargins="0">
        <oddFooter>&amp;LSC/ le &amp;D&amp;R&amp;F
&amp;8S/Site/C2G Site/Budget 2006/....</oddFooter>
      </headerFooter>
    </customSheetView>
  </customSheetViews>
  <mergeCells count="1">
    <mergeCell ref="B1:N1"/>
  </mergeCells>
  <phoneticPr fontId="8" type="noConversion"/>
  <conditionalFormatting sqref="A10:A20">
    <cfRule type="expression" dxfId="136" priority="1" stopIfTrue="1">
      <formula>$P10="ALERTE"</formula>
    </cfRule>
  </conditionalFormatting>
  <conditionalFormatting sqref="A3:N4 A8:N9 A22">
    <cfRule type="expression" dxfId="135" priority="5" stopIfTrue="1">
      <formula>$P3="ALERTE"</formula>
    </cfRule>
  </conditionalFormatting>
  <printOptions horizontalCentered="1" verticalCentered="1"/>
  <pageMargins left="0.47244094488188981" right="0.31496062992125984" top="0.98425196850393704" bottom="0.98425196850393704" header="0.51181102362204722" footer="0.51181102362204722"/>
  <pageSetup paperSize="9" scale="78" orientation="landscape" r:id="rId8"/>
  <headerFooter alignWithMargins="0">
    <oddFooter>&amp;LSC/ le 15/06/04&amp;R&amp;F
&amp;8S/Site/C2G Site/Budget 2005/....</oddFooter>
  </headerFooter>
  <drawing r:id="rId9"/>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2"/>
  <dimension ref="A1:B20"/>
  <sheetViews>
    <sheetView workbookViewId="0">
      <selection activeCell="B5" sqref="B5"/>
    </sheetView>
  </sheetViews>
  <sheetFormatPr baseColWidth="10" defaultRowHeight="13.2" x14ac:dyDescent="0.25"/>
  <cols>
    <col min="1" max="2" width="20.109375" customWidth="1"/>
  </cols>
  <sheetData>
    <row r="1" spans="1:2" ht="18.75" customHeight="1" x14ac:dyDescent="0.25">
      <c r="A1" s="570" t="s">
        <v>133</v>
      </c>
      <c r="B1" s="571" t="s">
        <v>134</v>
      </c>
    </row>
    <row r="2" spans="1:2" ht="19.5" customHeight="1" x14ac:dyDescent="0.25">
      <c r="A2" s="565">
        <v>0.32291666666666669</v>
      </c>
      <c r="B2" s="566">
        <v>0.32291666666666669</v>
      </c>
    </row>
    <row r="3" spans="1:2" ht="19.5" customHeight="1" x14ac:dyDescent="0.25">
      <c r="A3" s="565">
        <v>0.33333333333333331</v>
      </c>
      <c r="B3" s="566">
        <v>0.33333333333333331</v>
      </c>
    </row>
    <row r="4" spans="1:2" ht="19.5" customHeight="1" x14ac:dyDescent="0.25">
      <c r="A4" s="565">
        <v>0.34375</v>
      </c>
      <c r="B4" s="566">
        <v>0.34375</v>
      </c>
    </row>
    <row r="5" spans="1:2" ht="19.5" customHeight="1" x14ac:dyDescent="0.25">
      <c r="A5" s="565">
        <v>0.35416666666666669</v>
      </c>
      <c r="B5" s="566">
        <v>0.35416666666666669</v>
      </c>
    </row>
    <row r="6" spans="1:2" ht="19.5" customHeight="1" x14ac:dyDescent="0.25">
      <c r="A6" s="567">
        <v>0.36458333333333331</v>
      </c>
      <c r="B6" s="566">
        <v>0.36458333333333331</v>
      </c>
    </row>
    <row r="7" spans="1:2" ht="19.5" customHeight="1" x14ac:dyDescent="0.25">
      <c r="A7" s="565">
        <v>0.375</v>
      </c>
      <c r="B7" s="566">
        <v>0.35416666666666669</v>
      </c>
    </row>
    <row r="8" spans="1:2" ht="19.5" customHeight="1" x14ac:dyDescent="0.25">
      <c r="A8" s="565">
        <v>0.38541666666666669</v>
      </c>
      <c r="B8" s="566">
        <v>0.38541666666666669</v>
      </c>
    </row>
    <row r="9" spans="1:2" ht="19.5" customHeight="1" x14ac:dyDescent="0.25">
      <c r="A9" s="565">
        <v>0.39583333333333331</v>
      </c>
      <c r="B9" s="566">
        <v>0.38541666666666669</v>
      </c>
    </row>
    <row r="10" spans="1:2" ht="19.5" customHeight="1" x14ac:dyDescent="0.25">
      <c r="A10" s="565">
        <v>0.40625</v>
      </c>
      <c r="B10" s="566">
        <v>0.40625</v>
      </c>
    </row>
    <row r="11" spans="1:2" ht="19.5" customHeight="1" x14ac:dyDescent="0.25">
      <c r="A11" s="565"/>
      <c r="B11" s="566"/>
    </row>
    <row r="12" spans="1:2" ht="19.5" customHeight="1" x14ac:dyDescent="0.25">
      <c r="A12" s="565"/>
      <c r="B12" s="566"/>
    </row>
    <row r="13" spans="1:2" ht="19.5" customHeight="1" x14ac:dyDescent="0.25">
      <c r="A13" s="565"/>
      <c r="B13" s="566"/>
    </row>
    <row r="14" spans="1:2" ht="19.5" customHeight="1" x14ac:dyDescent="0.25">
      <c r="A14" s="565"/>
      <c r="B14" s="566"/>
    </row>
    <row r="15" spans="1:2" ht="19.5" customHeight="1" x14ac:dyDescent="0.25">
      <c r="A15" s="565"/>
      <c r="B15" s="566"/>
    </row>
    <row r="16" spans="1:2" ht="19.5" customHeight="1" x14ac:dyDescent="0.25">
      <c r="A16" s="565"/>
      <c r="B16" s="566"/>
    </row>
    <row r="17" spans="1:2" ht="19.5" customHeight="1" x14ac:dyDescent="0.25">
      <c r="A17" s="565"/>
      <c r="B17" s="566"/>
    </row>
    <row r="18" spans="1:2" ht="19.5" customHeight="1" x14ac:dyDescent="0.25">
      <c r="A18" s="565"/>
      <c r="B18" s="566"/>
    </row>
    <row r="19" spans="1:2" ht="19.5" customHeight="1" x14ac:dyDescent="0.25">
      <c r="A19" s="565"/>
      <c r="B19" s="566"/>
    </row>
    <row r="20" spans="1:2" ht="19.5" customHeight="1" thickBot="1" x14ac:dyDescent="0.3">
      <c r="A20" s="568"/>
      <c r="B20" s="569"/>
    </row>
  </sheetData>
  <sortState xmlns:xlrd2="http://schemas.microsoft.com/office/spreadsheetml/2017/richdata2" ref="A2:B10">
    <sortCondition ref="A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yracuseOfficeCustomData>{"createMode":"plain_doc","forceRefresh":"0"}</SyracuseOfficeCustomData>
</file>

<file path=customXml/itemProps1.xml><?xml version="1.0" encoding="utf-8"?>
<ds:datastoreItem xmlns:ds="http://schemas.openxmlformats.org/officeDocument/2006/customXml" ds:itemID="{97DD2ADE-0E09-4E07-9BB1-504B9F949F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19</vt:i4>
      </vt:variant>
    </vt:vector>
  </HeadingPairs>
  <TitlesOfParts>
    <vt:vector size="36" baseType="lpstr">
      <vt:lpstr>Feuil4</vt:lpstr>
      <vt:lpstr>1,6</vt:lpstr>
      <vt:lpstr>6 - 1,6M visite 181109</vt:lpstr>
      <vt:lpstr>Janvier</vt:lpstr>
      <vt:lpstr>Fevrier</vt:lpstr>
      <vt:lpstr>Mars</vt:lpstr>
      <vt:lpstr>Avril</vt:lpstr>
      <vt:lpstr>Mai</vt:lpstr>
      <vt:lpstr>Juin</vt:lpstr>
      <vt:lpstr>Juillet</vt:lpstr>
      <vt:lpstr>Aout</vt:lpstr>
      <vt:lpstr>Septembre</vt:lpstr>
      <vt:lpstr>Octobre</vt:lpstr>
      <vt:lpstr>Novembre</vt:lpstr>
      <vt:lpstr>Décembre</vt:lpstr>
      <vt:lpstr>Synthèse </vt:lpstr>
      <vt:lpstr>Feuil1</vt:lpstr>
      <vt:lpstr>'6 - 1,6M visite 181109'!Impression_des_titres</vt:lpstr>
      <vt:lpstr>Avril!Impression_des_titres</vt:lpstr>
      <vt:lpstr>Fevrier!Impression_des_titres</vt:lpstr>
      <vt:lpstr>Janvier!Impression_des_titres</vt:lpstr>
      <vt:lpstr>Mai!Impression_des_titres</vt:lpstr>
      <vt:lpstr>Mars!Impression_des_titres</vt:lpstr>
      <vt:lpstr>Aout!Zone_d_impression</vt:lpstr>
      <vt:lpstr>Avril!Zone_d_impression</vt:lpstr>
      <vt:lpstr>Décembre!Zone_d_impression</vt:lpstr>
      <vt:lpstr>Fevrier!Zone_d_impression</vt:lpstr>
      <vt:lpstr>Janvier!Zone_d_impression</vt:lpstr>
      <vt:lpstr>Juillet!Zone_d_impression</vt:lpstr>
      <vt:lpstr>Juin!Zone_d_impression</vt:lpstr>
      <vt:lpstr>Mai!Zone_d_impression</vt:lpstr>
      <vt:lpstr>Mars!Zone_d_impression</vt:lpstr>
      <vt:lpstr>Novembre!Zone_d_impression</vt:lpstr>
      <vt:lpstr>Octobre!Zone_d_impression</vt:lpstr>
      <vt:lpstr>Septembre!Zone_d_impression</vt:lpstr>
      <vt:lpstr>'Synthèse '!Zone_d_impression</vt:lpstr>
    </vt:vector>
  </TitlesOfParts>
  <Company>Futuroscope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Calendrier scolaire</dc:title>
  <dc:creator>sopchr</dc:creator>
  <cp:lastModifiedBy>Hua Dai Bao</cp:lastModifiedBy>
  <cp:lastPrinted>2024-07-10T10:05:58Z</cp:lastPrinted>
  <dcterms:created xsi:type="dcterms:W3CDTF">2002-06-12T07:34:52Z</dcterms:created>
  <dcterms:modified xsi:type="dcterms:W3CDTF">2026-07-27T12:32:37Z</dcterms:modified>
</cp:coreProperties>
</file>