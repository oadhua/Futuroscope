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clean\cadence\"/>
    </mc:Choice>
  </mc:AlternateContent>
  <xr:revisionPtr revIDLastSave="0" documentId="13_ncr:1_{65A20FEA-4274-4DEF-A68D-3C84283221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M20" i="1"/>
  <c r="L20" i="1"/>
  <c r="H20" i="1"/>
  <c r="J20" i="1" s="1"/>
  <c r="K20" i="1" s="1"/>
  <c r="N19" i="1"/>
  <c r="M19" i="1"/>
  <c r="L19" i="1"/>
  <c r="H19" i="1"/>
  <c r="J19" i="1" s="1"/>
  <c r="K19" i="1" s="1"/>
  <c r="H18" i="1"/>
  <c r="J18" i="1" s="1"/>
  <c r="K18" i="1" s="1"/>
  <c r="H17" i="1"/>
  <c r="J17" i="1" s="1"/>
  <c r="K17" i="1" s="1"/>
  <c r="H16" i="1"/>
  <c r="J16" i="1" s="1"/>
  <c r="K16" i="1" s="1"/>
  <c r="J15" i="1"/>
  <c r="K15" i="1" s="1"/>
  <c r="I15" i="1"/>
  <c r="H14" i="1"/>
  <c r="J14" i="1" s="1"/>
  <c r="K14" i="1" s="1"/>
  <c r="H13" i="1"/>
  <c r="I13" i="1" s="1"/>
  <c r="H12" i="1"/>
  <c r="J12" i="1" s="1"/>
  <c r="K12" i="1" s="1"/>
  <c r="J11" i="1"/>
  <c r="H10" i="1"/>
  <c r="I10" i="1" s="1"/>
  <c r="H9" i="1"/>
  <c r="J9" i="1" s="1"/>
  <c r="H8" i="1"/>
  <c r="G8" i="1"/>
  <c r="F8" i="1"/>
  <c r="J7" i="1"/>
  <c r="K7" i="1" s="1"/>
  <c r="I7" i="1"/>
  <c r="I6" i="1"/>
  <c r="J5" i="1"/>
  <c r="K5" i="1" s="1"/>
  <c r="I5" i="1"/>
  <c r="J4" i="1"/>
  <c r="K4" i="1" s="1"/>
  <c r="I4" i="1"/>
  <c r="H3" i="1"/>
  <c r="J3" i="1" s="1"/>
  <c r="K3" i="1" s="1"/>
  <c r="H2" i="1"/>
  <c r="J2" i="1" s="1"/>
  <c r="I18" i="1" l="1"/>
  <c r="J8" i="1"/>
  <c r="K8" i="1" s="1"/>
  <c r="I12" i="1"/>
  <c r="I14" i="1"/>
  <c r="I19" i="1"/>
  <c r="J10" i="1"/>
  <c r="K10" i="1" s="1"/>
  <c r="I8" i="1"/>
  <c r="J13" i="1"/>
  <c r="K13" i="1" s="1"/>
  <c r="I16" i="1"/>
  <c r="I3" i="1"/>
  <c r="I20" i="1"/>
  <c r="I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dai-bao-hua</author>
  </authors>
  <commentList>
    <comment ref="I2" authorId="0" shapeId="0" xr:uid="{00000000-0006-0000-0000-000001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7.5</t>
        </r>
      </text>
    </comment>
    <comment ref="I9" authorId="0" shapeId="0" xr:uid="{00000000-0006-0000-0000-000002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1.25</t>
        </r>
      </text>
    </comment>
    <comment ref="K9" authorId="0" shapeId="0" xr:uid="{00000000-0006-0000-0000-000003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1.25</t>
        </r>
      </text>
    </comment>
    <comment ref="I11" authorId="0" shapeId="0" xr:uid="{00000000-0006-0000-0000-000004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khách nạp liên tục
</t>
        </r>
      </text>
    </comment>
    <comment ref="K11" authorId="0" shapeId="0" xr:uid="{00000000-0006-0000-0000-000005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khách nạp liên tục
</t>
        </r>
      </text>
    </comment>
    <comment ref="H16" authorId="0" shapeId="0" xr:uid="{00000000-0006-0000-0000-000006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giả sử tgian chuẩn để xả _ nạp khách là 20p </t>
        </r>
      </text>
    </comment>
    <comment ref="H19" authorId="0" shapeId="0" xr:uid="{00000000-0006-0000-0000-000007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giả sử tgian chuẩn để xả _ nạp khách là 20 + 10 = 30p </t>
        </r>
      </text>
    </comment>
  </commentList>
</comments>
</file>

<file path=xl/sharedStrings.xml><?xml version="1.0" encoding="utf-8"?>
<sst xmlns="http://schemas.openxmlformats.org/spreadsheetml/2006/main" count="50" uniqueCount="50">
  <si>
    <t>duty_cycle_max_vl</t>
  </si>
  <si>
    <t>duty_cycle_max_vc</t>
  </si>
  <si>
    <t>MISSION BERMUDES</t>
  </si>
  <si>
    <t>EXTRAORDINAIRE VOYAGE</t>
  </si>
  <si>
    <t>DYNAMIC !</t>
  </si>
  <si>
    <t>OBJECTIF MARS</t>
  </si>
  <si>
    <t>DANSE AVEC LES ROBOTS</t>
  </si>
  <si>
    <t xml:space="preserve">CHASSEURS DE TORNADES </t>
  </si>
  <si>
    <t>CHOCS COSMIQUES</t>
  </si>
  <si>
    <t>LA MACHINE A VOYAGER DANS LE TEMPS</t>
  </si>
  <si>
    <t>GYROTOUR</t>
  </si>
  <si>
    <t>KINEMAX -DANS LES YEUX DE THOMAS PESQUET / ANTARCTICA</t>
  </si>
  <si>
    <t>LES YEUX GRANDS FERMES</t>
  </si>
  <si>
    <t>ETINCELLE - LA MALEDICTION DE L'OPALE NOIRE</t>
  </si>
  <si>
    <t>LA SERRE DES MONDES</t>
  </si>
  <si>
    <t>T. REX, sur les pas d'un géant</t>
  </si>
  <si>
    <t>ECLIPSE</t>
  </si>
  <si>
    <t>ILLUSIO, UN DESTIN MAGIQUE</t>
  </si>
  <si>
    <t>LA VIENNE DYNAMIQUE</t>
  </si>
  <si>
    <t>capacite salle</t>
  </si>
  <si>
    <t>capacite file d'attente</t>
  </si>
  <si>
    <t>cycle de fonc d'une duree max_vl</t>
  </si>
  <si>
    <t>cycle de fonc d'une duree max_vc</t>
  </si>
  <si>
    <t>horaires d'ouverture les jours de faible affluence (&lt;5000)</t>
  </si>
  <si>
    <t>horaires d'ouverture les jours d'affluence moyenne (5000-8000)</t>
  </si>
  <si>
    <t>horaires d'ouverture les jours de forte affluence (&gt;9000)</t>
  </si>
  <si>
    <t>capacite pre-salle</t>
  </si>
  <si>
    <t>attraction</t>
  </si>
  <si>
    <t>id_attraction</t>
  </si>
  <si>
    <t>H24</t>
  </si>
  <si>
    <t>H07</t>
  </si>
  <si>
    <t>H03</t>
  </si>
  <si>
    <t>H09</t>
  </si>
  <si>
    <t>D22</t>
  </si>
  <si>
    <t>D14</t>
  </si>
  <si>
    <t>ARTHUR L'AVENTURE 4D</t>
  </si>
  <si>
    <t>D15</t>
  </si>
  <si>
    <t>D11</t>
  </si>
  <si>
    <t>H10</t>
  </si>
  <si>
    <t>H15</t>
  </si>
  <si>
    <t>F02</t>
  </si>
  <si>
    <t>D03</t>
  </si>
  <si>
    <t>F11</t>
  </si>
  <si>
    <t>I02</t>
  </si>
  <si>
    <t>G05</t>
  </si>
  <si>
    <t>G03</t>
  </si>
  <si>
    <t>KINEKID</t>
  </si>
  <si>
    <t>F12</t>
  </si>
  <si>
    <t>duree_longue</t>
  </si>
  <si>
    <t>duree_courte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</si>
</sst>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Arial"/>
    </font>
    <font>
      <sz val="9"/>
      <name val="Times New Roman"/>
    </font>
    <font>
      <b/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579755</xdr:colOff>
      <xdr:row>23</xdr:row>
      <xdr:rowOff>22860</xdr:rowOff>
    </xdr:from>
    <xdr:to>
      <xdr:col>12</xdr:col>
      <xdr:colOff>1348105</xdr:colOff>
      <xdr:row>31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619730" y="4404360"/>
          <a:ext cx="5102225" cy="160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Giả thuyết</a:t>
          </a:r>
        </a:p>
        <a:p>
          <a:pPr algn="l"/>
          <a:r>
            <a:rPr lang="en-US" sz="1100"/>
            <a:t>ngày vắng Futu mở từ 10h đến 20h</a:t>
          </a:r>
        </a:p>
        <a:p>
          <a:pPr algn="l"/>
          <a:r>
            <a:rPr lang="en-US" sz="1100"/>
            <a:t>ngày trung bình 10h-21h</a:t>
          </a:r>
        </a:p>
        <a:p>
          <a:pPr algn="l"/>
          <a:r>
            <a:rPr lang="en-US" sz="1100"/>
            <a:t>ngày đông 10h-21h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70" zoomScaleNormal="70" workbookViewId="0">
      <selection activeCell="G1" sqref="G1"/>
    </sheetView>
  </sheetViews>
  <sheetFormatPr baseColWidth="10" defaultColWidth="9.109375" defaultRowHeight="15" x14ac:dyDescent="0.25"/>
  <cols>
    <col min="1" max="1" width="13.44140625" style="1" bestFit="1" customWidth="1"/>
    <col min="2" max="2" width="71.109375" style="1" bestFit="1" customWidth="1"/>
    <col min="3" max="3" width="14.6640625" style="1" bestFit="1" customWidth="1"/>
    <col min="4" max="4" width="22.44140625" style="1" bestFit="1" customWidth="1"/>
    <col min="5" max="5" width="19" style="1" bestFit="1" customWidth="1"/>
    <col min="6" max="6" width="20.21875" style="1" bestFit="1" customWidth="1"/>
    <col min="7" max="7" width="19.77734375" style="1" bestFit="1" customWidth="1"/>
    <col min="8" max="8" width="35" style="1" bestFit="1" customWidth="1"/>
    <col min="9" max="9" width="20" style="1" bestFit="1" customWidth="1"/>
    <col min="10" max="10" width="35.6640625" style="1" bestFit="1" customWidth="1"/>
    <col min="11" max="11" width="20.5546875" style="1" bestFit="1" customWidth="1"/>
    <col min="12" max="12" width="59.33203125" style="1" bestFit="1" customWidth="1"/>
    <col min="13" max="13" width="66.44140625" style="1" bestFit="1" customWidth="1"/>
    <col min="14" max="14" width="58.5546875" style="1" bestFit="1" customWidth="1"/>
    <col min="15" max="16384" width="9.109375" style="1"/>
  </cols>
  <sheetData>
    <row r="1" spans="1:14" x14ac:dyDescent="0.25">
      <c r="A1" s="4" t="s">
        <v>28</v>
      </c>
      <c r="B1" s="4" t="s">
        <v>27</v>
      </c>
      <c r="C1" s="4" t="s">
        <v>19</v>
      </c>
      <c r="D1" s="4" t="s">
        <v>20</v>
      </c>
      <c r="E1" s="4" t="s">
        <v>26</v>
      </c>
      <c r="F1" s="4" t="s">
        <v>48</v>
      </c>
      <c r="G1" s="4" t="s">
        <v>49</v>
      </c>
      <c r="H1" s="4" t="s">
        <v>21</v>
      </c>
      <c r="I1" s="4" t="s">
        <v>0</v>
      </c>
      <c r="J1" s="4" t="s">
        <v>22</v>
      </c>
      <c r="K1" s="4" t="s">
        <v>1</v>
      </c>
      <c r="L1" s="4" t="s">
        <v>23</v>
      </c>
      <c r="M1" s="4" t="s">
        <v>24</v>
      </c>
      <c r="N1" s="4" t="s">
        <v>25</v>
      </c>
    </row>
    <row r="2" spans="1:14" x14ac:dyDescent="0.25">
      <c r="A2" s="2" t="s">
        <v>29</v>
      </c>
      <c r="B2" s="2" t="s">
        <v>2</v>
      </c>
      <c r="C2" s="5">
        <v>10</v>
      </c>
      <c r="D2" s="5">
        <v>1020</v>
      </c>
      <c r="E2" s="5">
        <v>0</v>
      </c>
      <c r="F2" s="5">
        <v>5</v>
      </c>
      <c r="G2" s="5">
        <v>5</v>
      </c>
      <c r="H2" s="5">
        <f>3600/40</f>
        <v>90</v>
      </c>
      <c r="I2" s="5">
        <v>1</v>
      </c>
      <c r="J2" s="5">
        <f t="shared" ref="J2:J20" si="0">H2*(F2/G2)</f>
        <v>90</v>
      </c>
      <c r="K2" s="5">
        <v>1</v>
      </c>
      <c r="L2" s="5">
        <v>10</v>
      </c>
      <c r="M2" s="5">
        <v>11</v>
      </c>
      <c r="N2" s="5">
        <v>12</v>
      </c>
    </row>
    <row r="3" spans="1:14" x14ac:dyDescent="0.25">
      <c r="A3" s="3" t="s">
        <v>30</v>
      </c>
      <c r="B3" s="3" t="s">
        <v>18</v>
      </c>
      <c r="C3" s="5">
        <v>190</v>
      </c>
      <c r="D3" s="5">
        <v>800</v>
      </c>
      <c r="E3" s="5">
        <v>190</v>
      </c>
      <c r="F3" s="5">
        <v>12</v>
      </c>
      <c r="G3" s="5">
        <v>8</v>
      </c>
      <c r="H3" s="5">
        <f>60/20</f>
        <v>3</v>
      </c>
      <c r="I3" s="5">
        <f t="shared" ref="I3:I8" si="1">(H3*F3)/60</f>
        <v>0.6</v>
      </c>
      <c r="J3" s="5">
        <f t="shared" si="0"/>
        <v>4.5</v>
      </c>
      <c r="K3" s="5">
        <f t="shared" ref="K3:K8" si="2">(J3*G3)/60</f>
        <v>0.6</v>
      </c>
      <c r="L3" s="5">
        <v>9</v>
      </c>
      <c r="M3" s="5">
        <v>10</v>
      </c>
      <c r="N3" s="5">
        <v>11</v>
      </c>
    </row>
    <row r="4" spans="1:14" x14ac:dyDescent="0.25">
      <c r="A4" s="2" t="s">
        <v>31</v>
      </c>
      <c r="B4" s="2" t="s">
        <v>3</v>
      </c>
      <c r="C4" s="5">
        <v>84</v>
      </c>
      <c r="D4" s="5">
        <v>750</v>
      </c>
      <c r="E4" s="5">
        <v>252</v>
      </c>
      <c r="F4" s="5">
        <v>4</v>
      </c>
      <c r="G4" s="5">
        <v>4</v>
      </c>
      <c r="H4" s="5">
        <v>6</v>
      </c>
      <c r="I4" s="5">
        <f t="shared" si="1"/>
        <v>0.4</v>
      </c>
      <c r="J4" s="5">
        <f t="shared" si="0"/>
        <v>6</v>
      </c>
      <c r="K4" s="5">
        <f t="shared" si="2"/>
        <v>0.4</v>
      </c>
      <c r="L4" s="5">
        <v>10</v>
      </c>
      <c r="M4" s="5">
        <v>11</v>
      </c>
      <c r="N4" s="5">
        <v>12</v>
      </c>
    </row>
    <row r="5" spans="1:14" x14ac:dyDescent="0.25">
      <c r="A5" s="2" t="s">
        <v>32</v>
      </c>
      <c r="B5" s="2" t="s">
        <v>4</v>
      </c>
      <c r="C5" s="5">
        <v>72</v>
      </c>
      <c r="D5" s="5">
        <v>400</v>
      </c>
      <c r="E5" s="5">
        <v>72</v>
      </c>
      <c r="F5" s="5">
        <v>5</v>
      </c>
      <c r="G5" s="5">
        <v>5</v>
      </c>
      <c r="H5" s="5">
        <v>9</v>
      </c>
      <c r="I5" s="5">
        <f t="shared" si="1"/>
        <v>0.75</v>
      </c>
      <c r="J5" s="5">
        <f t="shared" si="0"/>
        <v>9</v>
      </c>
      <c r="K5" s="5">
        <f t="shared" si="2"/>
        <v>0.75</v>
      </c>
      <c r="L5" s="5">
        <v>9</v>
      </c>
      <c r="M5" s="5">
        <v>10</v>
      </c>
      <c r="N5" s="5">
        <v>11</v>
      </c>
    </row>
    <row r="6" spans="1:14" x14ac:dyDescent="0.25">
      <c r="A6" s="2" t="s">
        <v>33</v>
      </c>
      <c r="B6" s="2" t="s">
        <v>5</v>
      </c>
      <c r="C6" s="5">
        <v>36</v>
      </c>
      <c r="D6" s="5">
        <v>1080</v>
      </c>
      <c r="E6" s="5">
        <v>0</v>
      </c>
      <c r="F6" s="5">
        <v>3</v>
      </c>
      <c r="G6" s="5">
        <v>3</v>
      </c>
      <c r="H6" s="5">
        <v>20</v>
      </c>
      <c r="I6" s="5">
        <f t="shared" si="1"/>
        <v>1</v>
      </c>
      <c r="J6" s="5">
        <v>20</v>
      </c>
      <c r="K6" s="5">
        <v>1</v>
      </c>
      <c r="L6" s="5">
        <v>12</v>
      </c>
      <c r="M6" s="5">
        <v>12</v>
      </c>
      <c r="N6" s="5">
        <v>12</v>
      </c>
    </row>
    <row r="7" spans="1:14" x14ac:dyDescent="0.25">
      <c r="A7" s="2" t="s">
        <v>34</v>
      </c>
      <c r="B7" s="2" t="s">
        <v>35</v>
      </c>
      <c r="C7" s="5">
        <v>100</v>
      </c>
      <c r="D7" s="5">
        <v>650</v>
      </c>
      <c r="E7" s="5">
        <v>100</v>
      </c>
      <c r="F7" s="5">
        <v>5</v>
      </c>
      <c r="G7" s="5">
        <v>5</v>
      </c>
      <c r="H7" s="5">
        <v>8</v>
      </c>
      <c r="I7" s="5">
        <f t="shared" si="1"/>
        <v>0.66666666666666663</v>
      </c>
      <c r="J7" s="5">
        <f t="shared" si="0"/>
        <v>8</v>
      </c>
      <c r="K7" s="5">
        <f t="shared" si="2"/>
        <v>0.66666666666666663</v>
      </c>
      <c r="L7" s="5">
        <v>10</v>
      </c>
      <c r="M7" s="5">
        <v>11</v>
      </c>
      <c r="N7" s="5">
        <v>12</v>
      </c>
    </row>
    <row r="8" spans="1:14" x14ac:dyDescent="0.25">
      <c r="A8" s="3" t="s">
        <v>36</v>
      </c>
      <c r="B8" s="3" t="s">
        <v>6</v>
      </c>
      <c r="C8" s="5">
        <v>30</v>
      </c>
      <c r="D8" s="5">
        <v>500</v>
      </c>
      <c r="E8" s="5">
        <v>20</v>
      </c>
      <c r="F8" s="5">
        <f>90/60</f>
        <v>1.5</v>
      </c>
      <c r="G8" s="5">
        <f>60/60</f>
        <v>1</v>
      </c>
      <c r="H8" s="5">
        <f>60/4</f>
        <v>15</v>
      </c>
      <c r="I8" s="5">
        <f t="shared" si="1"/>
        <v>0.375</v>
      </c>
      <c r="J8" s="5">
        <f t="shared" si="0"/>
        <v>22.5</v>
      </c>
      <c r="K8" s="5">
        <f t="shared" si="2"/>
        <v>0.375</v>
      </c>
      <c r="L8" s="5">
        <v>10</v>
      </c>
      <c r="M8" s="5">
        <v>11</v>
      </c>
      <c r="N8" s="5">
        <v>12</v>
      </c>
    </row>
    <row r="9" spans="1:14" x14ac:dyDescent="0.25">
      <c r="A9" s="2" t="s">
        <v>37</v>
      </c>
      <c r="B9" s="2" t="s">
        <v>7</v>
      </c>
      <c r="C9" s="5">
        <v>120</v>
      </c>
      <c r="D9" s="5">
        <v>1500</v>
      </c>
      <c r="E9" s="5">
        <v>120</v>
      </c>
      <c r="F9" s="5">
        <v>10</v>
      </c>
      <c r="G9" s="5">
        <v>10</v>
      </c>
      <c r="H9" s="5">
        <f>900/120</f>
        <v>7.5</v>
      </c>
      <c r="I9" s="5">
        <v>1</v>
      </c>
      <c r="J9" s="5">
        <f t="shared" si="0"/>
        <v>7.5</v>
      </c>
      <c r="K9" s="5">
        <v>1</v>
      </c>
      <c r="L9" s="5">
        <v>10</v>
      </c>
      <c r="M9" s="5">
        <v>11</v>
      </c>
      <c r="N9" s="5">
        <v>12</v>
      </c>
    </row>
    <row r="10" spans="1:14" x14ac:dyDescent="0.25">
      <c r="A10" s="2" t="s">
        <v>38</v>
      </c>
      <c r="B10" s="2" t="s">
        <v>8</v>
      </c>
      <c r="C10" s="5">
        <v>460</v>
      </c>
      <c r="D10" s="5">
        <v>460</v>
      </c>
      <c r="E10" s="5">
        <v>460</v>
      </c>
      <c r="F10" s="5">
        <v>23</v>
      </c>
      <c r="G10" s="5">
        <v>23</v>
      </c>
      <c r="H10" s="5">
        <f>60/40</f>
        <v>1.5</v>
      </c>
      <c r="I10" s="5">
        <f t="shared" ref="I10:I20" si="3">(H10*F10)/60</f>
        <v>0.57499999999999996</v>
      </c>
      <c r="J10" s="5">
        <f t="shared" si="0"/>
        <v>1.5</v>
      </c>
      <c r="K10" s="5">
        <f t="shared" ref="K10:K20" si="4">(J10*G10)/60</f>
        <v>0.57499999999999996</v>
      </c>
      <c r="L10" s="5">
        <v>8</v>
      </c>
      <c r="M10" s="5">
        <v>9</v>
      </c>
      <c r="N10" s="5">
        <v>10</v>
      </c>
    </row>
    <row r="11" spans="1:14" x14ac:dyDescent="0.25">
      <c r="A11" s="2" t="s">
        <v>39</v>
      </c>
      <c r="B11" s="2" t="s">
        <v>9</v>
      </c>
      <c r="C11" s="5">
        <v>90</v>
      </c>
      <c r="D11" s="5">
        <v>700</v>
      </c>
      <c r="E11" s="5">
        <v>15</v>
      </c>
      <c r="F11" s="5">
        <v>10</v>
      </c>
      <c r="G11" s="5">
        <v>10</v>
      </c>
      <c r="H11" s="5">
        <v>1</v>
      </c>
      <c r="I11" s="5">
        <v>1</v>
      </c>
      <c r="J11" s="5">
        <f t="shared" si="0"/>
        <v>1</v>
      </c>
      <c r="K11" s="5">
        <v>1</v>
      </c>
      <c r="L11" s="5">
        <v>10</v>
      </c>
      <c r="M11" s="5">
        <v>11</v>
      </c>
      <c r="N11" s="5">
        <v>12</v>
      </c>
    </row>
    <row r="12" spans="1:14" x14ac:dyDescent="0.25">
      <c r="A12" s="2" t="s">
        <v>47</v>
      </c>
      <c r="B12" s="2" t="s">
        <v>10</v>
      </c>
      <c r="C12" s="5">
        <v>90</v>
      </c>
      <c r="D12" s="5">
        <v>240</v>
      </c>
      <c r="E12" s="5">
        <v>0</v>
      </c>
      <c r="F12" s="5">
        <v>7</v>
      </c>
      <c r="G12" s="5">
        <v>7</v>
      </c>
      <c r="H12" s="5">
        <f>60/10</f>
        <v>6</v>
      </c>
      <c r="I12" s="5">
        <f t="shared" si="3"/>
        <v>0.7</v>
      </c>
      <c r="J12" s="5">
        <f t="shared" si="0"/>
        <v>6</v>
      </c>
      <c r="K12" s="5">
        <f t="shared" si="4"/>
        <v>0.7</v>
      </c>
      <c r="L12" s="5">
        <v>10</v>
      </c>
      <c r="M12" s="5">
        <v>11</v>
      </c>
      <c r="N12" s="5">
        <v>12</v>
      </c>
    </row>
    <row r="13" spans="1:14" ht="30" x14ac:dyDescent="0.25">
      <c r="A13" s="3" t="s">
        <v>40</v>
      </c>
      <c r="B13" s="3" t="s">
        <v>11</v>
      </c>
      <c r="C13" s="5">
        <v>450</v>
      </c>
      <c r="D13" s="5">
        <v>450</v>
      </c>
      <c r="E13" s="5">
        <v>450</v>
      </c>
      <c r="F13" s="5">
        <v>25</v>
      </c>
      <c r="G13" s="5">
        <v>23</v>
      </c>
      <c r="H13" s="5">
        <f>60/60</f>
        <v>1</v>
      </c>
      <c r="I13" s="5">
        <f t="shared" si="3"/>
        <v>0.41666666666666669</v>
      </c>
      <c r="J13" s="5">
        <f t="shared" si="0"/>
        <v>1.0869565217391304</v>
      </c>
      <c r="K13" s="5">
        <f t="shared" si="4"/>
        <v>0.41666666666666669</v>
      </c>
      <c r="L13" s="5">
        <v>10</v>
      </c>
      <c r="M13" s="5">
        <v>11</v>
      </c>
      <c r="N13" s="5">
        <v>12</v>
      </c>
    </row>
    <row r="14" spans="1:14" x14ac:dyDescent="0.25">
      <c r="A14" s="2"/>
      <c r="B14" s="2" t="s">
        <v>12</v>
      </c>
      <c r="C14" s="5">
        <v>12</v>
      </c>
      <c r="D14" s="5">
        <v>12</v>
      </c>
      <c r="E14" s="5">
        <v>90</v>
      </c>
      <c r="F14" s="5">
        <v>20</v>
      </c>
      <c r="G14" s="5">
        <v>20</v>
      </c>
      <c r="H14" s="5">
        <f>60/20</f>
        <v>3</v>
      </c>
      <c r="I14" s="5">
        <f t="shared" si="3"/>
        <v>1</v>
      </c>
      <c r="J14" s="5">
        <f t="shared" si="0"/>
        <v>3</v>
      </c>
      <c r="K14" s="5">
        <f t="shared" si="4"/>
        <v>1</v>
      </c>
      <c r="L14" s="5">
        <v>8</v>
      </c>
      <c r="M14" s="5">
        <v>8</v>
      </c>
      <c r="N14" s="5">
        <v>8</v>
      </c>
    </row>
    <row r="15" spans="1:14" x14ac:dyDescent="0.25">
      <c r="A15" s="2" t="s">
        <v>41</v>
      </c>
      <c r="B15" s="2" t="s">
        <v>13</v>
      </c>
      <c r="C15" s="5">
        <v>287</v>
      </c>
      <c r="D15" s="5">
        <v>320</v>
      </c>
      <c r="E15" s="5">
        <v>0</v>
      </c>
      <c r="F15" s="5">
        <v>10</v>
      </c>
      <c r="G15" s="5">
        <v>10</v>
      </c>
      <c r="H15" s="5">
        <v>3</v>
      </c>
      <c r="I15" s="5">
        <f t="shared" si="3"/>
        <v>0.5</v>
      </c>
      <c r="J15" s="5">
        <f t="shared" si="0"/>
        <v>3</v>
      </c>
      <c r="K15" s="5">
        <f t="shared" si="4"/>
        <v>0.5</v>
      </c>
      <c r="L15" s="5">
        <v>9</v>
      </c>
      <c r="M15" s="5">
        <v>10</v>
      </c>
      <c r="N15" s="5">
        <v>11</v>
      </c>
    </row>
    <row r="16" spans="1:14" x14ac:dyDescent="0.25">
      <c r="A16" s="2"/>
      <c r="B16" s="2" t="s">
        <v>46</v>
      </c>
      <c r="C16" s="5">
        <v>340</v>
      </c>
      <c r="D16" s="5">
        <v>340</v>
      </c>
      <c r="E16" s="5">
        <v>0</v>
      </c>
      <c r="F16" s="5">
        <v>15</v>
      </c>
      <c r="G16" s="5">
        <v>15</v>
      </c>
      <c r="H16" s="5">
        <f>60/20</f>
        <v>3</v>
      </c>
      <c r="I16" s="5">
        <f t="shared" si="3"/>
        <v>0.75</v>
      </c>
      <c r="J16" s="5">
        <f t="shared" si="0"/>
        <v>3</v>
      </c>
      <c r="K16" s="5">
        <f t="shared" si="4"/>
        <v>0.75</v>
      </c>
      <c r="L16" s="5">
        <v>0</v>
      </c>
      <c r="M16" s="5">
        <v>0</v>
      </c>
      <c r="N16" s="5">
        <v>5</v>
      </c>
    </row>
    <row r="17" spans="1:14" x14ac:dyDescent="0.25">
      <c r="A17" s="2" t="s">
        <v>42</v>
      </c>
      <c r="B17" s="2" t="s">
        <v>14</v>
      </c>
      <c r="C17" s="5">
        <v>280</v>
      </c>
      <c r="D17" s="5">
        <v>280</v>
      </c>
      <c r="E17" s="5">
        <v>0</v>
      </c>
      <c r="F17" s="5">
        <v>16</v>
      </c>
      <c r="G17" s="5">
        <v>16</v>
      </c>
      <c r="H17" s="5">
        <f>840/280</f>
        <v>3</v>
      </c>
      <c r="I17" s="5">
        <f t="shared" si="3"/>
        <v>0.8</v>
      </c>
      <c r="J17" s="5">
        <f t="shared" si="0"/>
        <v>3</v>
      </c>
      <c r="K17" s="5">
        <f t="shared" si="4"/>
        <v>0.8</v>
      </c>
      <c r="L17" s="5">
        <v>6</v>
      </c>
      <c r="M17" s="5">
        <v>6</v>
      </c>
      <c r="N17" s="5">
        <v>12</v>
      </c>
    </row>
    <row r="18" spans="1:14" x14ac:dyDescent="0.25">
      <c r="A18" s="3" t="s">
        <v>43</v>
      </c>
      <c r="B18" s="3" t="s">
        <v>15</v>
      </c>
      <c r="C18" s="5">
        <v>360</v>
      </c>
      <c r="D18" s="5">
        <v>360</v>
      </c>
      <c r="E18" s="5">
        <v>360</v>
      </c>
      <c r="F18" s="5">
        <v>42</v>
      </c>
      <c r="G18" s="5">
        <v>22</v>
      </c>
      <c r="H18" s="5">
        <f>60/60</f>
        <v>1</v>
      </c>
      <c r="I18" s="5">
        <f t="shared" si="3"/>
        <v>0.7</v>
      </c>
      <c r="J18" s="5">
        <f t="shared" si="0"/>
        <v>1.9090909090909092</v>
      </c>
      <c r="K18" s="5">
        <f t="shared" si="4"/>
        <v>0.7</v>
      </c>
      <c r="L18" s="5">
        <v>10</v>
      </c>
      <c r="M18" s="5">
        <v>11</v>
      </c>
      <c r="N18" s="5">
        <v>12</v>
      </c>
    </row>
    <row r="19" spans="1:14" x14ac:dyDescent="0.25">
      <c r="A19" s="5" t="s">
        <v>44</v>
      </c>
      <c r="B19" s="5" t="s">
        <v>16</v>
      </c>
      <c r="C19" s="5">
        <v>570</v>
      </c>
      <c r="D19" s="5">
        <v>570</v>
      </c>
      <c r="E19" s="5">
        <v>570</v>
      </c>
      <c r="F19" s="5">
        <v>20</v>
      </c>
      <c r="G19" s="5">
        <v>20</v>
      </c>
      <c r="H19" s="5">
        <f>60/30</f>
        <v>2</v>
      </c>
      <c r="I19" s="5">
        <f t="shared" si="3"/>
        <v>0.66666666666666663</v>
      </c>
      <c r="J19" s="5">
        <f t="shared" si="0"/>
        <v>2</v>
      </c>
      <c r="K19" s="5">
        <f t="shared" si="4"/>
        <v>0.66666666666666663</v>
      </c>
      <c r="L19" s="5">
        <f>(2*20)/60</f>
        <v>0.66666666666666663</v>
      </c>
      <c r="M19" s="5">
        <f>(3*20)/60</f>
        <v>1</v>
      </c>
      <c r="N19" s="5">
        <f>(5*20)/60</f>
        <v>1.6666666666666667</v>
      </c>
    </row>
    <row r="20" spans="1:14" x14ac:dyDescent="0.25">
      <c r="A20" s="5" t="s">
        <v>45</v>
      </c>
      <c r="B20" s="5" t="s">
        <v>17</v>
      </c>
      <c r="C20" s="5">
        <v>730</v>
      </c>
      <c r="D20" s="5">
        <v>730</v>
      </c>
      <c r="E20" s="5">
        <v>730</v>
      </c>
      <c r="F20" s="5">
        <v>25</v>
      </c>
      <c r="G20" s="5">
        <v>25</v>
      </c>
      <c r="H20" s="5">
        <f>60/60</f>
        <v>1</v>
      </c>
      <c r="I20" s="5">
        <f t="shared" si="3"/>
        <v>0.41666666666666669</v>
      </c>
      <c r="J20" s="5">
        <f t="shared" si="0"/>
        <v>1</v>
      </c>
      <c r="K20" s="5">
        <f t="shared" si="4"/>
        <v>0.41666666666666669</v>
      </c>
      <c r="L20" s="5">
        <f>(2*25)/60</f>
        <v>0.83333333333333337</v>
      </c>
      <c r="M20" s="5">
        <f>(3*25)/60</f>
        <v>1.25</v>
      </c>
      <c r="N20" s="5">
        <f>(5*25)/60</f>
        <v>2.0833333333333335</v>
      </c>
    </row>
  </sheetData>
  <pageMargins left="0.75" right="0.75" top="1" bottom="1" header="0.5" footer="0.5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E2" rgbClr="AFE27C"/>
    <comment s:ref="E9" rgbClr="AFE27C"/>
    <comment s:ref="G9" rgbClr="AFE27C"/>
    <comment s:ref="E11" rgbClr="AFE27C"/>
    <comment s:ref="G11" rgbClr="AFE27C"/>
    <comment s:ref="D16" rgbClr="AFE27C"/>
    <comment s:ref="D19" rgbClr="AFE27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dai-bao-hua</dc:creator>
  <cp:lastModifiedBy>Hua Dai Bao</cp:lastModifiedBy>
  <dcterms:created xsi:type="dcterms:W3CDTF">2026-06-29T10:46:50Z</dcterms:created>
  <dcterms:modified xsi:type="dcterms:W3CDTF">2026-07-10T14:21:20Z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